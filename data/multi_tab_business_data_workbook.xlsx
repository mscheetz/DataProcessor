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Lookups" sheetId="1" state="visible" r:id="rId3"/>
    <sheet name="Products" sheetId="2" state="visible" r:id="rId4"/>
    <sheet name="Customers" sheetId="3" state="visible" r:id="rId5"/>
    <sheet name="Sales" sheetId="4" state="visible" r:id="rId6"/>
    <sheet name="Inventory" sheetId="5" state="visible" r:id="rId7"/>
    <sheet name="Employees" sheetId="6" state="visible" r:id="rId8"/>
    <sheet name="Projects" sheetId="7" state="visible" r:id="rId9"/>
    <sheet name="Support Tickets" sheetId="8" state="visible" r:id="rId10"/>
    <sheet name="Marketing" sheetId="9" state="visible" r:id="rId11"/>
    <sheet name="Finance Monthly" sheetId="10" state="visible" r:id="rId12"/>
    <sheet name="Operations" sheetId="11" state="visible" r:id="rId13"/>
    <sheet name="Dashboard" sheetId="12" state="visible" r:id="rId14"/>
    <sheet name="README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<sst xmlns="http://schemas.openxmlformats.org/spreadsheetml/2006/main" count="18931" uniqueCount="4719">
  <si>
    <t xml:space="preserve">Region</t>
  </si>
  <si>
    <t xml:space="preserve">Channel</t>
  </si>
  <si>
    <t xml:space="preserve">Category</t>
  </si>
  <si>
    <t xml:space="preserve">Status</t>
  </si>
  <si>
    <t xml:space="preserve">Priority</t>
  </si>
  <si>
    <t xml:space="preserve">Department</t>
  </si>
  <si>
    <t xml:space="preserve">North</t>
  </si>
  <si>
    <t xml:space="preserve">Online</t>
  </si>
  <si>
    <t xml:space="preserve">Software</t>
  </si>
  <si>
    <t xml:space="preserve">Not Started</t>
  </si>
  <si>
    <t xml:space="preserve">Low</t>
  </si>
  <si>
    <t xml:space="preserve">Sales</t>
  </si>
  <si>
    <t xml:space="preserve">South</t>
  </si>
  <si>
    <t xml:space="preserve">Retail</t>
  </si>
  <si>
    <t xml:space="preserve">Hardware</t>
  </si>
  <si>
    <t xml:space="preserve">In Progress</t>
  </si>
  <si>
    <t xml:space="preserve">Medium</t>
  </si>
  <si>
    <t xml:space="preserve">Marketing</t>
  </si>
  <si>
    <t xml:space="preserve">East</t>
  </si>
  <si>
    <t xml:space="preserve">Partner</t>
  </si>
  <si>
    <t xml:space="preserve">Services</t>
  </si>
  <si>
    <t xml:space="preserve">Blocked</t>
  </si>
  <si>
    <t xml:space="preserve">High</t>
  </si>
  <si>
    <t xml:space="preserve">Finance</t>
  </si>
  <si>
    <t xml:space="preserve">West</t>
  </si>
  <si>
    <t xml:space="preserve">Wholesale</t>
  </si>
  <si>
    <t xml:space="preserve">Training</t>
  </si>
  <si>
    <t xml:space="preserve">Complete</t>
  </si>
  <si>
    <t xml:space="preserve">Critical</t>
  </si>
  <si>
    <t xml:space="preserve">Operations</t>
  </si>
  <si>
    <t xml:space="preserve">Central</t>
  </si>
  <si>
    <t xml:space="preserve">Support</t>
  </si>
  <si>
    <t xml:space="preserve">Engineering</t>
  </si>
  <si>
    <t xml:space="preserve">HR</t>
  </si>
  <si>
    <t xml:space="preserve">Product ID</t>
  </si>
  <si>
    <t xml:space="preserve">Product Name</t>
  </si>
  <si>
    <t xml:space="preserve">Unit Price</t>
  </si>
  <si>
    <t xml:space="preserve">Unit Cost</t>
  </si>
  <si>
    <t xml:space="preserve">Launch Date</t>
  </si>
  <si>
    <t xml:space="preserve">Active</t>
  </si>
  <si>
    <t xml:space="preserve">P0001</t>
  </si>
  <si>
    <t xml:space="preserve">Software Product 001</t>
  </si>
  <si>
    <t xml:space="preserve">P0002</t>
  </si>
  <si>
    <t xml:space="preserve">Software Product 002</t>
  </si>
  <si>
    <t xml:space="preserve">P0003</t>
  </si>
  <si>
    <t xml:space="preserve">Software Product 003</t>
  </si>
  <si>
    <t xml:space="preserve">P0004</t>
  </si>
  <si>
    <t xml:space="preserve">Support Product 004</t>
  </si>
  <si>
    <t xml:space="preserve">P0005</t>
  </si>
  <si>
    <t xml:space="preserve">Hardware Product 005</t>
  </si>
  <si>
    <t xml:space="preserve">P0006</t>
  </si>
  <si>
    <t xml:space="preserve">Hardware Product 006</t>
  </si>
  <si>
    <t xml:space="preserve">P0007</t>
  </si>
  <si>
    <t xml:space="preserve">Services Product 007</t>
  </si>
  <si>
    <t xml:space="preserve">P0008</t>
  </si>
  <si>
    <t xml:space="preserve">Support Product 008</t>
  </si>
  <si>
    <t xml:space="preserve">P0009</t>
  </si>
  <si>
    <t xml:space="preserve">Training Product 009</t>
  </si>
  <si>
    <t xml:space="preserve">P0010</t>
  </si>
  <si>
    <t xml:space="preserve">Support Product 010</t>
  </si>
  <si>
    <t xml:space="preserve">P0011</t>
  </si>
  <si>
    <t xml:space="preserve">Services Product 011</t>
  </si>
  <si>
    <t xml:space="preserve">P0012</t>
  </si>
  <si>
    <t xml:space="preserve">Training Product 012</t>
  </si>
  <si>
    <t xml:space="preserve">P0013</t>
  </si>
  <si>
    <t xml:space="preserve">Services Product 013</t>
  </si>
  <si>
    <t xml:space="preserve">P0014</t>
  </si>
  <si>
    <t xml:space="preserve">Support Product 014</t>
  </si>
  <si>
    <t xml:space="preserve">P0015</t>
  </si>
  <si>
    <t xml:space="preserve">Training Product 015</t>
  </si>
  <si>
    <t xml:space="preserve">P0016</t>
  </si>
  <si>
    <t xml:space="preserve">Services Product 016</t>
  </si>
  <si>
    <t xml:space="preserve">P0017</t>
  </si>
  <si>
    <t xml:space="preserve">Services Product 017</t>
  </si>
  <si>
    <t xml:space="preserve">P0018</t>
  </si>
  <si>
    <t xml:space="preserve">Hardware Product 018</t>
  </si>
  <si>
    <t xml:space="preserve">P0019</t>
  </si>
  <si>
    <t xml:space="preserve">Hardware Product 019</t>
  </si>
  <si>
    <t xml:space="preserve">P0020</t>
  </si>
  <si>
    <t xml:space="preserve">Support Product 020</t>
  </si>
  <si>
    <t xml:space="preserve">P0021</t>
  </si>
  <si>
    <t xml:space="preserve">Hardware Product 021</t>
  </si>
  <si>
    <t xml:space="preserve">P0022</t>
  </si>
  <si>
    <t xml:space="preserve">Hardware Product 022</t>
  </si>
  <si>
    <t xml:space="preserve">P0023</t>
  </si>
  <si>
    <t xml:space="preserve">Training Product 023</t>
  </si>
  <si>
    <t xml:space="preserve">P0024</t>
  </si>
  <si>
    <t xml:space="preserve">Support Product 024</t>
  </si>
  <si>
    <t xml:space="preserve">P0025</t>
  </si>
  <si>
    <t xml:space="preserve">Support Product 025</t>
  </si>
  <si>
    <t xml:space="preserve">P0026</t>
  </si>
  <si>
    <t xml:space="preserve">Services Product 026</t>
  </si>
  <si>
    <t xml:space="preserve">P0027</t>
  </si>
  <si>
    <t xml:space="preserve">Support Product 027</t>
  </si>
  <si>
    <t xml:space="preserve">P0028</t>
  </si>
  <si>
    <t xml:space="preserve">Support Product 028</t>
  </si>
  <si>
    <t xml:space="preserve">P0029</t>
  </si>
  <si>
    <t xml:space="preserve">Support Product 029</t>
  </si>
  <si>
    <t xml:space="preserve">P0030</t>
  </si>
  <si>
    <t xml:space="preserve">Training Product 030</t>
  </si>
  <si>
    <t xml:space="preserve">P0031</t>
  </si>
  <si>
    <t xml:space="preserve">Hardware Product 031</t>
  </si>
  <si>
    <t xml:space="preserve">P0032</t>
  </si>
  <si>
    <t xml:space="preserve">Training Product 032</t>
  </si>
  <si>
    <t xml:space="preserve">P0033</t>
  </si>
  <si>
    <t xml:space="preserve">Hardware Product 033</t>
  </si>
  <si>
    <t xml:space="preserve">P0034</t>
  </si>
  <si>
    <t xml:space="preserve">Support Product 034</t>
  </si>
  <si>
    <t xml:space="preserve">P0035</t>
  </si>
  <si>
    <t xml:space="preserve">Services Product 035</t>
  </si>
  <si>
    <t xml:space="preserve">P0036</t>
  </si>
  <si>
    <t xml:space="preserve">Support Product 036</t>
  </si>
  <si>
    <t xml:space="preserve">P0037</t>
  </si>
  <si>
    <t xml:space="preserve">Software Product 037</t>
  </si>
  <si>
    <t xml:space="preserve">P0038</t>
  </si>
  <si>
    <t xml:space="preserve">Software Product 038</t>
  </si>
  <si>
    <t xml:space="preserve">P0039</t>
  </si>
  <si>
    <t xml:space="preserve">Services Product 039</t>
  </si>
  <si>
    <t xml:space="preserve">P0040</t>
  </si>
  <si>
    <t xml:space="preserve">Hardware Product 040</t>
  </si>
  <si>
    <t xml:space="preserve">P0041</t>
  </si>
  <si>
    <t xml:space="preserve">Hardware Product 041</t>
  </si>
  <si>
    <t xml:space="preserve">P0042</t>
  </si>
  <si>
    <t xml:space="preserve">Software Product 042</t>
  </si>
  <si>
    <t xml:space="preserve">P0043</t>
  </si>
  <si>
    <t xml:space="preserve">Software Product 043</t>
  </si>
  <si>
    <t xml:space="preserve">P0044</t>
  </si>
  <si>
    <t xml:space="preserve">Training Product 044</t>
  </si>
  <si>
    <t xml:space="preserve">P0045</t>
  </si>
  <si>
    <t xml:space="preserve">Hardware Product 045</t>
  </si>
  <si>
    <t xml:space="preserve">P0046</t>
  </si>
  <si>
    <t xml:space="preserve">Services Product 046</t>
  </si>
  <si>
    <t xml:space="preserve">P0047</t>
  </si>
  <si>
    <t xml:space="preserve">Support Product 047</t>
  </si>
  <si>
    <t xml:space="preserve">P0048</t>
  </si>
  <si>
    <t xml:space="preserve">Software Product 048</t>
  </si>
  <si>
    <t xml:space="preserve">P0049</t>
  </si>
  <si>
    <t xml:space="preserve">Training Product 049</t>
  </si>
  <si>
    <t xml:space="preserve">P0050</t>
  </si>
  <si>
    <t xml:space="preserve">Training Product 050</t>
  </si>
  <si>
    <t xml:space="preserve">P0051</t>
  </si>
  <si>
    <t xml:space="preserve">Services Product 051</t>
  </si>
  <si>
    <t xml:space="preserve">P0052</t>
  </si>
  <si>
    <t xml:space="preserve">Hardware Product 052</t>
  </si>
  <si>
    <t xml:space="preserve">P0053</t>
  </si>
  <si>
    <t xml:space="preserve">Services Product 053</t>
  </si>
  <si>
    <t xml:space="preserve">P0054</t>
  </si>
  <si>
    <t xml:space="preserve">Software Product 054</t>
  </si>
  <si>
    <t xml:space="preserve">P0055</t>
  </si>
  <si>
    <t xml:space="preserve">Support Product 055</t>
  </si>
  <si>
    <t xml:space="preserve">P0056</t>
  </si>
  <si>
    <t xml:space="preserve">Support Product 056</t>
  </si>
  <si>
    <t xml:space="preserve">P0057</t>
  </si>
  <si>
    <t xml:space="preserve">Training Product 057</t>
  </si>
  <si>
    <t xml:space="preserve">P0058</t>
  </si>
  <si>
    <t xml:space="preserve">Hardware Product 058</t>
  </si>
  <si>
    <t xml:space="preserve">P0059</t>
  </si>
  <si>
    <t xml:space="preserve">Hardware Product 059</t>
  </si>
  <si>
    <t xml:space="preserve">P0060</t>
  </si>
  <si>
    <t xml:space="preserve">Software Product 060</t>
  </si>
  <si>
    <t xml:space="preserve">P0061</t>
  </si>
  <si>
    <t xml:space="preserve">Support Product 061</t>
  </si>
  <si>
    <t xml:space="preserve">P0062</t>
  </si>
  <si>
    <t xml:space="preserve">Hardware Product 062</t>
  </si>
  <si>
    <t xml:space="preserve">P0063</t>
  </si>
  <si>
    <t xml:space="preserve">Support Product 063</t>
  </si>
  <si>
    <t xml:space="preserve">P0064</t>
  </si>
  <si>
    <t xml:space="preserve">Support Product 064</t>
  </si>
  <si>
    <t xml:space="preserve">P0065</t>
  </si>
  <si>
    <t xml:space="preserve">Services Product 065</t>
  </si>
  <si>
    <t xml:space="preserve">P0066</t>
  </si>
  <si>
    <t xml:space="preserve">Services Product 066</t>
  </si>
  <si>
    <t xml:space="preserve">P0067</t>
  </si>
  <si>
    <t xml:space="preserve">Services Product 067</t>
  </si>
  <si>
    <t xml:space="preserve">P0068</t>
  </si>
  <si>
    <t xml:space="preserve">Software Product 068</t>
  </si>
  <si>
    <t xml:space="preserve">P0069</t>
  </si>
  <si>
    <t xml:space="preserve">Services Product 069</t>
  </si>
  <si>
    <t xml:space="preserve">P0070</t>
  </si>
  <si>
    <t xml:space="preserve">Training Product 070</t>
  </si>
  <si>
    <t xml:space="preserve">P0071</t>
  </si>
  <si>
    <t xml:space="preserve">Software Product 071</t>
  </si>
  <si>
    <t xml:space="preserve">P0072</t>
  </si>
  <si>
    <t xml:space="preserve">Services Product 072</t>
  </si>
  <si>
    <t xml:space="preserve">P0073</t>
  </si>
  <si>
    <t xml:space="preserve">Services Product 073</t>
  </si>
  <si>
    <t xml:space="preserve">P0074</t>
  </si>
  <si>
    <t xml:space="preserve">Services Product 074</t>
  </si>
  <si>
    <t xml:space="preserve">P0075</t>
  </si>
  <si>
    <t xml:space="preserve">Support Product 075</t>
  </si>
  <si>
    <t xml:space="preserve">P0076</t>
  </si>
  <si>
    <t xml:space="preserve">Hardware Product 076</t>
  </si>
  <si>
    <t xml:space="preserve">P0077</t>
  </si>
  <si>
    <t xml:space="preserve">Training Product 077</t>
  </si>
  <si>
    <t xml:space="preserve">P0078</t>
  </si>
  <si>
    <t xml:space="preserve">Hardware Product 078</t>
  </si>
  <si>
    <t xml:space="preserve">P0079</t>
  </si>
  <si>
    <t xml:space="preserve">Software Product 079</t>
  </si>
  <si>
    <t xml:space="preserve">P0080</t>
  </si>
  <si>
    <t xml:space="preserve">Services Product 080</t>
  </si>
  <si>
    <t xml:space="preserve">P0081</t>
  </si>
  <si>
    <t xml:space="preserve">Software Product 081</t>
  </si>
  <si>
    <t xml:space="preserve">P0082</t>
  </si>
  <si>
    <t xml:space="preserve">Services Product 082</t>
  </si>
  <si>
    <t xml:space="preserve">P0083</t>
  </si>
  <si>
    <t xml:space="preserve">Software Product 083</t>
  </si>
  <si>
    <t xml:space="preserve">P0084</t>
  </si>
  <si>
    <t xml:space="preserve">Software Product 084</t>
  </si>
  <si>
    <t xml:space="preserve">P0085</t>
  </si>
  <si>
    <t xml:space="preserve">Training Product 085</t>
  </si>
  <si>
    <t xml:space="preserve">P0086</t>
  </si>
  <si>
    <t xml:space="preserve">Services Product 086</t>
  </si>
  <si>
    <t xml:space="preserve">P0087</t>
  </si>
  <si>
    <t xml:space="preserve">Services Product 087</t>
  </si>
  <si>
    <t xml:space="preserve">P0088</t>
  </si>
  <si>
    <t xml:space="preserve">Software Product 088</t>
  </si>
  <si>
    <t xml:space="preserve">P0089</t>
  </si>
  <si>
    <t xml:space="preserve">Services Product 089</t>
  </si>
  <si>
    <t xml:space="preserve">P0090</t>
  </si>
  <si>
    <t xml:space="preserve">Training Product 090</t>
  </si>
  <si>
    <t xml:space="preserve">P0091</t>
  </si>
  <si>
    <t xml:space="preserve">Support Product 091</t>
  </si>
  <si>
    <t xml:space="preserve">P0092</t>
  </si>
  <si>
    <t xml:space="preserve">Services Product 092</t>
  </si>
  <si>
    <t xml:space="preserve">P0093</t>
  </si>
  <si>
    <t xml:space="preserve">Training Product 093</t>
  </si>
  <si>
    <t xml:space="preserve">P0094</t>
  </si>
  <si>
    <t xml:space="preserve">Hardware Product 094</t>
  </si>
  <si>
    <t xml:space="preserve">P0095</t>
  </si>
  <si>
    <t xml:space="preserve">Software Product 095</t>
  </si>
  <si>
    <t xml:space="preserve">P0096</t>
  </si>
  <si>
    <t xml:space="preserve">Hardware Product 096</t>
  </si>
  <si>
    <t xml:space="preserve">P0097</t>
  </si>
  <si>
    <t xml:space="preserve">Training Product 097</t>
  </si>
  <si>
    <t xml:space="preserve">P0098</t>
  </si>
  <si>
    <t xml:space="preserve">Support Product 098</t>
  </si>
  <si>
    <t xml:space="preserve">P0099</t>
  </si>
  <si>
    <t xml:space="preserve">Hardware Product 099</t>
  </si>
  <si>
    <t xml:space="preserve">P0100</t>
  </si>
  <si>
    <t xml:space="preserve">Training Product 100</t>
  </si>
  <si>
    <t xml:space="preserve">P0101</t>
  </si>
  <si>
    <t xml:space="preserve">Software Product 101</t>
  </si>
  <si>
    <t xml:space="preserve">P0102</t>
  </si>
  <si>
    <t xml:space="preserve">Hardware Product 102</t>
  </si>
  <si>
    <t xml:space="preserve">P0103</t>
  </si>
  <si>
    <t xml:space="preserve">Training Product 103</t>
  </si>
  <si>
    <t xml:space="preserve">P0104</t>
  </si>
  <si>
    <t xml:space="preserve">Support Product 104</t>
  </si>
  <si>
    <t xml:space="preserve">P0105</t>
  </si>
  <si>
    <t xml:space="preserve">Training Product 105</t>
  </si>
  <si>
    <t xml:space="preserve">P0106</t>
  </si>
  <si>
    <t xml:space="preserve">Support Product 106</t>
  </si>
  <si>
    <t xml:space="preserve">P0107</t>
  </si>
  <si>
    <t xml:space="preserve">Services Product 107</t>
  </si>
  <si>
    <t xml:space="preserve">P0108</t>
  </si>
  <si>
    <t xml:space="preserve">Hardware Product 108</t>
  </si>
  <si>
    <t xml:space="preserve">P0109</t>
  </si>
  <si>
    <t xml:space="preserve">Software Product 109</t>
  </si>
  <si>
    <t xml:space="preserve">P0110</t>
  </si>
  <si>
    <t xml:space="preserve">Software Product 110</t>
  </si>
  <si>
    <t xml:space="preserve">P0111</t>
  </si>
  <si>
    <t xml:space="preserve">Support Product 111</t>
  </si>
  <si>
    <t xml:space="preserve">P0112</t>
  </si>
  <si>
    <t xml:space="preserve">Training Product 112</t>
  </si>
  <si>
    <t xml:space="preserve">P0113</t>
  </si>
  <si>
    <t xml:space="preserve">Training Product 113</t>
  </si>
  <si>
    <t xml:space="preserve">P0114</t>
  </si>
  <si>
    <t xml:space="preserve">Services Product 114</t>
  </si>
  <si>
    <t xml:space="preserve">P0115</t>
  </si>
  <si>
    <t xml:space="preserve">Training Product 115</t>
  </si>
  <si>
    <t xml:space="preserve">P0116</t>
  </si>
  <si>
    <t xml:space="preserve">Training Product 116</t>
  </si>
  <si>
    <t xml:space="preserve">P0117</t>
  </si>
  <si>
    <t xml:space="preserve">Hardware Product 117</t>
  </si>
  <si>
    <t xml:space="preserve">P0118</t>
  </si>
  <si>
    <t xml:space="preserve">Services Product 118</t>
  </si>
  <si>
    <t xml:space="preserve">P0119</t>
  </si>
  <si>
    <t xml:space="preserve">Services Product 119</t>
  </si>
  <si>
    <t xml:space="preserve">P0120</t>
  </si>
  <si>
    <t xml:space="preserve">Training Product 120</t>
  </si>
  <si>
    <t xml:space="preserve">P0121</t>
  </si>
  <si>
    <t xml:space="preserve">Software Product 121</t>
  </si>
  <si>
    <t xml:space="preserve">P0122</t>
  </si>
  <si>
    <t xml:space="preserve">Hardware Product 122</t>
  </si>
  <si>
    <t xml:space="preserve">P0123</t>
  </si>
  <si>
    <t xml:space="preserve">Hardware Product 123</t>
  </si>
  <si>
    <t xml:space="preserve">P0124</t>
  </si>
  <si>
    <t xml:space="preserve">Services Product 124</t>
  </si>
  <si>
    <t xml:space="preserve">P0125</t>
  </si>
  <si>
    <t xml:space="preserve">Hardware Product 125</t>
  </si>
  <si>
    <t xml:space="preserve">P0126</t>
  </si>
  <si>
    <t xml:space="preserve">Support Product 126</t>
  </si>
  <si>
    <t xml:space="preserve">P0127</t>
  </si>
  <si>
    <t xml:space="preserve">Software Product 127</t>
  </si>
  <si>
    <t xml:space="preserve">P0128</t>
  </si>
  <si>
    <t xml:space="preserve">Services Product 128</t>
  </si>
  <si>
    <t xml:space="preserve">P0129</t>
  </si>
  <si>
    <t xml:space="preserve">Services Product 129</t>
  </si>
  <si>
    <t xml:space="preserve">P0130</t>
  </si>
  <si>
    <t xml:space="preserve">Software Product 130</t>
  </si>
  <si>
    <t xml:space="preserve">P0131</t>
  </si>
  <si>
    <t xml:space="preserve">Services Product 131</t>
  </si>
  <si>
    <t xml:space="preserve">P0132</t>
  </si>
  <si>
    <t xml:space="preserve">Training Product 132</t>
  </si>
  <si>
    <t xml:space="preserve">P0133</t>
  </si>
  <si>
    <t xml:space="preserve">Support Product 133</t>
  </si>
  <si>
    <t xml:space="preserve">P0134</t>
  </si>
  <si>
    <t xml:space="preserve">Training Product 134</t>
  </si>
  <si>
    <t xml:space="preserve">P0135</t>
  </si>
  <si>
    <t xml:space="preserve">Software Product 135</t>
  </si>
  <si>
    <t xml:space="preserve">P0136</t>
  </si>
  <si>
    <t xml:space="preserve">Support Product 136</t>
  </si>
  <si>
    <t xml:space="preserve">P0137</t>
  </si>
  <si>
    <t xml:space="preserve">Services Product 137</t>
  </si>
  <si>
    <t xml:space="preserve">P0138</t>
  </si>
  <si>
    <t xml:space="preserve">Services Product 138</t>
  </si>
  <si>
    <t xml:space="preserve">P0139</t>
  </si>
  <si>
    <t xml:space="preserve">Support Product 139</t>
  </si>
  <si>
    <t xml:space="preserve">P0140</t>
  </si>
  <si>
    <t xml:space="preserve">Training Product 140</t>
  </si>
  <si>
    <t xml:space="preserve">P0141</t>
  </si>
  <si>
    <t xml:space="preserve">Training Product 141</t>
  </si>
  <si>
    <t xml:space="preserve">P0142</t>
  </si>
  <si>
    <t xml:space="preserve">Hardware Product 142</t>
  </si>
  <si>
    <t xml:space="preserve">P0143</t>
  </si>
  <si>
    <t xml:space="preserve">Training Product 143</t>
  </si>
  <si>
    <t xml:space="preserve">P0144</t>
  </si>
  <si>
    <t xml:space="preserve">Services Product 144</t>
  </si>
  <si>
    <t xml:space="preserve">P0145</t>
  </si>
  <si>
    <t xml:space="preserve">Services Product 145</t>
  </si>
  <si>
    <t xml:space="preserve">P0146</t>
  </si>
  <si>
    <t xml:space="preserve">Hardware Product 146</t>
  </si>
  <si>
    <t xml:space="preserve">P0147</t>
  </si>
  <si>
    <t xml:space="preserve">Software Product 147</t>
  </si>
  <si>
    <t xml:space="preserve">P0148</t>
  </si>
  <si>
    <t xml:space="preserve">Services Product 148</t>
  </si>
  <si>
    <t xml:space="preserve">P0149</t>
  </si>
  <si>
    <t xml:space="preserve">Software Product 149</t>
  </si>
  <si>
    <t xml:space="preserve">P0150</t>
  </si>
  <si>
    <t xml:space="preserve">Software Product 150</t>
  </si>
  <si>
    <t xml:space="preserve">P0151</t>
  </si>
  <si>
    <t xml:space="preserve">Training Product 151</t>
  </si>
  <si>
    <t xml:space="preserve">P0152</t>
  </si>
  <si>
    <t xml:space="preserve">Software Product 152</t>
  </si>
  <si>
    <t xml:space="preserve">P0153</t>
  </si>
  <si>
    <t xml:space="preserve">Hardware Product 153</t>
  </si>
  <si>
    <t xml:space="preserve">P0154</t>
  </si>
  <si>
    <t xml:space="preserve">Hardware Product 154</t>
  </si>
  <si>
    <t xml:space="preserve">P0155</t>
  </si>
  <si>
    <t xml:space="preserve">Support Product 155</t>
  </si>
  <si>
    <t xml:space="preserve">P0156</t>
  </si>
  <si>
    <t xml:space="preserve">Services Product 156</t>
  </si>
  <si>
    <t xml:space="preserve">P0157</t>
  </si>
  <si>
    <t xml:space="preserve">Hardware Product 157</t>
  </si>
  <si>
    <t xml:space="preserve">P0158</t>
  </si>
  <si>
    <t xml:space="preserve">Hardware Product 158</t>
  </si>
  <si>
    <t xml:space="preserve">P0159</t>
  </si>
  <si>
    <t xml:space="preserve">Training Product 159</t>
  </si>
  <si>
    <t xml:space="preserve">P0160</t>
  </si>
  <si>
    <t xml:space="preserve">Services Product 160</t>
  </si>
  <si>
    <t xml:space="preserve">P0161</t>
  </si>
  <si>
    <t xml:space="preserve">Hardware Product 161</t>
  </si>
  <si>
    <t xml:space="preserve">P0162</t>
  </si>
  <si>
    <t xml:space="preserve">Training Product 162</t>
  </si>
  <si>
    <t xml:space="preserve">P0163</t>
  </si>
  <si>
    <t xml:space="preserve">Hardware Product 163</t>
  </si>
  <si>
    <t xml:space="preserve">P0164</t>
  </si>
  <si>
    <t xml:space="preserve">Training Product 164</t>
  </si>
  <si>
    <t xml:space="preserve">P0165</t>
  </si>
  <si>
    <t xml:space="preserve">Services Product 165</t>
  </si>
  <si>
    <t xml:space="preserve">P0166</t>
  </si>
  <si>
    <t xml:space="preserve">Training Product 166</t>
  </si>
  <si>
    <t xml:space="preserve">P0167</t>
  </si>
  <si>
    <t xml:space="preserve">Hardware Product 167</t>
  </si>
  <si>
    <t xml:space="preserve">P0168</t>
  </si>
  <si>
    <t xml:space="preserve">Services Product 168</t>
  </si>
  <si>
    <t xml:space="preserve">P0169</t>
  </si>
  <si>
    <t xml:space="preserve">Support Product 169</t>
  </si>
  <si>
    <t xml:space="preserve">P0170</t>
  </si>
  <si>
    <t xml:space="preserve">Training Product 170</t>
  </si>
  <si>
    <t xml:space="preserve">P0171</t>
  </si>
  <si>
    <t xml:space="preserve">Services Product 171</t>
  </si>
  <si>
    <t xml:space="preserve">P0172</t>
  </si>
  <si>
    <t xml:space="preserve">Training Product 172</t>
  </si>
  <si>
    <t xml:space="preserve">P0173</t>
  </si>
  <si>
    <t xml:space="preserve">Training Product 173</t>
  </si>
  <si>
    <t xml:space="preserve">P0174</t>
  </si>
  <si>
    <t xml:space="preserve">Support Product 174</t>
  </si>
  <si>
    <t xml:space="preserve">P0175</t>
  </si>
  <si>
    <t xml:space="preserve">Training Product 175</t>
  </si>
  <si>
    <t xml:space="preserve">P0176</t>
  </si>
  <si>
    <t xml:space="preserve">Training Product 176</t>
  </si>
  <si>
    <t xml:space="preserve">P0177</t>
  </si>
  <si>
    <t xml:space="preserve">Services Product 177</t>
  </si>
  <si>
    <t xml:space="preserve">P0178</t>
  </si>
  <si>
    <t xml:space="preserve">Support Product 178</t>
  </si>
  <si>
    <t xml:space="preserve">P0179</t>
  </si>
  <si>
    <t xml:space="preserve">Support Product 179</t>
  </si>
  <si>
    <t xml:space="preserve">P0180</t>
  </si>
  <si>
    <t xml:space="preserve">Training Product 180</t>
  </si>
  <si>
    <t xml:space="preserve">P0181</t>
  </si>
  <si>
    <t xml:space="preserve">Services Product 181</t>
  </si>
  <si>
    <t xml:space="preserve">P0182</t>
  </si>
  <si>
    <t xml:space="preserve">Training Product 182</t>
  </si>
  <si>
    <t xml:space="preserve">P0183</t>
  </si>
  <si>
    <t xml:space="preserve">Support Product 183</t>
  </si>
  <si>
    <t xml:space="preserve">P0184</t>
  </si>
  <si>
    <t xml:space="preserve">Services Product 184</t>
  </si>
  <si>
    <t xml:space="preserve">P0185</t>
  </si>
  <si>
    <t xml:space="preserve">Software Product 185</t>
  </si>
  <si>
    <t xml:space="preserve">P0186</t>
  </si>
  <si>
    <t xml:space="preserve">Hardware Product 186</t>
  </si>
  <si>
    <t xml:space="preserve">P0187</t>
  </si>
  <si>
    <t xml:space="preserve">Training Product 187</t>
  </si>
  <si>
    <t xml:space="preserve">P0188</t>
  </si>
  <si>
    <t xml:space="preserve">Support Product 188</t>
  </si>
  <si>
    <t xml:space="preserve">P0189</t>
  </si>
  <si>
    <t xml:space="preserve">Services Product 189</t>
  </si>
  <si>
    <t xml:space="preserve">P0190</t>
  </si>
  <si>
    <t xml:space="preserve">Training Product 190</t>
  </si>
  <si>
    <t xml:space="preserve">P0191</t>
  </si>
  <si>
    <t xml:space="preserve">Training Product 191</t>
  </si>
  <si>
    <t xml:space="preserve">P0192</t>
  </si>
  <si>
    <t xml:space="preserve">Software Product 192</t>
  </si>
  <si>
    <t xml:space="preserve">P0193</t>
  </si>
  <si>
    <t xml:space="preserve">Software Product 193</t>
  </si>
  <si>
    <t xml:space="preserve">P0194</t>
  </si>
  <si>
    <t xml:space="preserve">Software Product 194</t>
  </si>
  <si>
    <t xml:space="preserve">P0195</t>
  </si>
  <si>
    <t xml:space="preserve">Software Product 195</t>
  </si>
  <si>
    <t xml:space="preserve">P0196</t>
  </si>
  <si>
    <t xml:space="preserve">Services Product 196</t>
  </si>
  <si>
    <t xml:space="preserve">P0197</t>
  </si>
  <si>
    <t xml:space="preserve">Support Product 197</t>
  </si>
  <si>
    <t xml:space="preserve">P0198</t>
  </si>
  <si>
    <t xml:space="preserve">Software Product 198</t>
  </si>
  <si>
    <t xml:space="preserve">P0199</t>
  </si>
  <si>
    <t xml:space="preserve">Training Product 199</t>
  </si>
  <si>
    <t xml:space="preserve">P0200</t>
  </si>
  <si>
    <t xml:space="preserve">Services Product 200</t>
  </si>
  <si>
    <t xml:space="preserve">Customer ID</t>
  </si>
  <si>
    <t xml:space="preserve">Customer Name</t>
  </si>
  <si>
    <t xml:space="preserve">Segment</t>
  </si>
  <si>
    <t xml:space="preserve">Signup Date</t>
  </si>
  <si>
    <t xml:space="preserve">Account Manager</t>
  </si>
  <si>
    <t xml:space="preserve">Risk Score</t>
  </si>
  <si>
    <t xml:space="preserve">C00001</t>
  </si>
  <si>
    <t xml:space="preserve">Customer 0001</t>
  </si>
  <si>
    <t xml:space="preserve">Mid-Market</t>
  </si>
  <si>
    <t xml:space="preserve">Manager 7</t>
  </si>
  <si>
    <t xml:space="preserve">C00002</t>
  </si>
  <si>
    <t xml:space="preserve">Customer 0002</t>
  </si>
  <si>
    <t xml:space="preserve">Manager 2</t>
  </si>
  <si>
    <t xml:space="preserve">C00003</t>
  </si>
  <si>
    <t xml:space="preserve">Customer 0003</t>
  </si>
  <si>
    <t xml:space="preserve">Manager 15</t>
  </si>
  <si>
    <t xml:space="preserve">C00004</t>
  </si>
  <si>
    <t xml:space="preserve">Customer 0004</t>
  </si>
  <si>
    <t xml:space="preserve">Public Sector</t>
  </si>
  <si>
    <t xml:space="preserve">Manager 8</t>
  </si>
  <si>
    <t xml:space="preserve">C00005</t>
  </si>
  <si>
    <t xml:space="preserve">Customer 0005</t>
  </si>
  <si>
    <t xml:space="preserve">Manager 11</t>
  </si>
  <si>
    <t xml:space="preserve">C00006</t>
  </si>
  <si>
    <t xml:space="preserve">Customer 0006</t>
  </si>
  <si>
    <t xml:space="preserve">Manager 10</t>
  </si>
  <si>
    <t xml:space="preserve">C00007</t>
  </si>
  <si>
    <t xml:space="preserve">Customer 0007</t>
  </si>
  <si>
    <t xml:space="preserve">Enterprise</t>
  </si>
  <si>
    <t xml:space="preserve">Manager 14</t>
  </si>
  <si>
    <t xml:space="preserve">C00008</t>
  </si>
  <si>
    <t xml:space="preserve">Customer 0008</t>
  </si>
  <si>
    <t xml:space="preserve">Manager 4</t>
  </si>
  <si>
    <t xml:space="preserve">C00009</t>
  </si>
  <si>
    <t xml:space="preserve">Customer 0009</t>
  </si>
  <si>
    <t xml:space="preserve">Manager 1</t>
  </si>
  <si>
    <t xml:space="preserve">C00010</t>
  </si>
  <si>
    <t xml:space="preserve">Customer 0010</t>
  </si>
  <si>
    <t xml:space="preserve">C00011</t>
  </si>
  <si>
    <t xml:space="preserve">Customer 0011</t>
  </si>
  <si>
    <t xml:space="preserve">Manager 13</t>
  </si>
  <si>
    <t xml:space="preserve">C00012</t>
  </si>
  <si>
    <t xml:space="preserve">Customer 0012</t>
  </si>
  <si>
    <t xml:space="preserve">C00013</t>
  </si>
  <si>
    <t xml:space="preserve">Customer 0013</t>
  </si>
  <si>
    <t xml:space="preserve">C00014</t>
  </si>
  <si>
    <t xml:space="preserve">Customer 0014</t>
  </si>
  <si>
    <t xml:space="preserve">C00015</t>
  </si>
  <si>
    <t xml:space="preserve">Customer 0015</t>
  </si>
  <si>
    <t xml:space="preserve">SMB</t>
  </si>
  <si>
    <t xml:space="preserve">Manager 6</t>
  </si>
  <si>
    <t xml:space="preserve">C00016</t>
  </si>
  <si>
    <t xml:space="preserve">Customer 0016</t>
  </si>
  <si>
    <t xml:space="preserve">C00017</t>
  </si>
  <si>
    <t xml:space="preserve">Customer 0017</t>
  </si>
  <si>
    <t xml:space="preserve">Manager 5</t>
  </si>
  <si>
    <t xml:space="preserve">C00018</t>
  </si>
  <si>
    <t xml:space="preserve">Customer 0018</t>
  </si>
  <si>
    <t xml:space="preserve">C00019</t>
  </si>
  <si>
    <t xml:space="preserve">Customer 0019</t>
  </si>
  <si>
    <t xml:space="preserve">C00020</t>
  </si>
  <si>
    <t xml:space="preserve">Customer 0020</t>
  </si>
  <si>
    <t xml:space="preserve">C00021</t>
  </si>
  <si>
    <t xml:space="preserve">Customer 0021</t>
  </si>
  <si>
    <t xml:space="preserve">C00022</t>
  </si>
  <si>
    <t xml:space="preserve">Customer 0022</t>
  </si>
  <si>
    <t xml:space="preserve">C00023</t>
  </si>
  <si>
    <t xml:space="preserve">Customer 0023</t>
  </si>
  <si>
    <t xml:space="preserve">C00024</t>
  </si>
  <si>
    <t xml:space="preserve">Customer 0024</t>
  </si>
  <si>
    <t xml:space="preserve">C00025</t>
  </si>
  <si>
    <t xml:space="preserve">Customer 0025</t>
  </si>
  <si>
    <t xml:space="preserve">C00026</t>
  </si>
  <si>
    <t xml:space="preserve">Customer 0026</t>
  </si>
  <si>
    <t xml:space="preserve">C00027</t>
  </si>
  <si>
    <t xml:space="preserve">Customer 0027</t>
  </si>
  <si>
    <t xml:space="preserve">C00028</t>
  </si>
  <si>
    <t xml:space="preserve">Customer 0028</t>
  </si>
  <si>
    <t xml:space="preserve">C00029</t>
  </si>
  <si>
    <t xml:space="preserve">Customer 0029</t>
  </si>
  <si>
    <t xml:space="preserve">C00030</t>
  </si>
  <si>
    <t xml:space="preserve">Customer 0030</t>
  </si>
  <si>
    <t xml:space="preserve">C00031</t>
  </si>
  <si>
    <t xml:space="preserve">Customer 0031</t>
  </si>
  <si>
    <t xml:space="preserve">Manager 9</t>
  </si>
  <si>
    <t xml:space="preserve">C00032</t>
  </si>
  <si>
    <t xml:space="preserve">Customer 0032</t>
  </si>
  <si>
    <t xml:space="preserve">C00033</t>
  </si>
  <si>
    <t xml:space="preserve">Customer 0033</t>
  </si>
  <si>
    <t xml:space="preserve">C00034</t>
  </si>
  <si>
    <t xml:space="preserve">Customer 0034</t>
  </si>
  <si>
    <t xml:space="preserve">C00035</t>
  </si>
  <si>
    <t xml:space="preserve">Customer 0035</t>
  </si>
  <si>
    <t xml:space="preserve">C00036</t>
  </si>
  <si>
    <t xml:space="preserve">Customer 0036</t>
  </si>
  <si>
    <t xml:space="preserve">C00037</t>
  </si>
  <si>
    <t xml:space="preserve">Customer 0037</t>
  </si>
  <si>
    <t xml:space="preserve">C00038</t>
  </si>
  <si>
    <t xml:space="preserve">Customer 0038</t>
  </si>
  <si>
    <t xml:space="preserve">C00039</t>
  </si>
  <si>
    <t xml:space="preserve">Customer 0039</t>
  </si>
  <si>
    <t xml:space="preserve">C00040</t>
  </si>
  <si>
    <t xml:space="preserve">Customer 0040</t>
  </si>
  <si>
    <t xml:space="preserve">Manager 3</t>
  </si>
  <si>
    <t xml:space="preserve">C00041</t>
  </si>
  <si>
    <t xml:space="preserve">Customer 0041</t>
  </si>
  <si>
    <t xml:space="preserve">C00042</t>
  </si>
  <si>
    <t xml:space="preserve">Customer 0042</t>
  </si>
  <si>
    <t xml:space="preserve">C00043</t>
  </si>
  <si>
    <t xml:space="preserve">Customer 0043</t>
  </si>
  <si>
    <t xml:space="preserve">Manager 12</t>
  </si>
  <si>
    <t xml:space="preserve">C00044</t>
  </si>
  <si>
    <t xml:space="preserve">Customer 0044</t>
  </si>
  <si>
    <t xml:space="preserve">C00045</t>
  </si>
  <si>
    <t xml:space="preserve">Customer 0045</t>
  </si>
  <si>
    <t xml:space="preserve">C00046</t>
  </si>
  <si>
    <t xml:space="preserve">Customer 0046</t>
  </si>
  <si>
    <t xml:space="preserve">C00047</t>
  </si>
  <si>
    <t xml:space="preserve">Customer 0047</t>
  </si>
  <si>
    <t xml:space="preserve">C00048</t>
  </si>
  <si>
    <t xml:space="preserve">Customer 0048</t>
  </si>
  <si>
    <t xml:space="preserve">C00049</t>
  </si>
  <si>
    <t xml:space="preserve">Customer 0049</t>
  </si>
  <si>
    <t xml:space="preserve">C00050</t>
  </si>
  <si>
    <t xml:space="preserve">Customer 0050</t>
  </si>
  <si>
    <t xml:space="preserve">C00051</t>
  </si>
  <si>
    <t xml:space="preserve">Customer 0051</t>
  </si>
  <si>
    <t xml:space="preserve">C00052</t>
  </si>
  <si>
    <t xml:space="preserve">Customer 0052</t>
  </si>
  <si>
    <t xml:space="preserve">C00053</t>
  </si>
  <si>
    <t xml:space="preserve">Customer 0053</t>
  </si>
  <si>
    <t xml:space="preserve">C00054</t>
  </si>
  <si>
    <t xml:space="preserve">Customer 0054</t>
  </si>
  <si>
    <t xml:space="preserve">C00055</t>
  </si>
  <si>
    <t xml:space="preserve">Customer 0055</t>
  </si>
  <si>
    <t xml:space="preserve">C00056</t>
  </si>
  <si>
    <t xml:space="preserve">Customer 0056</t>
  </si>
  <si>
    <t xml:space="preserve">C00057</t>
  </si>
  <si>
    <t xml:space="preserve">Customer 0057</t>
  </si>
  <si>
    <t xml:space="preserve">C00058</t>
  </si>
  <si>
    <t xml:space="preserve">Customer 0058</t>
  </si>
  <si>
    <t xml:space="preserve">C00059</t>
  </si>
  <si>
    <t xml:space="preserve">Customer 0059</t>
  </si>
  <si>
    <t xml:space="preserve">C00060</t>
  </si>
  <si>
    <t xml:space="preserve">Customer 0060</t>
  </si>
  <si>
    <t xml:space="preserve">C00061</t>
  </si>
  <si>
    <t xml:space="preserve">Customer 0061</t>
  </si>
  <si>
    <t xml:space="preserve">C00062</t>
  </si>
  <si>
    <t xml:space="preserve">Customer 0062</t>
  </si>
  <si>
    <t xml:space="preserve">C00063</t>
  </si>
  <si>
    <t xml:space="preserve">Customer 0063</t>
  </si>
  <si>
    <t xml:space="preserve">C00064</t>
  </si>
  <si>
    <t xml:space="preserve">Customer 0064</t>
  </si>
  <si>
    <t xml:space="preserve">C00065</t>
  </si>
  <si>
    <t xml:space="preserve">Customer 0065</t>
  </si>
  <si>
    <t xml:space="preserve">C00066</t>
  </si>
  <si>
    <t xml:space="preserve">Customer 0066</t>
  </si>
  <si>
    <t xml:space="preserve">C00067</t>
  </si>
  <si>
    <t xml:space="preserve">Customer 0067</t>
  </si>
  <si>
    <t xml:space="preserve">C00068</t>
  </si>
  <si>
    <t xml:space="preserve">Customer 0068</t>
  </si>
  <si>
    <t xml:space="preserve">C00069</t>
  </si>
  <si>
    <t xml:space="preserve">Customer 0069</t>
  </si>
  <si>
    <t xml:space="preserve">C00070</t>
  </si>
  <si>
    <t xml:space="preserve">Customer 0070</t>
  </si>
  <si>
    <t xml:space="preserve">C00071</t>
  </si>
  <si>
    <t xml:space="preserve">Customer 0071</t>
  </si>
  <si>
    <t xml:space="preserve">C00072</t>
  </si>
  <si>
    <t xml:space="preserve">Customer 0072</t>
  </si>
  <si>
    <t xml:space="preserve">C00073</t>
  </si>
  <si>
    <t xml:space="preserve">Customer 0073</t>
  </si>
  <si>
    <t xml:space="preserve">C00074</t>
  </si>
  <si>
    <t xml:space="preserve">Customer 0074</t>
  </si>
  <si>
    <t xml:space="preserve">C00075</t>
  </si>
  <si>
    <t xml:space="preserve">Customer 0075</t>
  </si>
  <si>
    <t xml:space="preserve">C00076</t>
  </si>
  <si>
    <t xml:space="preserve">Customer 0076</t>
  </si>
  <si>
    <t xml:space="preserve">C00077</t>
  </si>
  <si>
    <t xml:space="preserve">Customer 0077</t>
  </si>
  <si>
    <t xml:space="preserve">C00078</t>
  </si>
  <si>
    <t xml:space="preserve">Customer 0078</t>
  </si>
  <si>
    <t xml:space="preserve">C00079</t>
  </si>
  <si>
    <t xml:space="preserve">Customer 0079</t>
  </si>
  <si>
    <t xml:space="preserve">C00080</t>
  </si>
  <si>
    <t xml:space="preserve">Customer 0080</t>
  </si>
  <si>
    <t xml:space="preserve">C00081</t>
  </si>
  <si>
    <t xml:space="preserve">Customer 0081</t>
  </si>
  <si>
    <t xml:space="preserve">C00082</t>
  </si>
  <si>
    <t xml:space="preserve">Customer 0082</t>
  </si>
  <si>
    <t xml:space="preserve">C00083</t>
  </si>
  <si>
    <t xml:space="preserve">Customer 0083</t>
  </si>
  <si>
    <t xml:space="preserve">C00084</t>
  </si>
  <si>
    <t xml:space="preserve">Customer 0084</t>
  </si>
  <si>
    <t xml:space="preserve">C00085</t>
  </si>
  <si>
    <t xml:space="preserve">Customer 0085</t>
  </si>
  <si>
    <t xml:space="preserve">C00086</t>
  </si>
  <si>
    <t xml:space="preserve">Customer 0086</t>
  </si>
  <si>
    <t xml:space="preserve">C00087</t>
  </si>
  <si>
    <t xml:space="preserve">Customer 0087</t>
  </si>
  <si>
    <t xml:space="preserve">C00088</t>
  </si>
  <si>
    <t xml:space="preserve">Customer 0088</t>
  </si>
  <si>
    <t xml:space="preserve">C00089</t>
  </si>
  <si>
    <t xml:space="preserve">Customer 0089</t>
  </si>
  <si>
    <t xml:space="preserve">C00090</t>
  </si>
  <si>
    <t xml:space="preserve">Customer 0090</t>
  </si>
  <si>
    <t xml:space="preserve">C00091</t>
  </si>
  <si>
    <t xml:space="preserve">Customer 0091</t>
  </si>
  <si>
    <t xml:space="preserve">C00092</t>
  </si>
  <si>
    <t xml:space="preserve">Customer 0092</t>
  </si>
  <si>
    <t xml:space="preserve">C00093</t>
  </si>
  <si>
    <t xml:space="preserve">Customer 0093</t>
  </si>
  <si>
    <t xml:space="preserve">C00094</t>
  </si>
  <si>
    <t xml:space="preserve">Customer 0094</t>
  </si>
  <si>
    <t xml:space="preserve">C00095</t>
  </si>
  <si>
    <t xml:space="preserve">Customer 0095</t>
  </si>
  <si>
    <t xml:space="preserve">C00096</t>
  </si>
  <si>
    <t xml:space="preserve">Customer 0096</t>
  </si>
  <si>
    <t xml:space="preserve">C00097</t>
  </si>
  <si>
    <t xml:space="preserve">Customer 0097</t>
  </si>
  <si>
    <t xml:space="preserve">C00098</t>
  </si>
  <si>
    <t xml:space="preserve">Customer 0098</t>
  </si>
  <si>
    <t xml:space="preserve">C00099</t>
  </si>
  <si>
    <t xml:space="preserve">Customer 0099</t>
  </si>
  <si>
    <t xml:space="preserve">C00100</t>
  </si>
  <si>
    <t xml:space="preserve">Customer 0100</t>
  </si>
  <si>
    <t xml:space="preserve">C00101</t>
  </si>
  <si>
    <t xml:space="preserve">Customer 0101</t>
  </si>
  <si>
    <t xml:space="preserve">C00102</t>
  </si>
  <si>
    <t xml:space="preserve">Customer 0102</t>
  </si>
  <si>
    <t xml:space="preserve">C00103</t>
  </si>
  <si>
    <t xml:space="preserve">Customer 0103</t>
  </si>
  <si>
    <t xml:space="preserve">C00104</t>
  </si>
  <si>
    <t xml:space="preserve">Customer 0104</t>
  </si>
  <si>
    <t xml:space="preserve">C00105</t>
  </si>
  <si>
    <t xml:space="preserve">Customer 0105</t>
  </si>
  <si>
    <t xml:space="preserve">C00106</t>
  </si>
  <si>
    <t xml:space="preserve">Customer 0106</t>
  </si>
  <si>
    <t xml:space="preserve">C00107</t>
  </si>
  <si>
    <t xml:space="preserve">Customer 0107</t>
  </si>
  <si>
    <t xml:space="preserve">C00108</t>
  </si>
  <si>
    <t xml:space="preserve">Customer 0108</t>
  </si>
  <si>
    <t xml:space="preserve">C00109</t>
  </si>
  <si>
    <t xml:space="preserve">Customer 0109</t>
  </si>
  <si>
    <t xml:space="preserve">C00110</t>
  </si>
  <si>
    <t xml:space="preserve">Customer 0110</t>
  </si>
  <si>
    <t xml:space="preserve">C00111</t>
  </si>
  <si>
    <t xml:space="preserve">Customer 0111</t>
  </si>
  <si>
    <t xml:space="preserve">C00112</t>
  </si>
  <si>
    <t xml:space="preserve">Customer 0112</t>
  </si>
  <si>
    <t xml:space="preserve">C00113</t>
  </si>
  <si>
    <t xml:space="preserve">Customer 0113</t>
  </si>
  <si>
    <t xml:space="preserve">C00114</t>
  </si>
  <si>
    <t xml:space="preserve">Customer 0114</t>
  </si>
  <si>
    <t xml:space="preserve">C00115</t>
  </si>
  <si>
    <t xml:space="preserve">Customer 0115</t>
  </si>
  <si>
    <t xml:space="preserve">C00116</t>
  </si>
  <si>
    <t xml:space="preserve">Customer 0116</t>
  </si>
  <si>
    <t xml:space="preserve">C00117</t>
  </si>
  <si>
    <t xml:space="preserve">Customer 0117</t>
  </si>
  <si>
    <t xml:space="preserve">C00118</t>
  </si>
  <si>
    <t xml:space="preserve">Customer 0118</t>
  </si>
  <si>
    <t xml:space="preserve">C00119</t>
  </si>
  <si>
    <t xml:space="preserve">Customer 0119</t>
  </si>
  <si>
    <t xml:space="preserve">C00120</t>
  </si>
  <si>
    <t xml:space="preserve">Customer 0120</t>
  </si>
  <si>
    <t xml:space="preserve">C00121</t>
  </si>
  <si>
    <t xml:space="preserve">Customer 0121</t>
  </si>
  <si>
    <t xml:space="preserve">C00122</t>
  </si>
  <si>
    <t xml:space="preserve">Customer 0122</t>
  </si>
  <si>
    <t xml:space="preserve">C00123</t>
  </si>
  <si>
    <t xml:space="preserve">Customer 0123</t>
  </si>
  <si>
    <t xml:space="preserve">C00124</t>
  </si>
  <si>
    <t xml:space="preserve">Customer 0124</t>
  </si>
  <si>
    <t xml:space="preserve">C00125</t>
  </si>
  <si>
    <t xml:space="preserve">Customer 0125</t>
  </si>
  <si>
    <t xml:space="preserve">C00126</t>
  </si>
  <si>
    <t xml:space="preserve">Customer 0126</t>
  </si>
  <si>
    <t xml:space="preserve">C00127</t>
  </si>
  <si>
    <t xml:space="preserve">Customer 0127</t>
  </si>
  <si>
    <t xml:space="preserve">C00128</t>
  </si>
  <si>
    <t xml:space="preserve">Customer 0128</t>
  </si>
  <si>
    <t xml:space="preserve">C00129</t>
  </si>
  <si>
    <t xml:space="preserve">Customer 0129</t>
  </si>
  <si>
    <t xml:space="preserve">C00130</t>
  </si>
  <si>
    <t xml:space="preserve">Customer 0130</t>
  </si>
  <si>
    <t xml:space="preserve">C00131</t>
  </si>
  <si>
    <t xml:space="preserve">Customer 0131</t>
  </si>
  <si>
    <t xml:space="preserve">C00132</t>
  </si>
  <si>
    <t xml:space="preserve">Customer 0132</t>
  </si>
  <si>
    <t xml:space="preserve">C00133</t>
  </si>
  <si>
    <t xml:space="preserve">Customer 0133</t>
  </si>
  <si>
    <t xml:space="preserve">C00134</t>
  </si>
  <si>
    <t xml:space="preserve">Customer 0134</t>
  </si>
  <si>
    <t xml:space="preserve">C00135</t>
  </si>
  <si>
    <t xml:space="preserve">Customer 0135</t>
  </si>
  <si>
    <t xml:space="preserve">C00136</t>
  </si>
  <si>
    <t xml:space="preserve">Customer 0136</t>
  </si>
  <si>
    <t xml:space="preserve">C00137</t>
  </si>
  <si>
    <t xml:space="preserve">Customer 0137</t>
  </si>
  <si>
    <t xml:space="preserve">C00138</t>
  </si>
  <si>
    <t xml:space="preserve">Customer 0138</t>
  </si>
  <si>
    <t xml:space="preserve">C00139</t>
  </si>
  <si>
    <t xml:space="preserve">Customer 0139</t>
  </si>
  <si>
    <t xml:space="preserve">C00140</t>
  </si>
  <si>
    <t xml:space="preserve">Customer 0140</t>
  </si>
  <si>
    <t xml:space="preserve">C00141</t>
  </si>
  <si>
    <t xml:space="preserve">Customer 0141</t>
  </si>
  <si>
    <t xml:space="preserve">C00142</t>
  </si>
  <si>
    <t xml:space="preserve">Customer 0142</t>
  </si>
  <si>
    <t xml:space="preserve">C00143</t>
  </si>
  <si>
    <t xml:space="preserve">Customer 0143</t>
  </si>
  <si>
    <t xml:space="preserve">C00144</t>
  </si>
  <si>
    <t xml:space="preserve">Customer 0144</t>
  </si>
  <si>
    <t xml:space="preserve">C00145</t>
  </si>
  <si>
    <t xml:space="preserve">Customer 0145</t>
  </si>
  <si>
    <t xml:space="preserve">C00146</t>
  </si>
  <si>
    <t xml:space="preserve">Customer 0146</t>
  </si>
  <si>
    <t xml:space="preserve">C00147</t>
  </si>
  <si>
    <t xml:space="preserve">Customer 0147</t>
  </si>
  <si>
    <t xml:space="preserve">C00148</t>
  </si>
  <si>
    <t xml:space="preserve">Customer 0148</t>
  </si>
  <si>
    <t xml:space="preserve">C00149</t>
  </si>
  <si>
    <t xml:space="preserve">Customer 0149</t>
  </si>
  <si>
    <t xml:space="preserve">C00150</t>
  </si>
  <si>
    <t xml:space="preserve">Customer 0150</t>
  </si>
  <si>
    <t xml:space="preserve">C00151</t>
  </si>
  <si>
    <t xml:space="preserve">Customer 0151</t>
  </si>
  <si>
    <t xml:space="preserve">C00152</t>
  </si>
  <si>
    <t xml:space="preserve">Customer 0152</t>
  </si>
  <si>
    <t xml:space="preserve">C00153</t>
  </si>
  <si>
    <t xml:space="preserve">Customer 0153</t>
  </si>
  <si>
    <t xml:space="preserve">C00154</t>
  </si>
  <si>
    <t xml:space="preserve">Customer 0154</t>
  </si>
  <si>
    <t xml:space="preserve">C00155</t>
  </si>
  <si>
    <t xml:space="preserve">Customer 0155</t>
  </si>
  <si>
    <t xml:space="preserve">C00156</t>
  </si>
  <si>
    <t xml:space="preserve">Customer 0156</t>
  </si>
  <si>
    <t xml:space="preserve">C00157</t>
  </si>
  <si>
    <t xml:space="preserve">Customer 0157</t>
  </si>
  <si>
    <t xml:space="preserve">C00158</t>
  </si>
  <si>
    <t xml:space="preserve">Customer 0158</t>
  </si>
  <si>
    <t xml:space="preserve">C00159</t>
  </si>
  <si>
    <t xml:space="preserve">Customer 0159</t>
  </si>
  <si>
    <t xml:space="preserve">C00160</t>
  </si>
  <si>
    <t xml:space="preserve">Customer 0160</t>
  </si>
  <si>
    <t xml:space="preserve">C00161</t>
  </si>
  <si>
    <t xml:space="preserve">Customer 0161</t>
  </si>
  <si>
    <t xml:space="preserve">C00162</t>
  </si>
  <si>
    <t xml:space="preserve">Customer 0162</t>
  </si>
  <si>
    <t xml:space="preserve">C00163</t>
  </si>
  <si>
    <t xml:space="preserve">Customer 0163</t>
  </si>
  <si>
    <t xml:space="preserve">C00164</t>
  </si>
  <si>
    <t xml:space="preserve">Customer 0164</t>
  </si>
  <si>
    <t xml:space="preserve">C00165</t>
  </si>
  <si>
    <t xml:space="preserve">Customer 0165</t>
  </si>
  <si>
    <t xml:space="preserve">C00166</t>
  </si>
  <si>
    <t xml:space="preserve">Customer 0166</t>
  </si>
  <si>
    <t xml:space="preserve">C00167</t>
  </si>
  <si>
    <t xml:space="preserve">Customer 0167</t>
  </si>
  <si>
    <t xml:space="preserve">C00168</t>
  </si>
  <si>
    <t xml:space="preserve">Customer 0168</t>
  </si>
  <si>
    <t xml:space="preserve">C00169</t>
  </si>
  <si>
    <t xml:space="preserve">Customer 0169</t>
  </si>
  <si>
    <t xml:space="preserve">C00170</t>
  </si>
  <si>
    <t xml:space="preserve">Customer 0170</t>
  </si>
  <si>
    <t xml:space="preserve">C00171</t>
  </si>
  <si>
    <t xml:space="preserve">Customer 0171</t>
  </si>
  <si>
    <t xml:space="preserve">C00172</t>
  </si>
  <si>
    <t xml:space="preserve">Customer 0172</t>
  </si>
  <si>
    <t xml:space="preserve">C00173</t>
  </si>
  <si>
    <t xml:space="preserve">Customer 0173</t>
  </si>
  <si>
    <t xml:space="preserve">C00174</t>
  </si>
  <si>
    <t xml:space="preserve">Customer 0174</t>
  </si>
  <si>
    <t xml:space="preserve">C00175</t>
  </si>
  <si>
    <t xml:space="preserve">Customer 0175</t>
  </si>
  <si>
    <t xml:space="preserve">C00176</t>
  </si>
  <si>
    <t xml:space="preserve">Customer 0176</t>
  </si>
  <si>
    <t xml:space="preserve">C00177</t>
  </si>
  <si>
    <t xml:space="preserve">Customer 0177</t>
  </si>
  <si>
    <t xml:space="preserve">C00178</t>
  </si>
  <si>
    <t xml:space="preserve">Customer 0178</t>
  </si>
  <si>
    <t xml:space="preserve">C00179</t>
  </si>
  <si>
    <t xml:space="preserve">Customer 0179</t>
  </si>
  <si>
    <t xml:space="preserve">C00180</t>
  </si>
  <si>
    <t xml:space="preserve">Customer 0180</t>
  </si>
  <si>
    <t xml:space="preserve">C00181</t>
  </si>
  <si>
    <t xml:space="preserve">Customer 0181</t>
  </si>
  <si>
    <t xml:space="preserve">C00182</t>
  </si>
  <si>
    <t xml:space="preserve">Customer 0182</t>
  </si>
  <si>
    <t xml:space="preserve">C00183</t>
  </si>
  <si>
    <t xml:space="preserve">Customer 0183</t>
  </si>
  <si>
    <t xml:space="preserve">C00184</t>
  </si>
  <si>
    <t xml:space="preserve">Customer 0184</t>
  </si>
  <si>
    <t xml:space="preserve">C00185</t>
  </si>
  <si>
    <t xml:space="preserve">Customer 0185</t>
  </si>
  <si>
    <t xml:space="preserve">C00186</t>
  </si>
  <si>
    <t xml:space="preserve">Customer 0186</t>
  </si>
  <si>
    <t xml:space="preserve">C00187</t>
  </si>
  <si>
    <t xml:space="preserve">Customer 0187</t>
  </si>
  <si>
    <t xml:space="preserve">C00188</t>
  </si>
  <si>
    <t xml:space="preserve">Customer 0188</t>
  </si>
  <si>
    <t xml:space="preserve">C00189</t>
  </si>
  <si>
    <t xml:space="preserve">Customer 0189</t>
  </si>
  <si>
    <t xml:space="preserve">C00190</t>
  </si>
  <si>
    <t xml:space="preserve">Customer 0190</t>
  </si>
  <si>
    <t xml:space="preserve">C00191</t>
  </si>
  <si>
    <t xml:space="preserve">Customer 0191</t>
  </si>
  <si>
    <t xml:space="preserve">C00192</t>
  </si>
  <si>
    <t xml:space="preserve">Customer 0192</t>
  </si>
  <si>
    <t xml:space="preserve">C00193</t>
  </si>
  <si>
    <t xml:space="preserve">Customer 0193</t>
  </si>
  <si>
    <t xml:space="preserve">C00194</t>
  </si>
  <si>
    <t xml:space="preserve">Customer 0194</t>
  </si>
  <si>
    <t xml:space="preserve">C00195</t>
  </si>
  <si>
    <t xml:space="preserve">Customer 0195</t>
  </si>
  <si>
    <t xml:space="preserve">C00196</t>
  </si>
  <si>
    <t xml:space="preserve">Customer 0196</t>
  </si>
  <si>
    <t xml:space="preserve">C00197</t>
  </si>
  <si>
    <t xml:space="preserve">Customer 0197</t>
  </si>
  <si>
    <t xml:space="preserve">C00198</t>
  </si>
  <si>
    <t xml:space="preserve">Customer 0198</t>
  </si>
  <si>
    <t xml:space="preserve">C00199</t>
  </si>
  <si>
    <t xml:space="preserve">Customer 0199</t>
  </si>
  <si>
    <t xml:space="preserve">C00200</t>
  </si>
  <si>
    <t xml:space="preserve">Customer 0200</t>
  </si>
  <si>
    <t xml:space="preserve">C00201</t>
  </si>
  <si>
    <t xml:space="preserve">Customer 0201</t>
  </si>
  <si>
    <t xml:space="preserve">C00202</t>
  </si>
  <si>
    <t xml:space="preserve">Customer 0202</t>
  </si>
  <si>
    <t xml:space="preserve">C00203</t>
  </si>
  <si>
    <t xml:space="preserve">Customer 0203</t>
  </si>
  <si>
    <t xml:space="preserve">C00204</t>
  </si>
  <si>
    <t xml:space="preserve">Customer 0204</t>
  </si>
  <si>
    <t xml:space="preserve">C00205</t>
  </si>
  <si>
    <t xml:space="preserve">Customer 0205</t>
  </si>
  <si>
    <t xml:space="preserve">C00206</t>
  </si>
  <si>
    <t xml:space="preserve">Customer 0206</t>
  </si>
  <si>
    <t xml:space="preserve">C00207</t>
  </si>
  <si>
    <t xml:space="preserve">Customer 0207</t>
  </si>
  <si>
    <t xml:space="preserve">C00208</t>
  </si>
  <si>
    <t xml:space="preserve">Customer 0208</t>
  </si>
  <si>
    <t xml:space="preserve">C00209</t>
  </si>
  <si>
    <t xml:space="preserve">Customer 0209</t>
  </si>
  <si>
    <t xml:space="preserve">C00210</t>
  </si>
  <si>
    <t xml:space="preserve">Customer 0210</t>
  </si>
  <si>
    <t xml:space="preserve">C00211</t>
  </si>
  <si>
    <t xml:space="preserve">Customer 0211</t>
  </si>
  <si>
    <t xml:space="preserve">C00212</t>
  </si>
  <si>
    <t xml:space="preserve">Customer 0212</t>
  </si>
  <si>
    <t xml:space="preserve">C00213</t>
  </si>
  <si>
    <t xml:space="preserve">Customer 0213</t>
  </si>
  <si>
    <t xml:space="preserve">C00214</t>
  </si>
  <si>
    <t xml:space="preserve">Customer 0214</t>
  </si>
  <si>
    <t xml:space="preserve">C00215</t>
  </si>
  <si>
    <t xml:space="preserve">Customer 0215</t>
  </si>
  <si>
    <t xml:space="preserve">C00216</t>
  </si>
  <si>
    <t xml:space="preserve">Customer 0216</t>
  </si>
  <si>
    <t xml:space="preserve">C00217</t>
  </si>
  <si>
    <t xml:space="preserve">Customer 0217</t>
  </si>
  <si>
    <t xml:space="preserve">C00218</t>
  </si>
  <si>
    <t xml:space="preserve">Customer 0218</t>
  </si>
  <si>
    <t xml:space="preserve">C00219</t>
  </si>
  <si>
    <t xml:space="preserve">Customer 0219</t>
  </si>
  <si>
    <t xml:space="preserve">C00220</t>
  </si>
  <si>
    <t xml:space="preserve">Customer 0220</t>
  </si>
  <si>
    <t xml:space="preserve">C00221</t>
  </si>
  <si>
    <t xml:space="preserve">Customer 0221</t>
  </si>
  <si>
    <t xml:space="preserve">C00222</t>
  </si>
  <si>
    <t xml:space="preserve">Customer 0222</t>
  </si>
  <si>
    <t xml:space="preserve">C00223</t>
  </si>
  <si>
    <t xml:space="preserve">Customer 0223</t>
  </si>
  <si>
    <t xml:space="preserve">C00224</t>
  </si>
  <si>
    <t xml:space="preserve">Customer 0224</t>
  </si>
  <si>
    <t xml:space="preserve">C00225</t>
  </si>
  <si>
    <t xml:space="preserve">Customer 0225</t>
  </si>
  <si>
    <t xml:space="preserve">C00226</t>
  </si>
  <si>
    <t xml:space="preserve">Customer 0226</t>
  </si>
  <si>
    <t xml:space="preserve">C00227</t>
  </si>
  <si>
    <t xml:space="preserve">Customer 0227</t>
  </si>
  <si>
    <t xml:space="preserve">C00228</t>
  </si>
  <si>
    <t xml:space="preserve">Customer 0228</t>
  </si>
  <si>
    <t xml:space="preserve">C00229</t>
  </si>
  <si>
    <t xml:space="preserve">Customer 0229</t>
  </si>
  <si>
    <t xml:space="preserve">C00230</t>
  </si>
  <si>
    <t xml:space="preserve">Customer 0230</t>
  </si>
  <si>
    <t xml:space="preserve">C00231</t>
  </si>
  <si>
    <t xml:space="preserve">Customer 0231</t>
  </si>
  <si>
    <t xml:space="preserve">C00232</t>
  </si>
  <si>
    <t xml:space="preserve">Customer 0232</t>
  </si>
  <si>
    <t xml:space="preserve">C00233</t>
  </si>
  <si>
    <t xml:space="preserve">Customer 0233</t>
  </si>
  <si>
    <t xml:space="preserve">C00234</t>
  </si>
  <si>
    <t xml:space="preserve">Customer 0234</t>
  </si>
  <si>
    <t xml:space="preserve">C00235</t>
  </si>
  <si>
    <t xml:space="preserve">Customer 0235</t>
  </si>
  <si>
    <t xml:space="preserve">C00236</t>
  </si>
  <si>
    <t xml:space="preserve">Customer 0236</t>
  </si>
  <si>
    <t xml:space="preserve">C00237</t>
  </si>
  <si>
    <t xml:space="preserve">Customer 0237</t>
  </si>
  <si>
    <t xml:space="preserve">C00238</t>
  </si>
  <si>
    <t xml:space="preserve">Customer 0238</t>
  </si>
  <si>
    <t xml:space="preserve">C00239</t>
  </si>
  <si>
    <t xml:space="preserve">Customer 0239</t>
  </si>
  <si>
    <t xml:space="preserve">C00240</t>
  </si>
  <si>
    <t xml:space="preserve">Customer 0240</t>
  </si>
  <si>
    <t xml:space="preserve">C00241</t>
  </si>
  <si>
    <t xml:space="preserve">Customer 0241</t>
  </si>
  <si>
    <t xml:space="preserve">C00242</t>
  </si>
  <si>
    <t xml:space="preserve">Customer 0242</t>
  </si>
  <si>
    <t xml:space="preserve">C00243</t>
  </si>
  <si>
    <t xml:space="preserve">Customer 0243</t>
  </si>
  <si>
    <t xml:space="preserve">C00244</t>
  </si>
  <si>
    <t xml:space="preserve">Customer 0244</t>
  </si>
  <si>
    <t xml:space="preserve">C00245</t>
  </si>
  <si>
    <t xml:space="preserve">Customer 0245</t>
  </si>
  <si>
    <t xml:space="preserve">C00246</t>
  </si>
  <si>
    <t xml:space="preserve">Customer 0246</t>
  </si>
  <si>
    <t xml:space="preserve">C00247</t>
  </si>
  <si>
    <t xml:space="preserve">Customer 0247</t>
  </si>
  <si>
    <t xml:space="preserve">C00248</t>
  </si>
  <si>
    <t xml:space="preserve">Customer 0248</t>
  </si>
  <si>
    <t xml:space="preserve">C00249</t>
  </si>
  <si>
    <t xml:space="preserve">Customer 0249</t>
  </si>
  <si>
    <t xml:space="preserve">C00250</t>
  </si>
  <si>
    <t xml:space="preserve">Customer 0250</t>
  </si>
  <si>
    <t xml:space="preserve">C00251</t>
  </si>
  <si>
    <t xml:space="preserve">Customer 0251</t>
  </si>
  <si>
    <t xml:space="preserve">C00252</t>
  </si>
  <si>
    <t xml:space="preserve">Customer 0252</t>
  </si>
  <si>
    <t xml:space="preserve">C00253</t>
  </si>
  <si>
    <t xml:space="preserve">Customer 0253</t>
  </si>
  <si>
    <t xml:space="preserve">C00254</t>
  </si>
  <si>
    <t xml:space="preserve">Customer 0254</t>
  </si>
  <si>
    <t xml:space="preserve">C00255</t>
  </si>
  <si>
    <t xml:space="preserve">Customer 0255</t>
  </si>
  <si>
    <t xml:space="preserve">C00256</t>
  </si>
  <si>
    <t xml:space="preserve">Customer 0256</t>
  </si>
  <si>
    <t xml:space="preserve">C00257</t>
  </si>
  <si>
    <t xml:space="preserve">Customer 0257</t>
  </si>
  <si>
    <t xml:space="preserve">C00258</t>
  </si>
  <si>
    <t xml:space="preserve">Customer 0258</t>
  </si>
  <si>
    <t xml:space="preserve">C00259</t>
  </si>
  <si>
    <t xml:space="preserve">Customer 0259</t>
  </si>
  <si>
    <t xml:space="preserve">C00260</t>
  </si>
  <si>
    <t xml:space="preserve">Customer 0260</t>
  </si>
  <si>
    <t xml:space="preserve">C00261</t>
  </si>
  <si>
    <t xml:space="preserve">Customer 0261</t>
  </si>
  <si>
    <t xml:space="preserve">C00262</t>
  </si>
  <si>
    <t xml:space="preserve">Customer 0262</t>
  </si>
  <si>
    <t xml:space="preserve">C00263</t>
  </si>
  <si>
    <t xml:space="preserve">Customer 0263</t>
  </si>
  <si>
    <t xml:space="preserve">C00264</t>
  </si>
  <si>
    <t xml:space="preserve">Customer 0264</t>
  </si>
  <si>
    <t xml:space="preserve">C00265</t>
  </si>
  <si>
    <t xml:space="preserve">Customer 0265</t>
  </si>
  <si>
    <t xml:space="preserve">C00266</t>
  </si>
  <si>
    <t xml:space="preserve">Customer 0266</t>
  </si>
  <si>
    <t xml:space="preserve">C00267</t>
  </si>
  <si>
    <t xml:space="preserve">Customer 0267</t>
  </si>
  <si>
    <t xml:space="preserve">C00268</t>
  </si>
  <si>
    <t xml:space="preserve">Customer 0268</t>
  </si>
  <si>
    <t xml:space="preserve">C00269</t>
  </si>
  <si>
    <t xml:space="preserve">Customer 0269</t>
  </si>
  <si>
    <t xml:space="preserve">C00270</t>
  </si>
  <si>
    <t xml:space="preserve">Customer 0270</t>
  </si>
  <si>
    <t xml:space="preserve">C00271</t>
  </si>
  <si>
    <t xml:space="preserve">Customer 0271</t>
  </si>
  <si>
    <t xml:space="preserve">C00272</t>
  </si>
  <si>
    <t xml:space="preserve">Customer 0272</t>
  </si>
  <si>
    <t xml:space="preserve">C00273</t>
  </si>
  <si>
    <t xml:space="preserve">Customer 0273</t>
  </si>
  <si>
    <t xml:space="preserve">C00274</t>
  </si>
  <si>
    <t xml:space="preserve">Customer 0274</t>
  </si>
  <si>
    <t xml:space="preserve">C00275</t>
  </si>
  <si>
    <t xml:space="preserve">Customer 0275</t>
  </si>
  <si>
    <t xml:space="preserve">C00276</t>
  </si>
  <si>
    <t xml:space="preserve">Customer 0276</t>
  </si>
  <si>
    <t xml:space="preserve">C00277</t>
  </si>
  <si>
    <t xml:space="preserve">Customer 0277</t>
  </si>
  <si>
    <t xml:space="preserve">C00278</t>
  </si>
  <si>
    <t xml:space="preserve">Customer 0278</t>
  </si>
  <si>
    <t xml:space="preserve">C00279</t>
  </si>
  <si>
    <t xml:space="preserve">Customer 0279</t>
  </si>
  <si>
    <t xml:space="preserve">C00280</t>
  </si>
  <si>
    <t xml:space="preserve">Customer 0280</t>
  </si>
  <si>
    <t xml:space="preserve">C00281</t>
  </si>
  <si>
    <t xml:space="preserve">Customer 0281</t>
  </si>
  <si>
    <t xml:space="preserve">C00282</t>
  </si>
  <si>
    <t xml:space="preserve">Customer 0282</t>
  </si>
  <si>
    <t xml:space="preserve">C00283</t>
  </si>
  <si>
    <t xml:space="preserve">Customer 0283</t>
  </si>
  <si>
    <t xml:space="preserve">C00284</t>
  </si>
  <si>
    <t xml:space="preserve">Customer 0284</t>
  </si>
  <si>
    <t xml:space="preserve">C00285</t>
  </si>
  <si>
    <t xml:space="preserve">Customer 0285</t>
  </si>
  <si>
    <t xml:space="preserve">C00286</t>
  </si>
  <si>
    <t xml:space="preserve">Customer 0286</t>
  </si>
  <si>
    <t xml:space="preserve">C00287</t>
  </si>
  <si>
    <t xml:space="preserve">Customer 0287</t>
  </si>
  <si>
    <t xml:space="preserve">C00288</t>
  </si>
  <si>
    <t xml:space="preserve">Customer 0288</t>
  </si>
  <si>
    <t xml:space="preserve">C00289</t>
  </si>
  <si>
    <t xml:space="preserve">Customer 0289</t>
  </si>
  <si>
    <t xml:space="preserve">C00290</t>
  </si>
  <si>
    <t xml:space="preserve">Customer 0290</t>
  </si>
  <si>
    <t xml:space="preserve">C00291</t>
  </si>
  <si>
    <t xml:space="preserve">Customer 0291</t>
  </si>
  <si>
    <t xml:space="preserve">C00292</t>
  </si>
  <si>
    <t xml:space="preserve">Customer 0292</t>
  </si>
  <si>
    <t xml:space="preserve">C00293</t>
  </si>
  <si>
    <t xml:space="preserve">Customer 0293</t>
  </si>
  <si>
    <t xml:space="preserve">C00294</t>
  </si>
  <si>
    <t xml:space="preserve">Customer 0294</t>
  </si>
  <si>
    <t xml:space="preserve">C00295</t>
  </si>
  <si>
    <t xml:space="preserve">Customer 0295</t>
  </si>
  <si>
    <t xml:space="preserve">C00296</t>
  </si>
  <si>
    <t xml:space="preserve">Customer 0296</t>
  </si>
  <si>
    <t xml:space="preserve">C00297</t>
  </si>
  <si>
    <t xml:space="preserve">Customer 0297</t>
  </si>
  <si>
    <t xml:space="preserve">C00298</t>
  </si>
  <si>
    <t xml:space="preserve">Customer 0298</t>
  </si>
  <si>
    <t xml:space="preserve">C00299</t>
  </si>
  <si>
    <t xml:space="preserve">Customer 0299</t>
  </si>
  <si>
    <t xml:space="preserve">C00300</t>
  </si>
  <si>
    <t xml:space="preserve">Customer 0300</t>
  </si>
  <si>
    <t xml:space="preserve">C00301</t>
  </si>
  <si>
    <t xml:space="preserve">Customer 0301</t>
  </si>
  <si>
    <t xml:space="preserve">C00302</t>
  </si>
  <si>
    <t xml:space="preserve">Customer 0302</t>
  </si>
  <si>
    <t xml:space="preserve">C00303</t>
  </si>
  <si>
    <t xml:space="preserve">Customer 0303</t>
  </si>
  <si>
    <t xml:space="preserve">C00304</t>
  </si>
  <si>
    <t xml:space="preserve">Customer 0304</t>
  </si>
  <si>
    <t xml:space="preserve">C00305</t>
  </si>
  <si>
    <t xml:space="preserve">Customer 0305</t>
  </si>
  <si>
    <t xml:space="preserve">C00306</t>
  </si>
  <si>
    <t xml:space="preserve">Customer 0306</t>
  </si>
  <si>
    <t xml:space="preserve">C00307</t>
  </si>
  <si>
    <t xml:space="preserve">Customer 0307</t>
  </si>
  <si>
    <t xml:space="preserve">C00308</t>
  </si>
  <si>
    <t xml:space="preserve">Customer 0308</t>
  </si>
  <si>
    <t xml:space="preserve">C00309</t>
  </si>
  <si>
    <t xml:space="preserve">Customer 0309</t>
  </si>
  <si>
    <t xml:space="preserve">C00310</t>
  </si>
  <si>
    <t xml:space="preserve">Customer 0310</t>
  </si>
  <si>
    <t xml:space="preserve">C00311</t>
  </si>
  <si>
    <t xml:space="preserve">Customer 0311</t>
  </si>
  <si>
    <t xml:space="preserve">C00312</t>
  </si>
  <si>
    <t xml:space="preserve">Customer 0312</t>
  </si>
  <si>
    <t xml:space="preserve">C00313</t>
  </si>
  <si>
    <t xml:space="preserve">Customer 0313</t>
  </si>
  <si>
    <t xml:space="preserve">C00314</t>
  </si>
  <si>
    <t xml:space="preserve">Customer 0314</t>
  </si>
  <si>
    <t xml:space="preserve">C00315</t>
  </si>
  <si>
    <t xml:space="preserve">Customer 0315</t>
  </si>
  <si>
    <t xml:space="preserve">C00316</t>
  </si>
  <si>
    <t xml:space="preserve">Customer 0316</t>
  </si>
  <si>
    <t xml:space="preserve">C00317</t>
  </si>
  <si>
    <t xml:space="preserve">Customer 0317</t>
  </si>
  <si>
    <t xml:space="preserve">C00318</t>
  </si>
  <si>
    <t xml:space="preserve">Customer 0318</t>
  </si>
  <si>
    <t xml:space="preserve">C00319</t>
  </si>
  <si>
    <t xml:space="preserve">Customer 0319</t>
  </si>
  <si>
    <t xml:space="preserve">C00320</t>
  </si>
  <si>
    <t xml:space="preserve">Customer 0320</t>
  </si>
  <si>
    <t xml:space="preserve">C00321</t>
  </si>
  <si>
    <t xml:space="preserve">Customer 0321</t>
  </si>
  <si>
    <t xml:space="preserve">C00322</t>
  </si>
  <si>
    <t xml:space="preserve">Customer 0322</t>
  </si>
  <si>
    <t xml:space="preserve">C00323</t>
  </si>
  <si>
    <t xml:space="preserve">Customer 0323</t>
  </si>
  <si>
    <t xml:space="preserve">C00324</t>
  </si>
  <si>
    <t xml:space="preserve">Customer 0324</t>
  </si>
  <si>
    <t xml:space="preserve">C00325</t>
  </si>
  <si>
    <t xml:space="preserve">Customer 0325</t>
  </si>
  <si>
    <t xml:space="preserve">C00326</t>
  </si>
  <si>
    <t xml:space="preserve">Customer 0326</t>
  </si>
  <si>
    <t xml:space="preserve">C00327</t>
  </si>
  <si>
    <t xml:space="preserve">Customer 0327</t>
  </si>
  <si>
    <t xml:space="preserve">C00328</t>
  </si>
  <si>
    <t xml:space="preserve">Customer 0328</t>
  </si>
  <si>
    <t xml:space="preserve">C00329</t>
  </si>
  <si>
    <t xml:space="preserve">Customer 0329</t>
  </si>
  <si>
    <t xml:space="preserve">C00330</t>
  </si>
  <si>
    <t xml:space="preserve">Customer 0330</t>
  </si>
  <si>
    <t xml:space="preserve">C00331</t>
  </si>
  <si>
    <t xml:space="preserve">Customer 0331</t>
  </si>
  <si>
    <t xml:space="preserve">C00332</t>
  </si>
  <si>
    <t xml:space="preserve">Customer 0332</t>
  </si>
  <si>
    <t xml:space="preserve">C00333</t>
  </si>
  <si>
    <t xml:space="preserve">Customer 0333</t>
  </si>
  <si>
    <t xml:space="preserve">C00334</t>
  </si>
  <si>
    <t xml:space="preserve">Customer 0334</t>
  </si>
  <si>
    <t xml:space="preserve">C00335</t>
  </si>
  <si>
    <t xml:space="preserve">Customer 0335</t>
  </si>
  <si>
    <t xml:space="preserve">C00336</t>
  </si>
  <si>
    <t xml:space="preserve">Customer 0336</t>
  </si>
  <si>
    <t xml:space="preserve">C00337</t>
  </si>
  <si>
    <t xml:space="preserve">Customer 0337</t>
  </si>
  <si>
    <t xml:space="preserve">C00338</t>
  </si>
  <si>
    <t xml:space="preserve">Customer 0338</t>
  </si>
  <si>
    <t xml:space="preserve">C00339</t>
  </si>
  <si>
    <t xml:space="preserve">Customer 0339</t>
  </si>
  <si>
    <t xml:space="preserve">C00340</t>
  </si>
  <si>
    <t xml:space="preserve">Customer 0340</t>
  </si>
  <si>
    <t xml:space="preserve">C00341</t>
  </si>
  <si>
    <t xml:space="preserve">Customer 0341</t>
  </si>
  <si>
    <t xml:space="preserve">C00342</t>
  </si>
  <si>
    <t xml:space="preserve">Customer 0342</t>
  </si>
  <si>
    <t xml:space="preserve">C00343</t>
  </si>
  <si>
    <t xml:space="preserve">Customer 0343</t>
  </si>
  <si>
    <t xml:space="preserve">C00344</t>
  </si>
  <si>
    <t xml:space="preserve">Customer 0344</t>
  </si>
  <si>
    <t xml:space="preserve">C00345</t>
  </si>
  <si>
    <t xml:space="preserve">Customer 0345</t>
  </si>
  <si>
    <t xml:space="preserve">C00346</t>
  </si>
  <si>
    <t xml:space="preserve">Customer 0346</t>
  </si>
  <si>
    <t xml:space="preserve">C00347</t>
  </si>
  <si>
    <t xml:space="preserve">Customer 0347</t>
  </si>
  <si>
    <t xml:space="preserve">C00348</t>
  </si>
  <si>
    <t xml:space="preserve">Customer 0348</t>
  </si>
  <si>
    <t xml:space="preserve">C00349</t>
  </si>
  <si>
    <t xml:space="preserve">Customer 0349</t>
  </si>
  <si>
    <t xml:space="preserve">C00350</t>
  </si>
  <si>
    <t xml:space="preserve">Customer 0350</t>
  </si>
  <si>
    <t xml:space="preserve">C00351</t>
  </si>
  <si>
    <t xml:space="preserve">Customer 0351</t>
  </si>
  <si>
    <t xml:space="preserve">C00352</t>
  </si>
  <si>
    <t xml:space="preserve">Customer 0352</t>
  </si>
  <si>
    <t xml:space="preserve">C00353</t>
  </si>
  <si>
    <t xml:space="preserve">Customer 0353</t>
  </si>
  <si>
    <t xml:space="preserve">C00354</t>
  </si>
  <si>
    <t xml:space="preserve">Customer 0354</t>
  </si>
  <si>
    <t xml:space="preserve">C00355</t>
  </si>
  <si>
    <t xml:space="preserve">Customer 0355</t>
  </si>
  <si>
    <t xml:space="preserve">C00356</t>
  </si>
  <si>
    <t xml:space="preserve">Customer 0356</t>
  </si>
  <si>
    <t xml:space="preserve">C00357</t>
  </si>
  <si>
    <t xml:space="preserve">Customer 0357</t>
  </si>
  <si>
    <t xml:space="preserve">C00358</t>
  </si>
  <si>
    <t xml:space="preserve">Customer 0358</t>
  </si>
  <si>
    <t xml:space="preserve">C00359</t>
  </si>
  <si>
    <t xml:space="preserve">Customer 0359</t>
  </si>
  <si>
    <t xml:space="preserve">C00360</t>
  </si>
  <si>
    <t xml:space="preserve">Customer 0360</t>
  </si>
  <si>
    <t xml:space="preserve">C00361</t>
  </si>
  <si>
    <t xml:space="preserve">Customer 0361</t>
  </si>
  <si>
    <t xml:space="preserve">C00362</t>
  </si>
  <si>
    <t xml:space="preserve">Customer 0362</t>
  </si>
  <si>
    <t xml:space="preserve">C00363</t>
  </si>
  <si>
    <t xml:space="preserve">Customer 0363</t>
  </si>
  <si>
    <t xml:space="preserve">C00364</t>
  </si>
  <si>
    <t xml:space="preserve">Customer 0364</t>
  </si>
  <si>
    <t xml:space="preserve">C00365</t>
  </si>
  <si>
    <t xml:space="preserve">Customer 0365</t>
  </si>
  <si>
    <t xml:space="preserve">C00366</t>
  </si>
  <si>
    <t xml:space="preserve">Customer 0366</t>
  </si>
  <si>
    <t xml:space="preserve">C00367</t>
  </si>
  <si>
    <t xml:space="preserve">Customer 0367</t>
  </si>
  <si>
    <t xml:space="preserve">C00368</t>
  </si>
  <si>
    <t xml:space="preserve">Customer 0368</t>
  </si>
  <si>
    <t xml:space="preserve">C00369</t>
  </si>
  <si>
    <t xml:space="preserve">Customer 0369</t>
  </si>
  <si>
    <t xml:space="preserve">C00370</t>
  </si>
  <si>
    <t xml:space="preserve">Customer 0370</t>
  </si>
  <si>
    <t xml:space="preserve">C00371</t>
  </si>
  <si>
    <t xml:space="preserve">Customer 0371</t>
  </si>
  <si>
    <t xml:space="preserve">C00372</t>
  </si>
  <si>
    <t xml:space="preserve">Customer 0372</t>
  </si>
  <si>
    <t xml:space="preserve">C00373</t>
  </si>
  <si>
    <t xml:space="preserve">Customer 0373</t>
  </si>
  <si>
    <t xml:space="preserve">C00374</t>
  </si>
  <si>
    <t xml:space="preserve">Customer 0374</t>
  </si>
  <si>
    <t xml:space="preserve">C00375</t>
  </si>
  <si>
    <t xml:space="preserve">Customer 0375</t>
  </si>
  <si>
    <t xml:space="preserve">C00376</t>
  </si>
  <si>
    <t xml:space="preserve">Customer 0376</t>
  </si>
  <si>
    <t xml:space="preserve">C00377</t>
  </si>
  <si>
    <t xml:space="preserve">Customer 0377</t>
  </si>
  <si>
    <t xml:space="preserve">C00378</t>
  </si>
  <si>
    <t xml:space="preserve">Customer 0378</t>
  </si>
  <si>
    <t xml:space="preserve">C00379</t>
  </si>
  <si>
    <t xml:space="preserve">Customer 0379</t>
  </si>
  <si>
    <t xml:space="preserve">C00380</t>
  </si>
  <si>
    <t xml:space="preserve">Customer 0380</t>
  </si>
  <si>
    <t xml:space="preserve">C00381</t>
  </si>
  <si>
    <t xml:space="preserve">Customer 0381</t>
  </si>
  <si>
    <t xml:space="preserve">C00382</t>
  </si>
  <si>
    <t xml:space="preserve">Customer 0382</t>
  </si>
  <si>
    <t xml:space="preserve">C00383</t>
  </si>
  <si>
    <t xml:space="preserve">Customer 0383</t>
  </si>
  <si>
    <t xml:space="preserve">C00384</t>
  </si>
  <si>
    <t xml:space="preserve">Customer 0384</t>
  </si>
  <si>
    <t xml:space="preserve">C00385</t>
  </si>
  <si>
    <t xml:space="preserve">Customer 0385</t>
  </si>
  <si>
    <t xml:space="preserve">C00386</t>
  </si>
  <si>
    <t xml:space="preserve">Customer 0386</t>
  </si>
  <si>
    <t xml:space="preserve">C00387</t>
  </si>
  <si>
    <t xml:space="preserve">Customer 0387</t>
  </si>
  <si>
    <t xml:space="preserve">C00388</t>
  </si>
  <si>
    <t xml:space="preserve">Customer 0388</t>
  </si>
  <si>
    <t xml:space="preserve">C00389</t>
  </si>
  <si>
    <t xml:space="preserve">Customer 0389</t>
  </si>
  <si>
    <t xml:space="preserve">C00390</t>
  </si>
  <si>
    <t xml:space="preserve">Customer 0390</t>
  </si>
  <si>
    <t xml:space="preserve">C00391</t>
  </si>
  <si>
    <t xml:space="preserve">Customer 0391</t>
  </si>
  <si>
    <t xml:space="preserve">C00392</t>
  </si>
  <si>
    <t xml:space="preserve">Customer 0392</t>
  </si>
  <si>
    <t xml:space="preserve">C00393</t>
  </si>
  <si>
    <t xml:space="preserve">Customer 0393</t>
  </si>
  <si>
    <t xml:space="preserve">C00394</t>
  </si>
  <si>
    <t xml:space="preserve">Customer 0394</t>
  </si>
  <si>
    <t xml:space="preserve">C00395</t>
  </si>
  <si>
    <t xml:space="preserve">Customer 0395</t>
  </si>
  <si>
    <t xml:space="preserve">C00396</t>
  </si>
  <si>
    <t xml:space="preserve">Customer 0396</t>
  </si>
  <si>
    <t xml:space="preserve">C00397</t>
  </si>
  <si>
    <t xml:space="preserve">Customer 0397</t>
  </si>
  <si>
    <t xml:space="preserve">C00398</t>
  </si>
  <si>
    <t xml:space="preserve">Customer 0398</t>
  </si>
  <si>
    <t xml:space="preserve">C00399</t>
  </si>
  <si>
    <t xml:space="preserve">Customer 0399</t>
  </si>
  <si>
    <t xml:space="preserve">C00400</t>
  </si>
  <si>
    <t xml:space="preserve">Customer 0400</t>
  </si>
  <si>
    <t xml:space="preserve">C00401</t>
  </si>
  <si>
    <t xml:space="preserve">Customer 0401</t>
  </si>
  <si>
    <t xml:space="preserve">C00402</t>
  </si>
  <si>
    <t xml:space="preserve">Customer 0402</t>
  </si>
  <si>
    <t xml:space="preserve">C00403</t>
  </si>
  <si>
    <t xml:space="preserve">Customer 0403</t>
  </si>
  <si>
    <t xml:space="preserve">C00404</t>
  </si>
  <si>
    <t xml:space="preserve">Customer 0404</t>
  </si>
  <si>
    <t xml:space="preserve">C00405</t>
  </si>
  <si>
    <t xml:space="preserve">Customer 0405</t>
  </si>
  <si>
    <t xml:space="preserve">C00406</t>
  </si>
  <si>
    <t xml:space="preserve">Customer 0406</t>
  </si>
  <si>
    <t xml:space="preserve">C00407</t>
  </si>
  <si>
    <t xml:space="preserve">Customer 0407</t>
  </si>
  <si>
    <t xml:space="preserve">C00408</t>
  </si>
  <si>
    <t xml:space="preserve">Customer 0408</t>
  </si>
  <si>
    <t xml:space="preserve">C00409</t>
  </si>
  <si>
    <t xml:space="preserve">Customer 0409</t>
  </si>
  <si>
    <t xml:space="preserve">C00410</t>
  </si>
  <si>
    <t xml:space="preserve">Customer 0410</t>
  </si>
  <si>
    <t xml:space="preserve">C00411</t>
  </si>
  <si>
    <t xml:space="preserve">Customer 0411</t>
  </si>
  <si>
    <t xml:space="preserve">C00412</t>
  </si>
  <si>
    <t xml:space="preserve">Customer 0412</t>
  </si>
  <si>
    <t xml:space="preserve">C00413</t>
  </si>
  <si>
    <t xml:space="preserve">Customer 0413</t>
  </si>
  <si>
    <t xml:space="preserve">C00414</t>
  </si>
  <si>
    <t xml:space="preserve">Customer 0414</t>
  </si>
  <si>
    <t xml:space="preserve">C00415</t>
  </si>
  <si>
    <t xml:space="preserve">Customer 0415</t>
  </si>
  <si>
    <t xml:space="preserve">C00416</t>
  </si>
  <si>
    <t xml:space="preserve">Customer 0416</t>
  </si>
  <si>
    <t xml:space="preserve">C00417</t>
  </si>
  <si>
    <t xml:space="preserve">Customer 0417</t>
  </si>
  <si>
    <t xml:space="preserve">C00418</t>
  </si>
  <si>
    <t xml:space="preserve">Customer 0418</t>
  </si>
  <si>
    <t xml:space="preserve">C00419</t>
  </si>
  <si>
    <t xml:space="preserve">Customer 0419</t>
  </si>
  <si>
    <t xml:space="preserve">C00420</t>
  </si>
  <si>
    <t xml:space="preserve">Customer 0420</t>
  </si>
  <si>
    <t xml:space="preserve">C00421</t>
  </si>
  <si>
    <t xml:space="preserve">Customer 0421</t>
  </si>
  <si>
    <t xml:space="preserve">C00422</t>
  </si>
  <si>
    <t xml:space="preserve">Customer 0422</t>
  </si>
  <si>
    <t xml:space="preserve">C00423</t>
  </si>
  <si>
    <t xml:space="preserve">Customer 0423</t>
  </si>
  <si>
    <t xml:space="preserve">C00424</t>
  </si>
  <si>
    <t xml:space="preserve">Customer 0424</t>
  </si>
  <si>
    <t xml:space="preserve">C00425</t>
  </si>
  <si>
    <t xml:space="preserve">Customer 0425</t>
  </si>
  <si>
    <t xml:space="preserve">C00426</t>
  </si>
  <si>
    <t xml:space="preserve">Customer 0426</t>
  </si>
  <si>
    <t xml:space="preserve">C00427</t>
  </si>
  <si>
    <t xml:space="preserve">Customer 0427</t>
  </si>
  <si>
    <t xml:space="preserve">C00428</t>
  </si>
  <si>
    <t xml:space="preserve">Customer 0428</t>
  </si>
  <si>
    <t xml:space="preserve">C00429</t>
  </si>
  <si>
    <t xml:space="preserve">Customer 0429</t>
  </si>
  <si>
    <t xml:space="preserve">C00430</t>
  </si>
  <si>
    <t xml:space="preserve">Customer 0430</t>
  </si>
  <si>
    <t xml:space="preserve">C00431</t>
  </si>
  <si>
    <t xml:space="preserve">Customer 0431</t>
  </si>
  <si>
    <t xml:space="preserve">C00432</t>
  </si>
  <si>
    <t xml:space="preserve">Customer 0432</t>
  </si>
  <si>
    <t xml:space="preserve">C00433</t>
  </si>
  <si>
    <t xml:space="preserve">Customer 0433</t>
  </si>
  <si>
    <t xml:space="preserve">C00434</t>
  </si>
  <si>
    <t xml:space="preserve">Customer 0434</t>
  </si>
  <si>
    <t xml:space="preserve">C00435</t>
  </si>
  <si>
    <t xml:space="preserve">Customer 0435</t>
  </si>
  <si>
    <t xml:space="preserve">C00436</t>
  </si>
  <si>
    <t xml:space="preserve">Customer 0436</t>
  </si>
  <si>
    <t xml:space="preserve">C00437</t>
  </si>
  <si>
    <t xml:space="preserve">Customer 0437</t>
  </si>
  <si>
    <t xml:space="preserve">C00438</t>
  </si>
  <si>
    <t xml:space="preserve">Customer 0438</t>
  </si>
  <si>
    <t xml:space="preserve">C00439</t>
  </si>
  <si>
    <t xml:space="preserve">Customer 0439</t>
  </si>
  <si>
    <t xml:space="preserve">C00440</t>
  </si>
  <si>
    <t xml:space="preserve">Customer 0440</t>
  </si>
  <si>
    <t xml:space="preserve">C00441</t>
  </si>
  <si>
    <t xml:space="preserve">Customer 0441</t>
  </si>
  <si>
    <t xml:space="preserve">C00442</t>
  </si>
  <si>
    <t xml:space="preserve">Customer 0442</t>
  </si>
  <si>
    <t xml:space="preserve">C00443</t>
  </si>
  <si>
    <t xml:space="preserve">Customer 0443</t>
  </si>
  <si>
    <t xml:space="preserve">C00444</t>
  </si>
  <si>
    <t xml:space="preserve">Customer 0444</t>
  </si>
  <si>
    <t xml:space="preserve">C00445</t>
  </si>
  <si>
    <t xml:space="preserve">Customer 0445</t>
  </si>
  <si>
    <t xml:space="preserve">C00446</t>
  </si>
  <si>
    <t xml:space="preserve">Customer 0446</t>
  </si>
  <si>
    <t xml:space="preserve">C00447</t>
  </si>
  <si>
    <t xml:space="preserve">Customer 0447</t>
  </si>
  <si>
    <t xml:space="preserve">C00448</t>
  </si>
  <si>
    <t xml:space="preserve">Customer 0448</t>
  </si>
  <si>
    <t xml:space="preserve">C00449</t>
  </si>
  <si>
    <t xml:space="preserve">Customer 0449</t>
  </si>
  <si>
    <t xml:space="preserve">C00450</t>
  </si>
  <si>
    <t xml:space="preserve">Customer 0450</t>
  </si>
  <si>
    <t xml:space="preserve">C00451</t>
  </si>
  <si>
    <t xml:space="preserve">Customer 0451</t>
  </si>
  <si>
    <t xml:space="preserve">C00452</t>
  </si>
  <si>
    <t xml:space="preserve">Customer 0452</t>
  </si>
  <si>
    <t xml:space="preserve">C00453</t>
  </si>
  <si>
    <t xml:space="preserve">Customer 0453</t>
  </si>
  <si>
    <t xml:space="preserve">C00454</t>
  </si>
  <si>
    <t xml:space="preserve">Customer 0454</t>
  </si>
  <si>
    <t xml:space="preserve">C00455</t>
  </si>
  <si>
    <t xml:space="preserve">Customer 0455</t>
  </si>
  <si>
    <t xml:space="preserve">C00456</t>
  </si>
  <si>
    <t xml:space="preserve">Customer 0456</t>
  </si>
  <si>
    <t xml:space="preserve">C00457</t>
  </si>
  <si>
    <t xml:space="preserve">Customer 0457</t>
  </si>
  <si>
    <t xml:space="preserve">C00458</t>
  </si>
  <si>
    <t xml:space="preserve">Customer 0458</t>
  </si>
  <si>
    <t xml:space="preserve">C00459</t>
  </si>
  <si>
    <t xml:space="preserve">Customer 0459</t>
  </si>
  <si>
    <t xml:space="preserve">C00460</t>
  </si>
  <si>
    <t xml:space="preserve">Customer 0460</t>
  </si>
  <si>
    <t xml:space="preserve">C00461</t>
  </si>
  <si>
    <t xml:space="preserve">Customer 0461</t>
  </si>
  <si>
    <t xml:space="preserve">C00462</t>
  </si>
  <si>
    <t xml:space="preserve">Customer 0462</t>
  </si>
  <si>
    <t xml:space="preserve">C00463</t>
  </si>
  <si>
    <t xml:space="preserve">Customer 0463</t>
  </si>
  <si>
    <t xml:space="preserve">C00464</t>
  </si>
  <si>
    <t xml:space="preserve">Customer 0464</t>
  </si>
  <si>
    <t xml:space="preserve">C00465</t>
  </si>
  <si>
    <t xml:space="preserve">Customer 0465</t>
  </si>
  <si>
    <t xml:space="preserve">C00466</t>
  </si>
  <si>
    <t xml:space="preserve">Customer 0466</t>
  </si>
  <si>
    <t xml:space="preserve">C00467</t>
  </si>
  <si>
    <t xml:space="preserve">Customer 0467</t>
  </si>
  <si>
    <t xml:space="preserve">C00468</t>
  </si>
  <si>
    <t xml:space="preserve">Customer 0468</t>
  </si>
  <si>
    <t xml:space="preserve">C00469</t>
  </si>
  <si>
    <t xml:space="preserve">Customer 0469</t>
  </si>
  <si>
    <t xml:space="preserve">C00470</t>
  </si>
  <si>
    <t xml:space="preserve">Customer 0470</t>
  </si>
  <si>
    <t xml:space="preserve">C00471</t>
  </si>
  <si>
    <t xml:space="preserve">Customer 0471</t>
  </si>
  <si>
    <t xml:space="preserve">C00472</t>
  </si>
  <si>
    <t xml:space="preserve">Customer 0472</t>
  </si>
  <si>
    <t xml:space="preserve">C00473</t>
  </si>
  <si>
    <t xml:space="preserve">Customer 0473</t>
  </si>
  <si>
    <t xml:space="preserve">C00474</t>
  </si>
  <si>
    <t xml:space="preserve">Customer 0474</t>
  </si>
  <si>
    <t xml:space="preserve">C00475</t>
  </si>
  <si>
    <t xml:space="preserve">Customer 0475</t>
  </si>
  <si>
    <t xml:space="preserve">C00476</t>
  </si>
  <si>
    <t xml:space="preserve">Customer 0476</t>
  </si>
  <si>
    <t xml:space="preserve">C00477</t>
  </si>
  <si>
    <t xml:space="preserve">Customer 0477</t>
  </si>
  <si>
    <t xml:space="preserve">C00478</t>
  </si>
  <si>
    <t xml:space="preserve">Customer 0478</t>
  </si>
  <si>
    <t xml:space="preserve">C00479</t>
  </si>
  <si>
    <t xml:space="preserve">Customer 0479</t>
  </si>
  <si>
    <t xml:space="preserve">C00480</t>
  </si>
  <si>
    <t xml:space="preserve">Customer 0480</t>
  </si>
  <si>
    <t xml:space="preserve">C00481</t>
  </si>
  <si>
    <t xml:space="preserve">Customer 0481</t>
  </si>
  <si>
    <t xml:space="preserve">C00482</t>
  </si>
  <si>
    <t xml:space="preserve">Customer 0482</t>
  </si>
  <si>
    <t xml:space="preserve">C00483</t>
  </si>
  <si>
    <t xml:space="preserve">Customer 0483</t>
  </si>
  <si>
    <t xml:space="preserve">C00484</t>
  </si>
  <si>
    <t xml:space="preserve">Customer 0484</t>
  </si>
  <si>
    <t xml:space="preserve">C00485</t>
  </si>
  <si>
    <t xml:space="preserve">Customer 0485</t>
  </si>
  <si>
    <t xml:space="preserve">C00486</t>
  </si>
  <si>
    <t xml:space="preserve">Customer 0486</t>
  </si>
  <si>
    <t xml:space="preserve">C00487</t>
  </si>
  <si>
    <t xml:space="preserve">Customer 0487</t>
  </si>
  <si>
    <t xml:space="preserve">C00488</t>
  </si>
  <si>
    <t xml:space="preserve">Customer 0488</t>
  </si>
  <si>
    <t xml:space="preserve">C00489</t>
  </si>
  <si>
    <t xml:space="preserve">Customer 0489</t>
  </si>
  <si>
    <t xml:space="preserve">C00490</t>
  </si>
  <si>
    <t xml:space="preserve">Customer 0490</t>
  </si>
  <si>
    <t xml:space="preserve">C00491</t>
  </si>
  <si>
    <t xml:space="preserve">Customer 0491</t>
  </si>
  <si>
    <t xml:space="preserve">C00492</t>
  </si>
  <si>
    <t xml:space="preserve">Customer 0492</t>
  </si>
  <si>
    <t xml:space="preserve">C00493</t>
  </si>
  <si>
    <t xml:space="preserve">Customer 0493</t>
  </si>
  <si>
    <t xml:space="preserve">C00494</t>
  </si>
  <si>
    <t xml:space="preserve">Customer 0494</t>
  </si>
  <si>
    <t xml:space="preserve">C00495</t>
  </si>
  <si>
    <t xml:space="preserve">Customer 0495</t>
  </si>
  <si>
    <t xml:space="preserve">C00496</t>
  </si>
  <si>
    <t xml:space="preserve">Customer 0496</t>
  </si>
  <si>
    <t xml:space="preserve">C00497</t>
  </si>
  <si>
    <t xml:space="preserve">Customer 0497</t>
  </si>
  <si>
    <t xml:space="preserve">C00498</t>
  </si>
  <si>
    <t xml:space="preserve">Customer 0498</t>
  </si>
  <si>
    <t xml:space="preserve">C00499</t>
  </si>
  <si>
    <t xml:space="preserve">Customer 0499</t>
  </si>
  <si>
    <t xml:space="preserve">C00500</t>
  </si>
  <si>
    <t xml:space="preserve">Customer 0500</t>
  </si>
  <si>
    <t xml:space="preserve">Order ID</t>
  </si>
  <si>
    <t xml:space="preserve">Order Date</t>
  </si>
  <si>
    <t xml:space="preserve">Quantity</t>
  </si>
  <si>
    <t xml:space="preserve">Discount</t>
  </si>
  <si>
    <t xml:space="preserve">Revenue</t>
  </si>
  <si>
    <t xml:space="preserve">Profit</t>
  </si>
  <si>
    <t xml:space="preserve">O000001</t>
  </si>
  <si>
    <t xml:space="preserve">O000002</t>
  </si>
  <si>
    <t xml:space="preserve">O000003</t>
  </si>
  <si>
    <t xml:space="preserve">O000004</t>
  </si>
  <si>
    <t xml:space="preserve">O000005</t>
  </si>
  <si>
    <t xml:space="preserve">O000006</t>
  </si>
  <si>
    <t xml:space="preserve">O000007</t>
  </si>
  <si>
    <t xml:space="preserve">O000008</t>
  </si>
  <si>
    <t xml:space="preserve">O000009</t>
  </si>
  <si>
    <t xml:space="preserve">O000010</t>
  </si>
  <si>
    <t xml:space="preserve">O000011</t>
  </si>
  <si>
    <t xml:space="preserve">O000012</t>
  </si>
  <si>
    <t xml:space="preserve">O000013</t>
  </si>
  <si>
    <t xml:space="preserve">O000014</t>
  </si>
  <si>
    <t xml:space="preserve">O000015</t>
  </si>
  <si>
    <t xml:space="preserve">O000016</t>
  </si>
  <si>
    <t xml:space="preserve">O000017</t>
  </si>
  <si>
    <t xml:space="preserve">O000018</t>
  </si>
  <si>
    <t xml:space="preserve">O000019</t>
  </si>
  <si>
    <t xml:space="preserve">O000020</t>
  </si>
  <si>
    <t xml:space="preserve">O000021</t>
  </si>
  <si>
    <t xml:space="preserve">O000022</t>
  </si>
  <si>
    <t xml:space="preserve">O000023</t>
  </si>
  <si>
    <t xml:space="preserve">O000024</t>
  </si>
  <si>
    <t xml:space="preserve">O000025</t>
  </si>
  <si>
    <t xml:space="preserve">O000026</t>
  </si>
  <si>
    <t xml:space="preserve">O000027</t>
  </si>
  <si>
    <t xml:space="preserve">O000028</t>
  </si>
  <si>
    <t xml:space="preserve">O000029</t>
  </si>
  <si>
    <t xml:space="preserve">O000030</t>
  </si>
  <si>
    <t xml:space="preserve">O000031</t>
  </si>
  <si>
    <t xml:space="preserve">O000032</t>
  </si>
  <si>
    <t xml:space="preserve">O000033</t>
  </si>
  <si>
    <t xml:space="preserve">O000034</t>
  </si>
  <si>
    <t xml:space="preserve">O000035</t>
  </si>
  <si>
    <t xml:space="preserve">O000036</t>
  </si>
  <si>
    <t xml:space="preserve">O000037</t>
  </si>
  <si>
    <t xml:space="preserve">O000038</t>
  </si>
  <si>
    <t xml:space="preserve">O000039</t>
  </si>
  <si>
    <t xml:space="preserve">O000040</t>
  </si>
  <si>
    <t xml:space="preserve">O000041</t>
  </si>
  <si>
    <t xml:space="preserve">O000042</t>
  </si>
  <si>
    <t xml:space="preserve">O000043</t>
  </si>
  <si>
    <t xml:space="preserve">O000044</t>
  </si>
  <si>
    <t xml:space="preserve">O000045</t>
  </si>
  <si>
    <t xml:space="preserve">O000046</t>
  </si>
  <si>
    <t xml:space="preserve">O000047</t>
  </si>
  <si>
    <t xml:space="preserve">O000048</t>
  </si>
  <si>
    <t xml:space="preserve">O000049</t>
  </si>
  <si>
    <t xml:space="preserve">O000050</t>
  </si>
  <si>
    <t xml:space="preserve">O000051</t>
  </si>
  <si>
    <t xml:space="preserve">O000052</t>
  </si>
  <si>
    <t xml:space="preserve">O000053</t>
  </si>
  <si>
    <t xml:space="preserve">O000054</t>
  </si>
  <si>
    <t xml:space="preserve">O000055</t>
  </si>
  <si>
    <t xml:space="preserve">O000056</t>
  </si>
  <si>
    <t xml:space="preserve">O000057</t>
  </si>
  <si>
    <t xml:space="preserve">O000058</t>
  </si>
  <si>
    <t xml:space="preserve">O000059</t>
  </si>
  <si>
    <t xml:space="preserve">O000060</t>
  </si>
  <si>
    <t xml:space="preserve">O000061</t>
  </si>
  <si>
    <t xml:space="preserve">O000062</t>
  </si>
  <si>
    <t xml:space="preserve">O000063</t>
  </si>
  <si>
    <t xml:space="preserve">O000064</t>
  </si>
  <si>
    <t xml:space="preserve">O000065</t>
  </si>
  <si>
    <t xml:space="preserve">O000066</t>
  </si>
  <si>
    <t xml:space="preserve">O000067</t>
  </si>
  <si>
    <t xml:space="preserve">O000068</t>
  </si>
  <si>
    <t xml:space="preserve">O000069</t>
  </si>
  <si>
    <t xml:space="preserve">O000070</t>
  </si>
  <si>
    <t xml:space="preserve">O000071</t>
  </si>
  <si>
    <t xml:space="preserve">O000072</t>
  </si>
  <si>
    <t xml:space="preserve">O000073</t>
  </si>
  <si>
    <t xml:space="preserve">O000074</t>
  </si>
  <si>
    <t xml:space="preserve">O000075</t>
  </si>
  <si>
    <t xml:space="preserve">O000076</t>
  </si>
  <si>
    <t xml:space="preserve">O000077</t>
  </si>
  <si>
    <t xml:space="preserve">O000078</t>
  </si>
  <si>
    <t xml:space="preserve">O000079</t>
  </si>
  <si>
    <t xml:space="preserve">O000080</t>
  </si>
  <si>
    <t xml:space="preserve">O000081</t>
  </si>
  <si>
    <t xml:space="preserve">O000082</t>
  </si>
  <si>
    <t xml:space="preserve">O000083</t>
  </si>
  <si>
    <t xml:space="preserve">O000084</t>
  </si>
  <si>
    <t xml:space="preserve">O000085</t>
  </si>
  <si>
    <t xml:space="preserve">O000086</t>
  </si>
  <si>
    <t xml:space="preserve">O000087</t>
  </si>
  <si>
    <t xml:space="preserve">O000088</t>
  </si>
  <si>
    <t xml:space="preserve">O000089</t>
  </si>
  <si>
    <t xml:space="preserve">O000090</t>
  </si>
  <si>
    <t xml:space="preserve">O000091</t>
  </si>
  <si>
    <t xml:space="preserve">O000092</t>
  </si>
  <si>
    <t xml:space="preserve">O000093</t>
  </si>
  <si>
    <t xml:space="preserve">O000094</t>
  </si>
  <si>
    <t xml:space="preserve">O000095</t>
  </si>
  <si>
    <t xml:space="preserve">O000096</t>
  </si>
  <si>
    <t xml:space="preserve">O000097</t>
  </si>
  <si>
    <t xml:space="preserve">O000098</t>
  </si>
  <si>
    <t xml:space="preserve">O000099</t>
  </si>
  <si>
    <t xml:space="preserve">O000100</t>
  </si>
  <si>
    <t xml:space="preserve">O000101</t>
  </si>
  <si>
    <t xml:space="preserve">O000102</t>
  </si>
  <si>
    <t xml:space="preserve">O000103</t>
  </si>
  <si>
    <t xml:space="preserve">O000104</t>
  </si>
  <si>
    <t xml:space="preserve">O000105</t>
  </si>
  <si>
    <t xml:space="preserve">O000106</t>
  </si>
  <si>
    <t xml:space="preserve">O000107</t>
  </si>
  <si>
    <t xml:space="preserve">O000108</t>
  </si>
  <si>
    <t xml:space="preserve">O000109</t>
  </si>
  <si>
    <t xml:space="preserve">O000110</t>
  </si>
  <si>
    <t xml:space="preserve">O000111</t>
  </si>
  <si>
    <t xml:space="preserve">O000112</t>
  </si>
  <si>
    <t xml:space="preserve">O000113</t>
  </si>
  <si>
    <t xml:space="preserve">O000114</t>
  </si>
  <si>
    <t xml:space="preserve">O000115</t>
  </si>
  <si>
    <t xml:space="preserve">O000116</t>
  </si>
  <si>
    <t xml:space="preserve">O000117</t>
  </si>
  <si>
    <t xml:space="preserve">O000118</t>
  </si>
  <si>
    <t xml:space="preserve">O000119</t>
  </si>
  <si>
    <t xml:space="preserve">O000120</t>
  </si>
  <si>
    <t xml:space="preserve">O000121</t>
  </si>
  <si>
    <t xml:space="preserve">O000122</t>
  </si>
  <si>
    <t xml:space="preserve">O000123</t>
  </si>
  <si>
    <t xml:space="preserve">O000124</t>
  </si>
  <si>
    <t xml:space="preserve">O000125</t>
  </si>
  <si>
    <t xml:space="preserve">O000126</t>
  </si>
  <si>
    <t xml:space="preserve">O000127</t>
  </si>
  <si>
    <t xml:space="preserve">O000128</t>
  </si>
  <si>
    <t xml:space="preserve">O000129</t>
  </si>
  <si>
    <t xml:space="preserve">O000130</t>
  </si>
  <si>
    <t xml:space="preserve">O000131</t>
  </si>
  <si>
    <t xml:space="preserve">O000132</t>
  </si>
  <si>
    <t xml:space="preserve">O000133</t>
  </si>
  <si>
    <t xml:space="preserve">O000134</t>
  </si>
  <si>
    <t xml:space="preserve">O000135</t>
  </si>
  <si>
    <t xml:space="preserve">O000136</t>
  </si>
  <si>
    <t xml:space="preserve">O000137</t>
  </si>
  <si>
    <t xml:space="preserve">O000138</t>
  </si>
  <si>
    <t xml:space="preserve">O000139</t>
  </si>
  <si>
    <t xml:space="preserve">O000140</t>
  </si>
  <si>
    <t xml:space="preserve">O000141</t>
  </si>
  <si>
    <t xml:space="preserve">O000142</t>
  </si>
  <si>
    <t xml:space="preserve">O000143</t>
  </si>
  <si>
    <t xml:space="preserve">O000144</t>
  </si>
  <si>
    <t xml:space="preserve">O000145</t>
  </si>
  <si>
    <t xml:space="preserve">O000146</t>
  </si>
  <si>
    <t xml:space="preserve">O000147</t>
  </si>
  <si>
    <t xml:space="preserve">O000148</t>
  </si>
  <si>
    <t xml:space="preserve">O000149</t>
  </si>
  <si>
    <t xml:space="preserve">O000150</t>
  </si>
  <si>
    <t xml:space="preserve">O000151</t>
  </si>
  <si>
    <t xml:space="preserve">O000152</t>
  </si>
  <si>
    <t xml:space="preserve">O000153</t>
  </si>
  <si>
    <t xml:space="preserve">O000154</t>
  </si>
  <si>
    <t xml:space="preserve">O000155</t>
  </si>
  <si>
    <t xml:space="preserve">O000156</t>
  </si>
  <si>
    <t xml:space="preserve">O000157</t>
  </si>
  <si>
    <t xml:space="preserve">O000158</t>
  </si>
  <si>
    <t xml:space="preserve">O000159</t>
  </si>
  <si>
    <t xml:space="preserve">O000160</t>
  </si>
  <si>
    <t xml:space="preserve">O000161</t>
  </si>
  <si>
    <t xml:space="preserve">O000162</t>
  </si>
  <si>
    <t xml:space="preserve">O000163</t>
  </si>
  <si>
    <t xml:space="preserve">O000164</t>
  </si>
  <si>
    <t xml:space="preserve">O000165</t>
  </si>
  <si>
    <t xml:space="preserve">O000166</t>
  </si>
  <si>
    <t xml:space="preserve">O000167</t>
  </si>
  <si>
    <t xml:space="preserve">O000168</t>
  </si>
  <si>
    <t xml:space="preserve">O000169</t>
  </si>
  <si>
    <t xml:space="preserve">O000170</t>
  </si>
  <si>
    <t xml:space="preserve">O000171</t>
  </si>
  <si>
    <t xml:space="preserve">O000172</t>
  </si>
  <si>
    <t xml:space="preserve">O000173</t>
  </si>
  <si>
    <t xml:space="preserve">O000174</t>
  </si>
  <si>
    <t xml:space="preserve">O000175</t>
  </si>
  <si>
    <t xml:space="preserve">O000176</t>
  </si>
  <si>
    <t xml:space="preserve">O000177</t>
  </si>
  <si>
    <t xml:space="preserve">O000178</t>
  </si>
  <si>
    <t xml:space="preserve">O000179</t>
  </si>
  <si>
    <t xml:space="preserve">O000180</t>
  </si>
  <si>
    <t xml:space="preserve">O000181</t>
  </si>
  <si>
    <t xml:space="preserve">O000182</t>
  </si>
  <si>
    <t xml:space="preserve">O000183</t>
  </si>
  <si>
    <t xml:space="preserve">O000184</t>
  </si>
  <si>
    <t xml:space="preserve">O000185</t>
  </si>
  <si>
    <t xml:space="preserve">O000186</t>
  </si>
  <si>
    <t xml:space="preserve">O000187</t>
  </si>
  <si>
    <t xml:space="preserve">O000188</t>
  </si>
  <si>
    <t xml:space="preserve">O000189</t>
  </si>
  <si>
    <t xml:space="preserve">O000190</t>
  </si>
  <si>
    <t xml:space="preserve">O000191</t>
  </si>
  <si>
    <t xml:space="preserve">O000192</t>
  </si>
  <si>
    <t xml:space="preserve">O000193</t>
  </si>
  <si>
    <t xml:space="preserve">O000194</t>
  </si>
  <si>
    <t xml:space="preserve">O000195</t>
  </si>
  <si>
    <t xml:space="preserve">O000196</t>
  </si>
  <si>
    <t xml:space="preserve">O000197</t>
  </si>
  <si>
    <t xml:space="preserve">O000198</t>
  </si>
  <si>
    <t xml:space="preserve">O000199</t>
  </si>
  <si>
    <t xml:space="preserve">O000200</t>
  </si>
  <si>
    <t xml:space="preserve">O000201</t>
  </si>
  <si>
    <t xml:space="preserve">O000202</t>
  </si>
  <si>
    <t xml:space="preserve">O000203</t>
  </si>
  <si>
    <t xml:space="preserve">O000204</t>
  </si>
  <si>
    <t xml:space="preserve">O000205</t>
  </si>
  <si>
    <t xml:space="preserve">O000206</t>
  </si>
  <si>
    <t xml:space="preserve">O000207</t>
  </si>
  <si>
    <t xml:space="preserve">O000208</t>
  </si>
  <si>
    <t xml:space="preserve">O000209</t>
  </si>
  <si>
    <t xml:space="preserve">O000210</t>
  </si>
  <si>
    <t xml:space="preserve">O000211</t>
  </si>
  <si>
    <t xml:space="preserve">O000212</t>
  </si>
  <si>
    <t xml:space="preserve">O000213</t>
  </si>
  <si>
    <t xml:space="preserve">O000214</t>
  </si>
  <si>
    <t xml:space="preserve">O000215</t>
  </si>
  <si>
    <t xml:space="preserve">O000216</t>
  </si>
  <si>
    <t xml:space="preserve">O000217</t>
  </si>
  <si>
    <t xml:space="preserve">O000218</t>
  </si>
  <si>
    <t xml:space="preserve">O000219</t>
  </si>
  <si>
    <t xml:space="preserve">O000220</t>
  </si>
  <si>
    <t xml:space="preserve">O000221</t>
  </si>
  <si>
    <t xml:space="preserve">O000222</t>
  </si>
  <si>
    <t xml:space="preserve">O000223</t>
  </si>
  <si>
    <t xml:space="preserve">O000224</t>
  </si>
  <si>
    <t xml:space="preserve">O000225</t>
  </si>
  <si>
    <t xml:space="preserve">O000226</t>
  </si>
  <si>
    <t xml:space="preserve">O000227</t>
  </si>
  <si>
    <t xml:space="preserve">O000228</t>
  </si>
  <si>
    <t xml:space="preserve">O000229</t>
  </si>
  <si>
    <t xml:space="preserve">O000230</t>
  </si>
  <si>
    <t xml:space="preserve">O000231</t>
  </si>
  <si>
    <t xml:space="preserve">O000232</t>
  </si>
  <si>
    <t xml:space="preserve">O000233</t>
  </si>
  <si>
    <t xml:space="preserve">O000234</t>
  </si>
  <si>
    <t xml:space="preserve">O000235</t>
  </si>
  <si>
    <t xml:space="preserve">O000236</t>
  </si>
  <si>
    <t xml:space="preserve">O000237</t>
  </si>
  <si>
    <t xml:space="preserve">O000238</t>
  </si>
  <si>
    <t xml:space="preserve">O000239</t>
  </si>
  <si>
    <t xml:space="preserve">O000240</t>
  </si>
  <si>
    <t xml:space="preserve">O000241</t>
  </si>
  <si>
    <t xml:space="preserve">O000242</t>
  </si>
  <si>
    <t xml:space="preserve">O000243</t>
  </si>
  <si>
    <t xml:space="preserve">O000244</t>
  </si>
  <si>
    <t xml:space="preserve">O000245</t>
  </si>
  <si>
    <t xml:space="preserve">O000246</t>
  </si>
  <si>
    <t xml:space="preserve">O000247</t>
  </si>
  <si>
    <t xml:space="preserve">O000248</t>
  </si>
  <si>
    <t xml:space="preserve">O000249</t>
  </si>
  <si>
    <t xml:space="preserve">O000250</t>
  </si>
  <si>
    <t xml:space="preserve">O000251</t>
  </si>
  <si>
    <t xml:space="preserve">O000252</t>
  </si>
  <si>
    <t xml:space="preserve">O000253</t>
  </si>
  <si>
    <t xml:space="preserve">O000254</t>
  </si>
  <si>
    <t xml:space="preserve">O000255</t>
  </si>
  <si>
    <t xml:space="preserve">O000256</t>
  </si>
  <si>
    <t xml:space="preserve">O000257</t>
  </si>
  <si>
    <t xml:space="preserve">O000258</t>
  </si>
  <si>
    <t xml:space="preserve">O000259</t>
  </si>
  <si>
    <t xml:space="preserve">O000260</t>
  </si>
  <si>
    <t xml:space="preserve">O000261</t>
  </si>
  <si>
    <t xml:space="preserve">O000262</t>
  </si>
  <si>
    <t xml:space="preserve">O000263</t>
  </si>
  <si>
    <t xml:space="preserve">O000264</t>
  </si>
  <si>
    <t xml:space="preserve">O000265</t>
  </si>
  <si>
    <t xml:space="preserve">O000266</t>
  </si>
  <si>
    <t xml:space="preserve">O000267</t>
  </si>
  <si>
    <t xml:space="preserve">O000268</t>
  </si>
  <si>
    <t xml:space="preserve">O000269</t>
  </si>
  <si>
    <t xml:space="preserve">O000270</t>
  </si>
  <si>
    <t xml:space="preserve">O000271</t>
  </si>
  <si>
    <t xml:space="preserve">O000272</t>
  </si>
  <si>
    <t xml:space="preserve">O000273</t>
  </si>
  <si>
    <t xml:space="preserve">O000274</t>
  </si>
  <si>
    <t xml:space="preserve">O000275</t>
  </si>
  <si>
    <t xml:space="preserve">O000276</t>
  </si>
  <si>
    <t xml:space="preserve">O000277</t>
  </si>
  <si>
    <t xml:space="preserve">O000278</t>
  </si>
  <si>
    <t xml:space="preserve">O000279</t>
  </si>
  <si>
    <t xml:space="preserve">O000280</t>
  </si>
  <si>
    <t xml:space="preserve">O000281</t>
  </si>
  <si>
    <t xml:space="preserve">O000282</t>
  </si>
  <si>
    <t xml:space="preserve">O000283</t>
  </si>
  <si>
    <t xml:space="preserve">O000284</t>
  </si>
  <si>
    <t xml:space="preserve">O000285</t>
  </si>
  <si>
    <t xml:space="preserve">O000286</t>
  </si>
  <si>
    <t xml:space="preserve">O000287</t>
  </si>
  <si>
    <t xml:space="preserve">O000288</t>
  </si>
  <si>
    <t xml:space="preserve">O000289</t>
  </si>
  <si>
    <t xml:space="preserve">O000290</t>
  </si>
  <si>
    <t xml:space="preserve">O000291</t>
  </si>
  <si>
    <t xml:space="preserve">O000292</t>
  </si>
  <si>
    <t xml:space="preserve">O000293</t>
  </si>
  <si>
    <t xml:space="preserve">O000294</t>
  </si>
  <si>
    <t xml:space="preserve">O000295</t>
  </si>
  <si>
    <t xml:space="preserve">O000296</t>
  </si>
  <si>
    <t xml:space="preserve">O000297</t>
  </si>
  <si>
    <t xml:space="preserve">O000298</t>
  </si>
  <si>
    <t xml:space="preserve">O000299</t>
  </si>
  <si>
    <t xml:space="preserve">O000300</t>
  </si>
  <si>
    <t xml:space="preserve">O000301</t>
  </si>
  <si>
    <t xml:space="preserve">O000302</t>
  </si>
  <si>
    <t xml:space="preserve">O000303</t>
  </si>
  <si>
    <t xml:space="preserve">O000304</t>
  </si>
  <si>
    <t xml:space="preserve">O000305</t>
  </si>
  <si>
    <t xml:space="preserve">O000306</t>
  </si>
  <si>
    <t xml:space="preserve">O000307</t>
  </si>
  <si>
    <t xml:space="preserve">O000308</t>
  </si>
  <si>
    <t xml:space="preserve">O000309</t>
  </si>
  <si>
    <t xml:space="preserve">O000310</t>
  </si>
  <si>
    <t xml:space="preserve">O000311</t>
  </si>
  <si>
    <t xml:space="preserve">O000312</t>
  </si>
  <si>
    <t xml:space="preserve">O000313</t>
  </si>
  <si>
    <t xml:space="preserve">O000314</t>
  </si>
  <si>
    <t xml:space="preserve">O000315</t>
  </si>
  <si>
    <t xml:space="preserve">O000316</t>
  </si>
  <si>
    <t xml:space="preserve">O000317</t>
  </si>
  <si>
    <t xml:space="preserve">O000318</t>
  </si>
  <si>
    <t xml:space="preserve">O000319</t>
  </si>
  <si>
    <t xml:space="preserve">O000320</t>
  </si>
  <si>
    <t xml:space="preserve">O000321</t>
  </si>
  <si>
    <t xml:space="preserve">O000322</t>
  </si>
  <si>
    <t xml:space="preserve">O000323</t>
  </si>
  <si>
    <t xml:space="preserve">O000324</t>
  </si>
  <si>
    <t xml:space="preserve">O000325</t>
  </si>
  <si>
    <t xml:space="preserve">O000326</t>
  </si>
  <si>
    <t xml:space="preserve">O000327</t>
  </si>
  <si>
    <t xml:space="preserve">O000328</t>
  </si>
  <si>
    <t xml:space="preserve">O000329</t>
  </si>
  <si>
    <t xml:space="preserve">O000330</t>
  </si>
  <si>
    <t xml:space="preserve">O000331</t>
  </si>
  <si>
    <t xml:space="preserve">O000332</t>
  </si>
  <si>
    <t xml:space="preserve">O000333</t>
  </si>
  <si>
    <t xml:space="preserve">O000334</t>
  </si>
  <si>
    <t xml:space="preserve">O000335</t>
  </si>
  <si>
    <t xml:space="preserve">O000336</t>
  </si>
  <si>
    <t xml:space="preserve">O000337</t>
  </si>
  <si>
    <t xml:space="preserve">O000338</t>
  </si>
  <si>
    <t xml:space="preserve">O000339</t>
  </si>
  <si>
    <t xml:space="preserve">O000340</t>
  </si>
  <si>
    <t xml:space="preserve">O000341</t>
  </si>
  <si>
    <t xml:space="preserve">O000342</t>
  </si>
  <si>
    <t xml:space="preserve">O000343</t>
  </si>
  <si>
    <t xml:space="preserve">O000344</t>
  </si>
  <si>
    <t xml:space="preserve">O000345</t>
  </si>
  <si>
    <t xml:space="preserve">O000346</t>
  </si>
  <si>
    <t xml:space="preserve">O000347</t>
  </si>
  <si>
    <t xml:space="preserve">O000348</t>
  </si>
  <si>
    <t xml:space="preserve">O000349</t>
  </si>
  <si>
    <t xml:space="preserve">O000350</t>
  </si>
  <si>
    <t xml:space="preserve">O000351</t>
  </si>
  <si>
    <t xml:space="preserve">O000352</t>
  </si>
  <si>
    <t xml:space="preserve">O000353</t>
  </si>
  <si>
    <t xml:space="preserve">O000354</t>
  </si>
  <si>
    <t xml:space="preserve">O000355</t>
  </si>
  <si>
    <t xml:space="preserve">O000356</t>
  </si>
  <si>
    <t xml:space="preserve">O000357</t>
  </si>
  <si>
    <t xml:space="preserve">O000358</t>
  </si>
  <si>
    <t xml:space="preserve">O000359</t>
  </si>
  <si>
    <t xml:space="preserve">O000360</t>
  </si>
  <si>
    <t xml:space="preserve">O000361</t>
  </si>
  <si>
    <t xml:space="preserve">O000362</t>
  </si>
  <si>
    <t xml:space="preserve">O000363</t>
  </si>
  <si>
    <t xml:space="preserve">O000364</t>
  </si>
  <si>
    <t xml:space="preserve">O000365</t>
  </si>
  <si>
    <t xml:space="preserve">O000366</t>
  </si>
  <si>
    <t xml:space="preserve">O000367</t>
  </si>
  <si>
    <t xml:space="preserve">O000368</t>
  </si>
  <si>
    <t xml:space="preserve">O000369</t>
  </si>
  <si>
    <t xml:space="preserve">O000370</t>
  </si>
  <si>
    <t xml:space="preserve">O000371</t>
  </si>
  <si>
    <t xml:space="preserve">O000372</t>
  </si>
  <si>
    <t xml:space="preserve">O000373</t>
  </si>
  <si>
    <t xml:space="preserve">O000374</t>
  </si>
  <si>
    <t xml:space="preserve">O000375</t>
  </si>
  <si>
    <t xml:space="preserve">O000376</t>
  </si>
  <si>
    <t xml:space="preserve">O000377</t>
  </si>
  <si>
    <t xml:space="preserve">O000378</t>
  </si>
  <si>
    <t xml:space="preserve">O000379</t>
  </si>
  <si>
    <t xml:space="preserve">O000380</t>
  </si>
  <si>
    <t xml:space="preserve">O000381</t>
  </si>
  <si>
    <t xml:space="preserve">O000382</t>
  </si>
  <si>
    <t xml:space="preserve">O000383</t>
  </si>
  <si>
    <t xml:space="preserve">O000384</t>
  </si>
  <si>
    <t xml:space="preserve">O000385</t>
  </si>
  <si>
    <t xml:space="preserve">O000386</t>
  </si>
  <si>
    <t xml:space="preserve">O000387</t>
  </si>
  <si>
    <t xml:space="preserve">O000388</t>
  </si>
  <si>
    <t xml:space="preserve">O000389</t>
  </si>
  <si>
    <t xml:space="preserve">O000390</t>
  </si>
  <si>
    <t xml:space="preserve">O000391</t>
  </si>
  <si>
    <t xml:space="preserve">O000392</t>
  </si>
  <si>
    <t xml:space="preserve">O000393</t>
  </si>
  <si>
    <t xml:space="preserve">O000394</t>
  </si>
  <si>
    <t xml:space="preserve">O000395</t>
  </si>
  <si>
    <t xml:space="preserve">O000396</t>
  </si>
  <si>
    <t xml:space="preserve">O000397</t>
  </si>
  <si>
    <t xml:space="preserve">O000398</t>
  </si>
  <si>
    <t xml:space="preserve">O000399</t>
  </si>
  <si>
    <t xml:space="preserve">O000400</t>
  </si>
  <si>
    <t xml:space="preserve">O000401</t>
  </si>
  <si>
    <t xml:space="preserve">O000402</t>
  </si>
  <si>
    <t xml:space="preserve">O000403</t>
  </si>
  <si>
    <t xml:space="preserve">O000404</t>
  </si>
  <si>
    <t xml:space="preserve">O000405</t>
  </si>
  <si>
    <t xml:space="preserve">O000406</t>
  </si>
  <si>
    <t xml:space="preserve">O000407</t>
  </si>
  <si>
    <t xml:space="preserve">O000408</t>
  </si>
  <si>
    <t xml:space="preserve">O000409</t>
  </si>
  <si>
    <t xml:space="preserve">O000410</t>
  </si>
  <si>
    <t xml:space="preserve">O000411</t>
  </si>
  <si>
    <t xml:space="preserve">O000412</t>
  </si>
  <si>
    <t xml:space="preserve">O000413</t>
  </si>
  <si>
    <t xml:space="preserve">O000414</t>
  </si>
  <si>
    <t xml:space="preserve">O000415</t>
  </si>
  <si>
    <t xml:space="preserve">O000416</t>
  </si>
  <si>
    <t xml:space="preserve">O000417</t>
  </si>
  <si>
    <t xml:space="preserve">O000418</t>
  </si>
  <si>
    <t xml:space="preserve">O000419</t>
  </si>
  <si>
    <t xml:space="preserve">O000420</t>
  </si>
  <si>
    <t xml:space="preserve">O000421</t>
  </si>
  <si>
    <t xml:space="preserve">O000422</t>
  </si>
  <si>
    <t xml:space="preserve">O000423</t>
  </si>
  <si>
    <t xml:space="preserve">O000424</t>
  </si>
  <si>
    <t xml:space="preserve">O000425</t>
  </si>
  <si>
    <t xml:space="preserve">O000426</t>
  </si>
  <si>
    <t xml:space="preserve">O000427</t>
  </si>
  <si>
    <t xml:space="preserve">O000428</t>
  </si>
  <si>
    <t xml:space="preserve">O000429</t>
  </si>
  <si>
    <t xml:space="preserve">O000430</t>
  </si>
  <si>
    <t xml:space="preserve">O000431</t>
  </si>
  <si>
    <t xml:space="preserve">O000432</t>
  </si>
  <si>
    <t xml:space="preserve">O000433</t>
  </si>
  <si>
    <t xml:space="preserve">O000434</t>
  </si>
  <si>
    <t xml:space="preserve">O000435</t>
  </si>
  <si>
    <t xml:space="preserve">O000436</t>
  </si>
  <si>
    <t xml:space="preserve">O000437</t>
  </si>
  <si>
    <t xml:space="preserve">O000438</t>
  </si>
  <si>
    <t xml:space="preserve">O000439</t>
  </si>
  <si>
    <t xml:space="preserve">O000440</t>
  </si>
  <si>
    <t xml:space="preserve">O000441</t>
  </si>
  <si>
    <t xml:space="preserve">O000442</t>
  </si>
  <si>
    <t xml:space="preserve">O000443</t>
  </si>
  <si>
    <t xml:space="preserve">O000444</t>
  </si>
  <si>
    <t xml:space="preserve">O000445</t>
  </si>
  <si>
    <t xml:space="preserve">O000446</t>
  </si>
  <si>
    <t xml:space="preserve">O000447</t>
  </si>
  <si>
    <t xml:space="preserve">O000448</t>
  </si>
  <si>
    <t xml:space="preserve">O000449</t>
  </si>
  <si>
    <t xml:space="preserve">O000450</t>
  </si>
  <si>
    <t xml:space="preserve">O000451</t>
  </si>
  <si>
    <t xml:space="preserve">O000452</t>
  </si>
  <si>
    <t xml:space="preserve">O000453</t>
  </si>
  <si>
    <t xml:space="preserve">O000454</t>
  </si>
  <si>
    <t xml:space="preserve">O000455</t>
  </si>
  <si>
    <t xml:space="preserve">O000456</t>
  </si>
  <si>
    <t xml:space="preserve">O000457</t>
  </si>
  <si>
    <t xml:space="preserve">O000458</t>
  </si>
  <si>
    <t xml:space="preserve">O000459</t>
  </si>
  <si>
    <t xml:space="preserve">O000460</t>
  </si>
  <si>
    <t xml:space="preserve">O000461</t>
  </si>
  <si>
    <t xml:space="preserve">O000462</t>
  </si>
  <si>
    <t xml:space="preserve">O000463</t>
  </si>
  <si>
    <t xml:space="preserve">O000464</t>
  </si>
  <si>
    <t xml:space="preserve">O000465</t>
  </si>
  <si>
    <t xml:space="preserve">O000466</t>
  </si>
  <si>
    <t xml:space="preserve">O000467</t>
  </si>
  <si>
    <t xml:space="preserve">O000468</t>
  </si>
  <si>
    <t xml:space="preserve">O000469</t>
  </si>
  <si>
    <t xml:space="preserve">O000470</t>
  </si>
  <si>
    <t xml:space="preserve">O000471</t>
  </si>
  <si>
    <t xml:space="preserve">O000472</t>
  </si>
  <si>
    <t xml:space="preserve">O000473</t>
  </si>
  <si>
    <t xml:space="preserve">O000474</t>
  </si>
  <si>
    <t xml:space="preserve">O000475</t>
  </si>
  <si>
    <t xml:space="preserve">O000476</t>
  </si>
  <si>
    <t xml:space="preserve">O000477</t>
  </si>
  <si>
    <t xml:space="preserve">O000478</t>
  </si>
  <si>
    <t xml:space="preserve">O000479</t>
  </si>
  <si>
    <t xml:space="preserve">O000480</t>
  </si>
  <si>
    <t xml:space="preserve">O000481</t>
  </si>
  <si>
    <t xml:space="preserve">O000482</t>
  </si>
  <si>
    <t xml:space="preserve">O000483</t>
  </si>
  <si>
    <t xml:space="preserve">O000484</t>
  </si>
  <si>
    <t xml:space="preserve">O000485</t>
  </si>
  <si>
    <t xml:space="preserve">O000486</t>
  </si>
  <si>
    <t xml:space="preserve">O000487</t>
  </si>
  <si>
    <t xml:space="preserve">O000488</t>
  </si>
  <si>
    <t xml:space="preserve">O000489</t>
  </si>
  <si>
    <t xml:space="preserve">O000490</t>
  </si>
  <si>
    <t xml:space="preserve">O000491</t>
  </si>
  <si>
    <t xml:space="preserve">O000492</t>
  </si>
  <si>
    <t xml:space="preserve">O000493</t>
  </si>
  <si>
    <t xml:space="preserve">O000494</t>
  </si>
  <si>
    <t xml:space="preserve">O000495</t>
  </si>
  <si>
    <t xml:space="preserve">O000496</t>
  </si>
  <si>
    <t xml:space="preserve">O000497</t>
  </si>
  <si>
    <t xml:space="preserve">O000498</t>
  </si>
  <si>
    <t xml:space="preserve">O000499</t>
  </si>
  <si>
    <t xml:space="preserve">O000500</t>
  </si>
  <si>
    <t xml:space="preserve">O000501</t>
  </si>
  <si>
    <t xml:space="preserve">O000502</t>
  </si>
  <si>
    <t xml:space="preserve">O000503</t>
  </si>
  <si>
    <t xml:space="preserve">O000504</t>
  </si>
  <si>
    <t xml:space="preserve">O000505</t>
  </si>
  <si>
    <t xml:space="preserve">O000506</t>
  </si>
  <si>
    <t xml:space="preserve">O000507</t>
  </si>
  <si>
    <t xml:space="preserve">O000508</t>
  </si>
  <si>
    <t xml:space="preserve">O000509</t>
  </si>
  <si>
    <t xml:space="preserve">O000510</t>
  </si>
  <si>
    <t xml:space="preserve">O000511</t>
  </si>
  <si>
    <t xml:space="preserve">O000512</t>
  </si>
  <si>
    <t xml:space="preserve">O000513</t>
  </si>
  <si>
    <t xml:space="preserve">O000514</t>
  </si>
  <si>
    <t xml:space="preserve">O000515</t>
  </si>
  <si>
    <t xml:space="preserve">O000516</t>
  </si>
  <si>
    <t xml:space="preserve">O000517</t>
  </si>
  <si>
    <t xml:space="preserve">O000518</t>
  </si>
  <si>
    <t xml:space="preserve">O000519</t>
  </si>
  <si>
    <t xml:space="preserve">O000520</t>
  </si>
  <si>
    <t xml:space="preserve">O000521</t>
  </si>
  <si>
    <t xml:space="preserve">O000522</t>
  </si>
  <si>
    <t xml:space="preserve">O000523</t>
  </si>
  <si>
    <t xml:space="preserve">O000524</t>
  </si>
  <si>
    <t xml:space="preserve">O000525</t>
  </si>
  <si>
    <t xml:space="preserve">O000526</t>
  </si>
  <si>
    <t xml:space="preserve">O000527</t>
  </si>
  <si>
    <t xml:space="preserve">O000528</t>
  </si>
  <si>
    <t xml:space="preserve">O000529</t>
  </si>
  <si>
    <t xml:space="preserve">O000530</t>
  </si>
  <si>
    <t xml:space="preserve">O000531</t>
  </si>
  <si>
    <t xml:space="preserve">O000532</t>
  </si>
  <si>
    <t xml:space="preserve">O000533</t>
  </si>
  <si>
    <t xml:space="preserve">O000534</t>
  </si>
  <si>
    <t xml:space="preserve">O000535</t>
  </si>
  <si>
    <t xml:space="preserve">O000536</t>
  </si>
  <si>
    <t xml:space="preserve">O000537</t>
  </si>
  <si>
    <t xml:space="preserve">O000538</t>
  </si>
  <si>
    <t xml:space="preserve">O000539</t>
  </si>
  <si>
    <t xml:space="preserve">O000540</t>
  </si>
  <si>
    <t xml:space="preserve">O000541</t>
  </si>
  <si>
    <t xml:space="preserve">O000542</t>
  </si>
  <si>
    <t xml:space="preserve">O000543</t>
  </si>
  <si>
    <t xml:space="preserve">O000544</t>
  </si>
  <si>
    <t xml:space="preserve">O000545</t>
  </si>
  <si>
    <t xml:space="preserve">O000546</t>
  </si>
  <si>
    <t xml:space="preserve">O000547</t>
  </si>
  <si>
    <t xml:space="preserve">O000548</t>
  </si>
  <si>
    <t xml:space="preserve">O000549</t>
  </si>
  <si>
    <t xml:space="preserve">O000550</t>
  </si>
  <si>
    <t xml:space="preserve">O000551</t>
  </si>
  <si>
    <t xml:space="preserve">O000552</t>
  </si>
  <si>
    <t xml:space="preserve">O000553</t>
  </si>
  <si>
    <t xml:space="preserve">O000554</t>
  </si>
  <si>
    <t xml:space="preserve">O000555</t>
  </si>
  <si>
    <t xml:space="preserve">O000556</t>
  </si>
  <si>
    <t xml:space="preserve">O000557</t>
  </si>
  <si>
    <t xml:space="preserve">O000558</t>
  </si>
  <si>
    <t xml:space="preserve">O000559</t>
  </si>
  <si>
    <t xml:space="preserve">O000560</t>
  </si>
  <si>
    <t xml:space="preserve">O000561</t>
  </si>
  <si>
    <t xml:space="preserve">O000562</t>
  </si>
  <si>
    <t xml:space="preserve">O000563</t>
  </si>
  <si>
    <t xml:space="preserve">O000564</t>
  </si>
  <si>
    <t xml:space="preserve">O000565</t>
  </si>
  <si>
    <t xml:space="preserve">O000566</t>
  </si>
  <si>
    <t xml:space="preserve">O000567</t>
  </si>
  <si>
    <t xml:space="preserve">O000568</t>
  </si>
  <si>
    <t xml:space="preserve">O000569</t>
  </si>
  <si>
    <t xml:space="preserve">O000570</t>
  </si>
  <si>
    <t xml:space="preserve">O000571</t>
  </si>
  <si>
    <t xml:space="preserve">O000572</t>
  </si>
  <si>
    <t xml:space="preserve">O000573</t>
  </si>
  <si>
    <t xml:space="preserve">O000574</t>
  </si>
  <si>
    <t xml:space="preserve">O000575</t>
  </si>
  <si>
    <t xml:space="preserve">O000576</t>
  </si>
  <si>
    <t xml:space="preserve">O000577</t>
  </si>
  <si>
    <t xml:space="preserve">O000578</t>
  </si>
  <si>
    <t xml:space="preserve">O000579</t>
  </si>
  <si>
    <t xml:space="preserve">O000580</t>
  </si>
  <si>
    <t xml:space="preserve">O000581</t>
  </si>
  <si>
    <t xml:space="preserve">O000582</t>
  </si>
  <si>
    <t xml:space="preserve">O000583</t>
  </si>
  <si>
    <t xml:space="preserve">O000584</t>
  </si>
  <si>
    <t xml:space="preserve">O000585</t>
  </si>
  <si>
    <t xml:space="preserve">O000586</t>
  </si>
  <si>
    <t xml:space="preserve">O000587</t>
  </si>
  <si>
    <t xml:space="preserve">O000588</t>
  </si>
  <si>
    <t xml:space="preserve">O000589</t>
  </si>
  <si>
    <t xml:space="preserve">O000590</t>
  </si>
  <si>
    <t xml:space="preserve">O000591</t>
  </si>
  <si>
    <t xml:space="preserve">O000592</t>
  </si>
  <si>
    <t xml:space="preserve">O000593</t>
  </si>
  <si>
    <t xml:space="preserve">O000594</t>
  </si>
  <si>
    <t xml:space="preserve">O000595</t>
  </si>
  <si>
    <t xml:space="preserve">O000596</t>
  </si>
  <si>
    <t xml:space="preserve">O000597</t>
  </si>
  <si>
    <t xml:space="preserve">O000598</t>
  </si>
  <si>
    <t xml:space="preserve">O000599</t>
  </si>
  <si>
    <t xml:space="preserve">O000600</t>
  </si>
  <si>
    <t xml:space="preserve">O000601</t>
  </si>
  <si>
    <t xml:space="preserve">O000602</t>
  </si>
  <si>
    <t xml:space="preserve">O000603</t>
  </si>
  <si>
    <t xml:space="preserve">O000604</t>
  </si>
  <si>
    <t xml:space="preserve">O000605</t>
  </si>
  <si>
    <t xml:space="preserve">O000606</t>
  </si>
  <si>
    <t xml:space="preserve">O000607</t>
  </si>
  <si>
    <t xml:space="preserve">O000608</t>
  </si>
  <si>
    <t xml:space="preserve">O000609</t>
  </si>
  <si>
    <t xml:space="preserve">O000610</t>
  </si>
  <si>
    <t xml:space="preserve">O000611</t>
  </si>
  <si>
    <t xml:space="preserve">O000612</t>
  </si>
  <si>
    <t xml:space="preserve">O000613</t>
  </si>
  <si>
    <t xml:space="preserve">O000614</t>
  </si>
  <si>
    <t xml:space="preserve">O000615</t>
  </si>
  <si>
    <t xml:space="preserve">O000616</t>
  </si>
  <si>
    <t xml:space="preserve">O000617</t>
  </si>
  <si>
    <t xml:space="preserve">O000618</t>
  </si>
  <si>
    <t xml:space="preserve">O000619</t>
  </si>
  <si>
    <t xml:space="preserve">O000620</t>
  </si>
  <si>
    <t xml:space="preserve">O000621</t>
  </si>
  <si>
    <t xml:space="preserve">O000622</t>
  </si>
  <si>
    <t xml:space="preserve">O000623</t>
  </si>
  <si>
    <t xml:space="preserve">O000624</t>
  </si>
  <si>
    <t xml:space="preserve">O000625</t>
  </si>
  <si>
    <t xml:space="preserve">O000626</t>
  </si>
  <si>
    <t xml:space="preserve">O000627</t>
  </si>
  <si>
    <t xml:space="preserve">O000628</t>
  </si>
  <si>
    <t xml:space="preserve">O000629</t>
  </si>
  <si>
    <t xml:space="preserve">O000630</t>
  </si>
  <si>
    <t xml:space="preserve">O000631</t>
  </si>
  <si>
    <t xml:space="preserve">O000632</t>
  </si>
  <si>
    <t xml:space="preserve">O000633</t>
  </si>
  <si>
    <t xml:space="preserve">O000634</t>
  </si>
  <si>
    <t xml:space="preserve">O000635</t>
  </si>
  <si>
    <t xml:space="preserve">O000636</t>
  </si>
  <si>
    <t xml:space="preserve">O000637</t>
  </si>
  <si>
    <t xml:space="preserve">O000638</t>
  </si>
  <si>
    <t xml:space="preserve">O000639</t>
  </si>
  <si>
    <t xml:space="preserve">O000640</t>
  </si>
  <si>
    <t xml:space="preserve">O000641</t>
  </si>
  <si>
    <t xml:space="preserve">O000642</t>
  </si>
  <si>
    <t xml:space="preserve">O000643</t>
  </si>
  <si>
    <t xml:space="preserve">O000644</t>
  </si>
  <si>
    <t xml:space="preserve">O000645</t>
  </si>
  <si>
    <t xml:space="preserve">O000646</t>
  </si>
  <si>
    <t xml:space="preserve">O000647</t>
  </si>
  <si>
    <t xml:space="preserve">O000648</t>
  </si>
  <si>
    <t xml:space="preserve">O000649</t>
  </si>
  <si>
    <t xml:space="preserve">O000650</t>
  </si>
  <si>
    <t xml:space="preserve">O000651</t>
  </si>
  <si>
    <t xml:space="preserve">O000652</t>
  </si>
  <si>
    <t xml:space="preserve">O000653</t>
  </si>
  <si>
    <t xml:space="preserve">O000654</t>
  </si>
  <si>
    <t xml:space="preserve">O000655</t>
  </si>
  <si>
    <t xml:space="preserve">O000656</t>
  </si>
  <si>
    <t xml:space="preserve">O000657</t>
  </si>
  <si>
    <t xml:space="preserve">O000658</t>
  </si>
  <si>
    <t xml:space="preserve">O000659</t>
  </si>
  <si>
    <t xml:space="preserve">O000660</t>
  </si>
  <si>
    <t xml:space="preserve">O000661</t>
  </si>
  <si>
    <t xml:space="preserve">O000662</t>
  </si>
  <si>
    <t xml:space="preserve">O000663</t>
  </si>
  <si>
    <t xml:space="preserve">O000664</t>
  </si>
  <si>
    <t xml:space="preserve">O000665</t>
  </si>
  <si>
    <t xml:space="preserve">O000666</t>
  </si>
  <si>
    <t xml:space="preserve">O000667</t>
  </si>
  <si>
    <t xml:space="preserve">O000668</t>
  </si>
  <si>
    <t xml:space="preserve">O000669</t>
  </si>
  <si>
    <t xml:space="preserve">O000670</t>
  </si>
  <si>
    <t xml:space="preserve">O000671</t>
  </si>
  <si>
    <t xml:space="preserve">O000672</t>
  </si>
  <si>
    <t xml:space="preserve">O000673</t>
  </si>
  <si>
    <t xml:space="preserve">O000674</t>
  </si>
  <si>
    <t xml:space="preserve">O000675</t>
  </si>
  <si>
    <t xml:space="preserve">O000676</t>
  </si>
  <si>
    <t xml:space="preserve">O000677</t>
  </si>
  <si>
    <t xml:space="preserve">O000678</t>
  </si>
  <si>
    <t xml:space="preserve">O000679</t>
  </si>
  <si>
    <t xml:space="preserve">O000680</t>
  </si>
  <si>
    <t xml:space="preserve">O000681</t>
  </si>
  <si>
    <t xml:space="preserve">O000682</t>
  </si>
  <si>
    <t xml:space="preserve">O000683</t>
  </si>
  <si>
    <t xml:space="preserve">O000684</t>
  </si>
  <si>
    <t xml:space="preserve">O000685</t>
  </si>
  <si>
    <t xml:space="preserve">O000686</t>
  </si>
  <si>
    <t xml:space="preserve">O000687</t>
  </si>
  <si>
    <t xml:space="preserve">O000688</t>
  </si>
  <si>
    <t xml:space="preserve">O000689</t>
  </si>
  <si>
    <t xml:space="preserve">O000690</t>
  </si>
  <si>
    <t xml:space="preserve">O000691</t>
  </si>
  <si>
    <t xml:space="preserve">O000692</t>
  </si>
  <si>
    <t xml:space="preserve">O000693</t>
  </si>
  <si>
    <t xml:space="preserve">O000694</t>
  </si>
  <si>
    <t xml:space="preserve">O000695</t>
  </si>
  <si>
    <t xml:space="preserve">O000696</t>
  </si>
  <si>
    <t xml:space="preserve">O000697</t>
  </si>
  <si>
    <t xml:space="preserve">O000698</t>
  </si>
  <si>
    <t xml:space="preserve">O000699</t>
  </si>
  <si>
    <t xml:space="preserve">O000700</t>
  </si>
  <si>
    <t xml:space="preserve">O000701</t>
  </si>
  <si>
    <t xml:space="preserve">O000702</t>
  </si>
  <si>
    <t xml:space="preserve">O000703</t>
  </si>
  <si>
    <t xml:space="preserve">O000704</t>
  </si>
  <si>
    <t xml:space="preserve">O000705</t>
  </si>
  <si>
    <t xml:space="preserve">O000706</t>
  </si>
  <si>
    <t xml:space="preserve">O000707</t>
  </si>
  <si>
    <t xml:space="preserve">O000708</t>
  </si>
  <si>
    <t xml:space="preserve">O000709</t>
  </si>
  <si>
    <t xml:space="preserve">O000710</t>
  </si>
  <si>
    <t xml:space="preserve">O000711</t>
  </si>
  <si>
    <t xml:space="preserve">O000712</t>
  </si>
  <si>
    <t xml:space="preserve">O000713</t>
  </si>
  <si>
    <t xml:space="preserve">O000714</t>
  </si>
  <si>
    <t xml:space="preserve">O000715</t>
  </si>
  <si>
    <t xml:space="preserve">O000716</t>
  </si>
  <si>
    <t xml:space="preserve">O000717</t>
  </si>
  <si>
    <t xml:space="preserve">O000718</t>
  </si>
  <si>
    <t xml:space="preserve">O000719</t>
  </si>
  <si>
    <t xml:space="preserve">O000720</t>
  </si>
  <si>
    <t xml:space="preserve">O000721</t>
  </si>
  <si>
    <t xml:space="preserve">O000722</t>
  </si>
  <si>
    <t xml:space="preserve">O000723</t>
  </si>
  <si>
    <t xml:space="preserve">O000724</t>
  </si>
  <si>
    <t xml:space="preserve">O000725</t>
  </si>
  <si>
    <t xml:space="preserve">O000726</t>
  </si>
  <si>
    <t xml:space="preserve">O000727</t>
  </si>
  <si>
    <t xml:space="preserve">O000728</t>
  </si>
  <si>
    <t xml:space="preserve">O000729</t>
  </si>
  <si>
    <t xml:space="preserve">O000730</t>
  </si>
  <si>
    <t xml:space="preserve">O000731</t>
  </si>
  <si>
    <t xml:space="preserve">O000732</t>
  </si>
  <si>
    <t xml:space="preserve">O000733</t>
  </si>
  <si>
    <t xml:space="preserve">O000734</t>
  </si>
  <si>
    <t xml:space="preserve">O000735</t>
  </si>
  <si>
    <t xml:space="preserve">O000736</t>
  </si>
  <si>
    <t xml:space="preserve">O000737</t>
  </si>
  <si>
    <t xml:space="preserve">O000738</t>
  </si>
  <si>
    <t xml:space="preserve">O000739</t>
  </si>
  <si>
    <t xml:space="preserve">O000740</t>
  </si>
  <si>
    <t xml:space="preserve">O000741</t>
  </si>
  <si>
    <t xml:space="preserve">O000742</t>
  </si>
  <si>
    <t xml:space="preserve">O000743</t>
  </si>
  <si>
    <t xml:space="preserve">O000744</t>
  </si>
  <si>
    <t xml:space="preserve">O000745</t>
  </si>
  <si>
    <t xml:space="preserve">O000746</t>
  </si>
  <si>
    <t xml:space="preserve">O000747</t>
  </si>
  <si>
    <t xml:space="preserve">O000748</t>
  </si>
  <si>
    <t xml:space="preserve">O000749</t>
  </si>
  <si>
    <t xml:space="preserve">O000750</t>
  </si>
  <si>
    <t xml:space="preserve">O000751</t>
  </si>
  <si>
    <t xml:space="preserve">O000752</t>
  </si>
  <si>
    <t xml:space="preserve">O000753</t>
  </si>
  <si>
    <t xml:space="preserve">O000754</t>
  </si>
  <si>
    <t xml:space="preserve">O000755</t>
  </si>
  <si>
    <t xml:space="preserve">O000756</t>
  </si>
  <si>
    <t xml:space="preserve">O000757</t>
  </si>
  <si>
    <t xml:space="preserve">O000758</t>
  </si>
  <si>
    <t xml:space="preserve">O000759</t>
  </si>
  <si>
    <t xml:space="preserve">O000760</t>
  </si>
  <si>
    <t xml:space="preserve">O000761</t>
  </si>
  <si>
    <t xml:space="preserve">O000762</t>
  </si>
  <si>
    <t xml:space="preserve">O000763</t>
  </si>
  <si>
    <t xml:space="preserve">O000764</t>
  </si>
  <si>
    <t xml:space="preserve">O000765</t>
  </si>
  <si>
    <t xml:space="preserve">O000766</t>
  </si>
  <si>
    <t xml:space="preserve">O000767</t>
  </si>
  <si>
    <t xml:space="preserve">O000768</t>
  </si>
  <si>
    <t xml:space="preserve">O000769</t>
  </si>
  <si>
    <t xml:space="preserve">O000770</t>
  </si>
  <si>
    <t xml:space="preserve">O000771</t>
  </si>
  <si>
    <t xml:space="preserve">O000772</t>
  </si>
  <si>
    <t xml:space="preserve">O000773</t>
  </si>
  <si>
    <t xml:space="preserve">O000774</t>
  </si>
  <si>
    <t xml:space="preserve">O000775</t>
  </si>
  <si>
    <t xml:space="preserve">O000776</t>
  </si>
  <si>
    <t xml:space="preserve">O000777</t>
  </si>
  <si>
    <t xml:space="preserve">O000778</t>
  </si>
  <si>
    <t xml:space="preserve">O000779</t>
  </si>
  <si>
    <t xml:space="preserve">O000780</t>
  </si>
  <si>
    <t xml:space="preserve">O000781</t>
  </si>
  <si>
    <t xml:space="preserve">O000782</t>
  </si>
  <si>
    <t xml:space="preserve">O000783</t>
  </si>
  <si>
    <t xml:space="preserve">O000784</t>
  </si>
  <si>
    <t xml:space="preserve">O000785</t>
  </si>
  <si>
    <t xml:space="preserve">O000786</t>
  </si>
  <si>
    <t xml:space="preserve">O000787</t>
  </si>
  <si>
    <t xml:space="preserve">O000788</t>
  </si>
  <si>
    <t xml:space="preserve">O000789</t>
  </si>
  <si>
    <t xml:space="preserve">O000790</t>
  </si>
  <si>
    <t xml:space="preserve">O000791</t>
  </si>
  <si>
    <t xml:space="preserve">O000792</t>
  </si>
  <si>
    <t xml:space="preserve">O000793</t>
  </si>
  <si>
    <t xml:space="preserve">O000794</t>
  </si>
  <si>
    <t xml:space="preserve">O000795</t>
  </si>
  <si>
    <t xml:space="preserve">O000796</t>
  </si>
  <si>
    <t xml:space="preserve">O000797</t>
  </si>
  <si>
    <t xml:space="preserve">O000798</t>
  </si>
  <si>
    <t xml:space="preserve">O000799</t>
  </si>
  <si>
    <t xml:space="preserve">O000800</t>
  </si>
  <si>
    <t xml:space="preserve">O000801</t>
  </si>
  <si>
    <t xml:space="preserve">O000802</t>
  </si>
  <si>
    <t xml:space="preserve">O000803</t>
  </si>
  <si>
    <t xml:space="preserve">O000804</t>
  </si>
  <si>
    <t xml:space="preserve">O000805</t>
  </si>
  <si>
    <t xml:space="preserve">O000806</t>
  </si>
  <si>
    <t xml:space="preserve">O000807</t>
  </si>
  <si>
    <t xml:space="preserve">O000808</t>
  </si>
  <si>
    <t xml:space="preserve">O000809</t>
  </si>
  <si>
    <t xml:space="preserve">O000810</t>
  </si>
  <si>
    <t xml:space="preserve">O000811</t>
  </si>
  <si>
    <t xml:space="preserve">O000812</t>
  </si>
  <si>
    <t xml:space="preserve">O000813</t>
  </si>
  <si>
    <t xml:space="preserve">O000814</t>
  </si>
  <si>
    <t xml:space="preserve">O000815</t>
  </si>
  <si>
    <t xml:space="preserve">O000816</t>
  </si>
  <si>
    <t xml:space="preserve">O000817</t>
  </si>
  <si>
    <t xml:space="preserve">O000818</t>
  </si>
  <si>
    <t xml:space="preserve">O000819</t>
  </si>
  <si>
    <t xml:space="preserve">O000820</t>
  </si>
  <si>
    <t xml:space="preserve">O000821</t>
  </si>
  <si>
    <t xml:space="preserve">O000822</t>
  </si>
  <si>
    <t xml:space="preserve">O000823</t>
  </si>
  <si>
    <t xml:space="preserve">O000824</t>
  </si>
  <si>
    <t xml:space="preserve">O000825</t>
  </si>
  <si>
    <t xml:space="preserve">O000826</t>
  </si>
  <si>
    <t xml:space="preserve">O000827</t>
  </si>
  <si>
    <t xml:space="preserve">O000828</t>
  </si>
  <si>
    <t xml:space="preserve">O000829</t>
  </si>
  <si>
    <t xml:space="preserve">O000830</t>
  </si>
  <si>
    <t xml:space="preserve">O000831</t>
  </si>
  <si>
    <t xml:space="preserve">O000832</t>
  </si>
  <si>
    <t xml:space="preserve">O000833</t>
  </si>
  <si>
    <t xml:space="preserve">O000834</t>
  </si>
  <si>
    <t xml:space="preserve">O000835</t>
  </si>
  <si>
    <t xml:space="preserve">O000836</t>
  </si>
  <si>
    <t xml:space="preserve">O000837</t>
  </si>
  <si>
    <t xml:space="preserve">O000838</t>
  </si>
  <si>
    <t xml:space="preserve">O000839</t>
  </si>
  <si>
    <t xml:space="preserve">O000840</t>
  </si>
  <si>
    <t xml:space="preserve">O000841</t>
  </si>
  <si>
    <t xml:space="preserve">O000842</t>
  </si>
  <si>
    <t xml:space="preserve">O000843</t>
  </si>
  <si>
    <t xml:space="preserve">O000844</t>
  </si>
  <si>
    <t xml:space="preserve">O000845</t>
  </si>
  <si>
    <t xml:space="preserve">O000846</t>
  </si>
  <si>
    <t xml:space="preserve">O000847</t>
  </si>
  <si>
    <t xml:space="preserve">O000848</t>
  </si>
  <si>
    <t xml:space="preserve">O000849</t>
  </si>
  <si>
    <t xml:space="preserve">O000850</t>
  </si>
  <si>
    <t xml:space="preserve">O000851</t>
  </si>
  <si>
    <t xml:space="preserve">O000852</t>
  </si>
  <si>
    <t xml:space="preserve">O000853</t>
  </si>
  <si>
    <t xml:space="preserve">O000854</t>
  </si>
  <si>
    <t xml:space="preserve">O000855</t>
  </si>
  <si>
    <t xml:space="preserve">O000856</t>
  </si>
  <si>
    <t xml:space="preserve">O000857</t>
  </si>
  <si>
    <t xml:space="preserve">O000858</t>
  </si>
  <si>
    <t xml:space="preserve">O000859</t>
  </si>
  <si>
    <t xml:space="preserve">O000860</t>
  </si>
  <si>
    <t xml:space="preserve">O000861</t>
  </si>
  <si>
    <t xml:space="preserve">O000862</t>
  </si>
  <si>
    <t xml:space="preserve">O000863</t>
  </si>
  <si>
    <t xml:space="preserve">O000864</t>
  </si>
  <si>
    <t xml:space="preserve">O000865</t>
  </si>
  <si>
    <t xml:space="preserve">O000866</t>
  </si>
  <si>
    <t xml:space="preserve">O000867</t>
  </si>
  <si>
    <t xml:space="preserve">O000868</t>
  </si>
  <si>
    <t xml:space="preserve">O000869</t>
  </si>
  <si>
    <t xml:space="preserve">O000870</t>
  </si>
  <si>
    <t xml:space="preserve">O000871</t>
  </si>
  <si>
    <t xml:space="preserve">O000872</t>
  </si>
  <si>
    <t xml:space="preserve">O000873</t>
  </si>
  <si>
    <t xml:space="preserve">O000874</t>
  </si>
  <si>
    <t xml:space="preserve">O000875</t>
  </si>
  <si>
    <t xml:space="preserve">O000876</t>
  </si>
  <si>
    <t xml:space="preserve">O000877</t>
  </si>
  <si>
    <t xml:space="preserve">O000878</t>
  </si>
  <si>
    <t xml:space="preserve">O000879</t>
  </si>
  <si>
    <t xml:space="preserve">O000880</t>
  </si>
  <si>
    <t xml:space="preserve">O000881</t>
  </si>
  <si>
    <t xml:space="preserve">O000882</t>
  </si>
  <si>
    <t xml:space="preserve">O000883</t>
  </si>
  <si>
    <t xml:space="preserve">O000884</t>
  </si>
  <si>
    <t xml:space="preserve">O000885</t>
  </si>
  <si>
    <t xml:space="preserve">O000886</t>
  </si>
  <si>
    <t xml:space="preserve">O000887</t>
  </si>
  <si>
    <t xml:space="preserve">O000888</t>
  </si>
  <si>
    <t xml:space="preserve">O000889</t>
  </si>
  <si>
    <t xml:space="preserve">O000890</t>
  </si>
  <si>
    <t xml:space="preserve">O000891</t>
  </si>
  <si>
    <t xml:space="preserve">O000892</t>
  </si>
  <si>
    <t xml:space="preserve">O000893</t>
  </si>
  <si>
    <t xml:space="preserve">O000894</t>
  </si>
  <si>
    <t xml:space="preserve">O000895</t>
  </si>
  <si>
    <t xml:space="preserve">O000896</t>
  </si>
  <si>
    <t xml:space="preserve">O000897</t>
  </si>
  <si>
    <t xml:space="preserve">O000898</t>
  </si>
  <si>
    <t xml:space="preserve">O000899</t>
  </si>
  <si>
    <t xml:space="preserve">O000900</t>
  </si>
  <si>
    <t xml:space="preserve">O000901</t>
  </si>
  <si>
    <t xml:space="preserve">O000902</t>
  </si>
  <si>
    <t xml:space="preserve">O000903</t>
  </si>
  <si>
    <t xml:space="preserve">O000904</t>
  </si>
  <si>
    <t xml:space="preserve">O000905</t>
  </si>
  <si>
    <t xml:space="preserve">O000906</t>
  </si>
  <si>
    <t xml:space="preserve">O000907</t>
  </si>
  <si>
    <t xml:space="preserve">O000908</t>
  </si>
  <si>
    <t xml:space="preserve">O000909</t>
  </si>
  <si>
    <t xml:space="preserve">O000910</t>
  </si>
  <si>
    <t xml:space="preserve">O000911</t>
  </si>
  <si>
    <t xml:space="preserve">O000912</t>
  </si>
  <si>
    <t xml:space="preserve">O000913</t>
  </si>
  <si>
    <t xml:space="preserve">O000914</t>
  </si>
  <si>
    <t xml:space="preserve">O000915</t>
  </si>
  <si>
    <t xml:space="preserve">O000916</t>
  </si>
  <si>
    <t xml:space="preserve">O000917</t>
  </si>
  <si>
    <t xml:space="preserve">O000918</t>
  </si>
  <si>
    <t xml:space="preserve">O000919</t>
  </si>
  <si>
    <t xml:space="preserve">O000920</t>
  </si>
  <si>
    <t xml:space="preserve">O000921</t>
  </si>
  <si>
    <t xml:space="preserve">O000922</t>
  </si>
  <si>
    <t xml:space="preserve">O000923</t>
  </si>
  <si>
    <t xml:space="preserve">O000924</t>
  </si>
  <si>
    <t xml:space="preserve">O000925</t>
  </si>
  <si>
    <t xml:space="preserve">O000926</t>
  </si>
  <si>
    <t xml:space="preserve">O000927</t>
  </si>
  <si>
    <t xml:space="preserve">O000928</t>
  </si>
  <si>
    <t xml:space="preserve">O000929</t>
  </si>
  <si>
    <t xml:space="preserve">O000930</t>
  </si>
  <si>
    <t xml:space="preserve">O000931</t>
  </si>
  <si>
    <t xml:space="preserve">O000932</t>
  </si>
  <si>
    <t xml:space="preserve">O000933</t>
  </si>
  <si>
    <t xml:space="preserve">O000934</t>
  </si>
  <si>
    <t xml:space="preserve">O000935</t>
  </si>
  <si>
    <t xml:space="preserve">O000936</t>
  </si>
  <si>
    <t xml:space="preserve">O000937</t>
  </si>
  <si>
    <t xml:space="preserve">O000938</t>
  </si>
  <si>
    <t xml:space="preserve">O000939</t>
  </si>
  <si>
    <t xml:space="preserve">O000940</t>
  </si>
  <si>
    <t xml:space="preserve">O000941</t>
  </si>
  <si>
    <t xml:space="preserve">O000942</t>
  </si>
  <si>
    <t xml:space="preserve">O000943</t>
  </si>
  <si>
    <t xml:space="preserve">O000944</t>
  </si>
  <si>
    <t xml:space="preserve">O000945</t>
  </si>
  <si>
    <t xml:space="preserve">O000946</t>
  </si>
  <si>
    <t xml:space="preserve">O000947</t>
  </si>
  <si>
    <t xml:space="preserve">O000948</t>
  </si>
  <si>
    <t xml:space="preserve">O000949</t>
  </si>
  <si>
    <t xml:space="preserve">O000950</t>
  </si>
  <si>
    <t xml:space="preserve">O000951</t>
  </si>
  <si>
    <t xml:space="preserve">O000952</t>
  </si>
  <si>
    <t xml:space="preserve">O000953</t>
  </si>
  <si>
    <t xml:space="preserve">O000954</t>
  </si>
  <si>
    <t xml:space="preserve">O000955</t>
  </si>
  <si>
    <t xml:space="preserve">O000956</t>
  </si>
  <si>
    <t xml:space="preserve">O000957</t>
  </si>
  <si>
    <t xml:space="preserve">O000958</t>
  </si>
  <si>
    <t xml:space="preserve">O000959</t>
  </si>
  <si>
    <t xml:space="preserve">O000960</t>
  </si>
  <si>
    <t xml:space="preserve">O000961</t>
  </si>
  <si>
    <t xml:space="preserve">O000962</t>
  </si>
  <si>
    <t xml:space="preserve">O000963</t>
  </si>
  <si>
    <t xml:space="preserve">O000964</t>
  </si>
  <si>
    <t xml:space="preserve">O000965</t>
  </si>
  <si>
    <t xml:space="preserve">O000966</t>
  </si>
  <si>
    <t xml:space="preserve">O000967</t>
  </si>
  <si>
    <t xml:space="preserve">O000968</t>
  </si>
  <si>
    <t xml:space="preserve">O000969</t>
  </si>
  <si>
    <t xml:space="preserve">O000970</t>
  </si>
  <si>
    <t xml:space="preserve">O000971</t>
  </si>
  <si>
    <t xml:space="preserve">O000972</t>
  </si>
  <si>
    <t xml:space="preserve">O000973</t>
  </si>
  <si>
    <t xml:space="preserve">O000974</t>
  </si>
  <si>
    <t xml:space="preserve">O000975</t>
  </si>
  <si>
    <t xml:space="preserve">O000976</t>
  </si>
  <si>
    <t xml:space="preserve">O000977</t>
  </si>
  <si>
    <t xml:space="preserve">O000978</t>
  </si>
  <si>
    <t xml:space="preserve">O000979</t>
  </si>
  <si>
    <t xml:space="preserve">O000980</t>
  </si>
  <si>
    <t xml:space="preserve">O000981</t>
  </si>
  <si>
    <t xml:space="preserve">O000982</t>
  </si>
  <si>
    <t xml:space="preserve">O000983</t>
  </si>
  <si>
    <t xml:space="preserve">O000984</t>
  </si>
  <si>
    <t xml:space="preserve">O000985</t>
  </si>
  <si>
    <t xml:space="preserve">O000986</t>
  </si>
  <si>
    <t xml:space="preserve">O000987</t>
  </si>
  <si>
    <t xml:space="preserve">O000988</t>
  </si>
  <si>
    <t xml:space="preserve">O000989</t>
  </si>
  <si>
    <t xml:space="preserve">O000990</t>
  </si>
  <si>
    <t xml:space="preserve">O000991</t>
  </si>
  <si>
    <t xml:space="preserve">O000992</t>
  </si>
  <si>
    <t xml:space="preserve">O000993</t>
  </si>
  <si>
    <t xml:space="preserve">O000994</t>
  </si>
  <si>
    <t xml:space="preserve">O000995</t>
  </si>
  <si>
    <t xml:space="preserve">O000996</t>
  </si>
  <si>
    <t xml:space="preserve">O000997</t>
  </si>
  <si>
    <t xml:space="preserve">O000998</t>
  </si>
  <si>
    <t xml:space="preserve">O000999</t>
  </si>
  <si>
    <t xml:space="preserve">O001000</t>
  </si>
  <si>
    <t xml:space="preserve">SKU</t>
  </si>
  <si>
    <t xml:space="preserve">Warehouse</t>
  </si>
  <si>
    <t xml:space="preserve">On Hand</t>
  </si>
  <si>
    <t xml:space="preserve">Reorder Point</t>
  </si>
  <si>
    <t xml:space="preserve">Inventory Value</t>
  </si>
  <si>
    <t xml:space="preserve">SKU00001</t>
  </si>
  <si>
    <t xml:space="preserve">ATL</t>
  </si>
  <si>
    <t xml:space="preserve">OK</t>
  </si>
  <si>
    <t xml:space="preserve">SKU00002</t>
  </si>
  <si>
    <t xml:space="preserve">SKU00003</t>
  </si>
  <si>
    <t xml:space="preserve">SEA</t>
  </si>
  <si>
    <t xml:space="preserve">SKU00004</t>
  </si>
  <si>
    <t xml:space="preserve">DAL</t>
  </si>
  <si>
    <t xml:space="preserve">SKU00005</t>
  </si>
  <si>
    <t xml:space="preserve">NYC</t>
  </si>
  <si>
    <t xml:space="preserve">SKU00006</t>
  </si>
  <si>
    <t xml:space="preserve">SKU00007</t>
  </si>
  <si>
    <t xml:space="preserve">SKU00008</t>
  </si>
  <si>
    <t xml:space="preserve">SKU00009</t>
  </si>
  <si>
    <t xml:space="preserve">Reorder</t>
  </si>
  <si>
    <t xml:space="preserve">SKU00010</t>
  </si>
  <si>
    <t xml:space="preserve">SKU00011</t>
  </si>
  <si>
    <t xml:space="preserve">SKU00012</t>
  </si>
  <si>
    <t xml:space="preserve">SKU00013</t>
  </si>
  <si>
    <t xml:space="preserve">SKU00014</t>
  </si>
  <si>
    <t xml:space="preserve">SKU00015</t>
  </si>
  <si>
    <t xml:space="preserve">SKU00016</t>
  </si>
  <si>
    <t xml:space="preserve">SKU00017</t>
  </si>
  <si>
    <t xml:space="preserve">SKU00018</t>
  </si>
  <si>
    <t xml:space="preserve">SKU00019</t>
  </si>
  <si>
    <t xml:space="preserve">SKU00020</t>
  </si>
  <si>
    <t xml:space="preserve">SKU00021</t>
  </si>
  <si>
    <t xml:space="preserve">SKU00022</t>
  </si>
  <si>
    <t xml:space="preserve">SKU00023</t>
  </si>
  <si>
    <t xml:space="preserve">LAX</t>
  </si>
  <si>
    <t xml:space="preserve">SKU00024</t>
  </si>
  <si>
    <t xml:space="preserve">SKU00025</t>
  </si>
  <si>
    <t xml:space="preserve">SKU00026</t>
  </si>
  <si>
    <t xml:space="preserve">SKU00027</t>
  </si>
  <si>
    <t xml:space="preserve">SKU00028</t>
  </si>
  <si>
    <t xml:space="preserve">SKU00029</t>
  </si>
  <si>
    <t xml:space="preserve">SKU00030</t>
  </si>
  <si>
    <t xml:space="preserve">SKU00031</t>
  </si>
  <si>
    <t xml:space="preserve">SKU00032</t>
  </si>
  <si>
    <t xml:space="preserve">SKU00033</t>
  </si>
  <si>
    <t xml:space="preserve">SKU00034</t>
  </si>
  <si>
    <t xml:space="preserve">SKU00035</t>
  </si>
  <si>
    <t xml:space="preserve">SKU00036</t>
  </si>
  <si>
    <t xml:space="preserve">SKU00037</t>
  </si>
  <si>
    <t xml:space="preserve">SKU00038</t>
  </si>
  <si>
    <t xml:space="preserve">SKU00039</t>
  </si>
  <si>
    <t xml:space="preserve">SKU00040</t>
  </si>
  <si>
    <t xml:space="preserve">SKU00041</t>
  </si>
  <si>
    <t xml:space="preserve">SKU00042</t>
  </si>
  <si>
    <t xml:space="preserve">SKU00043</t>
  </si>
  <si>
    <t xml:space="preserve">SKU00044</t>
  </si>
  <si>
    <t xml:space="preserve">SKU00045</t>
  </si>
  <si>
    <t xml:space="preserve">SKU00046</t>
  </si>
  <si>
    <t xml:space="preserve">SKU00047</t>
  </si>
  <si>
    <t xml:space="preserve">SKU00048</t>
  </si>
  <si>
    <t xml:space="preserve">SKU00049</t>
  </si>
  <si>
    <t xml:space="preserve">SKU00050</t>
  </si>
  <si>
    <t xml:space="preserve">SKU00051</t>
  </si>
  <si>
    <t xml:space="preserve">SKU00052</t>
  </si>
  <si>
    <t xml:space="preserve">SKU00053</t>
  </si>
  <si>
    <t xml:space="preserve">SKU00054</t>
  </si>
  <si>
    <t xml:space="preserve">SKU00055</t>
  </si>
  <si>
    <t xml:space="preserve">SKU00056</t>
  </si>
  <si>
    <t xml:space="preserve">SKU00057</t>
  </si>
  <si>
    <t xml:space="preserve">SKU00058</t>
  </si>
  <si>
    <t xml:space="preserve">SKU00059</t>
  </si>
  <si>
    <t xml:space="preserve">SKU00060</t>
  </si>
  <si>
    <t xml:space="preserve">SKU00061</t>
  </si>
  <si>
    <t xml:space="preserve">SKU00062</t>
  </si>
  <si>
    <t xml:space="preserve">SKU00063</t>
  </si>
  <si>
    <t xml:space="preserve">SKU00064</t>
  </si>
  <si>
    <t xml:space="preserve">SKU00065</t>
  </si>
  <si>
    <t xml:space="preserve">SKU00066</t>
  </si>
  <si>
    <t xml:space="preserve">SKU00067</t>
  </si>
  <si>
    <t xml:space="preserve">SKU00068</t>
  </si>
  <si>
    <t xml:space="preserve">SKU00069</t>
  </si>
  <si>
    <t xml:space="preserve">SKU00070</t>
  </si>
  <si>
    <t xml:space="preserve">SKU00071</t>
  </si>
  <si>
    <t xml:space="preserve">SKU00072</t>
  </si>
  <si>
    <t xml:space="preserve">SKU00073</t>
  </si>
  <si>
    <t xml:space="preserve">SKU00074</t>
  </si>
  <si>
    <t xml:space="preserve">SKU00075</t>
  </si>
  <si>
    <t xml:space="preserve">SKU00076</t>
  </si>
  <si>
    <t xml:space="preserve">SKU00077</t>
  </si>
  <si>
    <t xml:space="preserve">SKU00078</t>
  </si>
  <si>
    <t xml:space="preserve">SKU00079</t>
  </si>
  <si>
    <t xml:space="preserve">SKU00080</t>
  </si>
  <si>
    <t xml:space="preserve">SKU00081</t>
  </si>
  <si>
    <t xml:space="preserve">SKU00082</t>
  </si>
  <si>
    <t xml:space="preserve">SKU00083</t>
  </si>
  <si>
    <t xml:space="preserve">SKU00084</t>
  </si>
  <si>
    <t xml:space="preserve">SKU00085</t>
  </si>
  <si>
    <t xml:space="preserve">SKU00086</t>
  </si>
  <si>
    <t xml:space="preserve">SKU00087</t>
  </si>
  <si>
    <t xml:space="preserve">SKU00088</t>
  </si>
  <si>
    <t xml:space="preserve">SKU00089</t>
  </si>
  <si>
    <t xml:space="preserve">SKU00090</t>
  </si>
  <si>
    <t xml:space="preserve">SKU00091</t>
  </si>
  <si>
    <t xml:space="preserve">SKU00092</t>
  </si>
  <si>
    <t xml:space="preserve">SKU00093</t>
  </si>
  <si>
    <t xml:space="preserve">SKU00094</t>
  </si>
  <si>
    <t xml:space="preserve">SKU00095</t>
  </si>
  <si>
    <t xml:space="preserve">SKU00096</t>
  </si>
  <si>
    <t xml:space="preserve">SKU00097</t>
  </si>
  <si>
    <t xml:space="preserve">SKU00098</t>
  </si>
  <si>
    <t xml:space="preserve">SKU00099</t>
  </si>
  <si>
    <t xml:space="preserve">SKU00100</t>
  </si>
  <si>
    <t xml:space="preserve">SKU00101</t>
  </si>
  <si>
    <t xml:space="preserve">SKU00102</t>
  </si>
  <si>
    <t xml:space="preserve">SKU00103</t>
  </si>
  <si>
    <t xml:space="preserve">SKU00104</t>
  </si>
  <si>
    <t xml:space="preserve">SKU00105</t>
  </si>
  <si>
    <t xml:space="preserve">SKU00106</t>
  </si>
  <si>
    <t xml:space="preserve">SKU00107</t>
  </si>
  <si>
    <t xml:space="preserve">SKU00108</t>
  </si>
  <si>
    <t xml:space="preserve">SKU00109</t>
  </si>
  <si>
    <t xml:space="preserve">SKU00110</t>
  </si>
  <si>
    <t xml:space="preserve">SKU00111</t>
  </si>
  <si>
    <t xml:space="preserve">SKU00112</t>
  </si>
  <si>
    <t xml:space="preserve">SKU00113</t>
  </si>
  <si>
    <t xml:space="preserve">SKU00114</t>
  </si>
  <si>
    <t xml:space="preserve">SKU00115</t>
  </si>
  <si>
    <t xml:space="preserve">SKU00116</t>
  </si>
  <si>
    <t xml:space="preserve">SKU00117</t>
  </si>
  <si>
    <t xml:space="preserve">SKU00118</t>
  </si>
  <si>
    <t xml:space="preserve">SKU00119</t>
  </si>
  <si>
    <t xml:space="preserve">SKU00120</t>
  </si>
  <si>
    <t xml:space="preserve">SKU00121</t>
  </si>
  <si>
    <t xml:space="preserve">SKU00122</t>
  </si>
  <si>
    <t xml:space="preserve">SKU00123</t>
  </si>
  <si>
    <t xml:space="preserve">SKU00124</t>
  </si>
  <si>
    <t xml:space="preserve">SKU00125</t>
  </si>
  <si>
    <t xml:space="preserve">SKU00126</t>
  </si>
  <si>
    <t xml:space="preserve">SKU00127</t>
  </si>
  <si>
    <t xml:space="preserve">SKU00128</t>
  </si>
  <si>
    <t xml:space="preserve">SKU00129</t>
  </si>
  <si>
    <t xml:space="preserve">SKU00130</t>
  </si>
  <si>
    <t xml:space="preserve">SKU00131</t>
  </si>
  <si>
    <t xml:space="preserve">SKU00132</t>
  </si>
  <si>
    <t xml:space="preserve">SKU00133</t>
  </si>
  <si>
    <t xml:space="preserve">SKU00134</t>
  </si>
  <si>
    <t xml:space="preserve">SKU00135</t>
  </si>
  <si>
    <t xml:space="preserve">SKU00136</t>
  </si>
  <si>
    <t xml:space="preserve">SKU00137</t>
  </si>
  <si>
    <t xml:space="preserve">SKU00138</t>
  </si>
  <si>
    <t xml:space="preserve">SKU00139</t>
  </si>
  <si>
    <t xml:space="preserve">SKU00140</t>
  </si>
  <si>
    <t xml:space="preserve">SKU00141</t>
  </si>
  <si>
    <t xml:space="preserve">SKU00142</t>
  </si>
  <si>
    <t xml:space="preserve">SKU00143</t>
  </si>
  <si>
    <t xml:space="preserve">SKU00144</t>
  </si>
  <si>
    <t xml:space="preserve">SKU00145</t>
  </si>
  <si>
    <t xml:space="preserve">SKU00146</t>
  </si>
  <si>
    <t xml:space="preserve">SKU00147</t>
  </si>
  <si>
    <t xml:space="preserve">SKU00148</t>
  </si>
  <si>
    <t xml:space="preserve">SKU00149</t>
  </si>
  <si>
    <t xml:space="preserve">SKU00150</t>
  </si>
  <si>
    <t xml:space="preserve">SKU00151</t>
  </si>
  <si>
    <t xml:space="preserve">SKU00152</t>
  </si>
  <si>
    <t xml:space="preserve">SKU00153</t>
  </si>
  <si>
    <t xml:space="preserve">SKU00154</t>
  </si>
  <si>
    <t xml:space="preserve">SKU00155</t>
  </si>
  <si>
    <t xml:space="preserve">SKU00156</t>
  </si>
  <si>
    <t xml:space="preserve">SKU00157</t>
  </si>
  <si>
    <t xml:space="preserve">SKU00158</t>
  </si>
  <si>
    <t xml:space="preserve">SKU00159</t>
  </si>
  <si>
    <t xml:space="preserve">SKU00160</t>
  </si>
  <si>
    <t xml:space="preserve">SKU00161</t>
  </si>
  <si>
    <t xml:space="preserve">SKU00162</t>
  </si>
  <si>
    <t xml:space="preserve">SKU00163</t>
  </si>
  <si>
    <t xml:space="preserve">SKU00164</t>
  </si>
  <si>
    <t xml:space="preserve">SKU00165</t>
  </si>
  <si>
    <t xml:space="preserve">SKU00166</t>
  </si>
  <si>
    <t xml:space="preserve">SKU00167</t>
  </si>
  <si>
    <t xml:space="preserve">SKU00168</t>
  </si>
  <si>
    <t xml:space="preserve">SKU00169</t>
  </si>
  <si>
    <t xml:space="preserve">SKU00170</t>
  </si>
  <si>
    <t xml:space="preserve">SKU00171</t>
  </si>
  <si>
    <t xml:space="preserve">SKU00172</t>
  </si>
  <si>
    <t xml:space="preserve">SKU00173</t>
  </si>
  <si>
    <t xml:space="preserve">SKU00174</t>
  </si>
  <si>
    <t xml:space="preserve">SKU00175</t>
  </si>
  <si>
    <t xml:space="preserve">SKU00176</t>
  </si>
  <si>
    <t xml:space="preserve">SKU00177</t>
  </si>
  <si>
    <t xml:space="preserve">SKU00178</t>
  </si>
  <si>
    <t xml:space="preserve">SKU00179</t>
  </si>
  <si>
    <t xml:space="preserve">SKU00180</t>
  </si>
  <si>
    <t xml:space="preserve">SKU00181</t>
  </si>
  <si>
    <t xml:space="preserve">SKU00182</t>
  </si>
  <si>
    <t xml:space="preserve">SKU00183</t>
  </si>
  <si>
    <t xml:space="preserve">SKU00184</t>
  </si>
  <si>
    <t xml:space="preserve">SKU00185</t>
  </si>
  <si>
    <t xml:space="preserve">SKU00186</t>
  </si>
  <si>
    <t xml:space="preserve">SKU00187</t>
  </si>
  <si>
    <t xml:space="preserve">SKU00188</t>
  </si>
  <si>
    <t xml:space="preserve">SKU00189</t>
  </si>
  <si>
    <t xml:space="preserve">SKU00190</t>
  </si>
  <si>
    <t xml:space="preserve">SKU00191</t>
  </si>
  <si>
    <t xml:space="preserve">SKU00192</t>
  </si>
  <si>
    <t xml:space="preserve">SKU00193</t>
  </si>
  <si>
    <t xml:space="preserve">SKU00194</t>
  </si>
  <si>
    <t xml:space="preserve">SKU00195</t>
  </si>
  <si>
    <t xml:space="preserve">SKU00196</t>
  </si>
  <si>
    <t xml:space="preserve">SKU00197</t>
  </si>
  <si>
    <t xml:space="preserve">SKU00198</t>
  </si>
  <si>
    <t xml:space="preserve">SKU00199</t>
  </si>
  <si>
    <t xml:space="preserve">SKU00200</t>
  </si>
  <si>
    <t xml:space="preserve">SKU00201</t>
  </si>
  <si>
    <t xml:space="preserve">SKU00202</t>
  </si>
  <si>
    <t xml:space="preserve">SKU00203</t>
  </si>
  <si>
    <t xml:space="preserve">SKU00204</t>
  </si>
  <si>
    <t xml:space="preserve">SKU00205</t>
  </si>
  <si>
    <t xml:space="preserve">SKU00206</t>
  </si>
  <si>
    <t xml:space="preserve">SKU00207</t>
  </si>
  <si>
    <t xml:space="preserve">SKU00208</t>
  </si>
  <si>
    <t xml:space="preserve">SKU00209</t>
  </si>
  <si>
    <t xml:space="preserve">SKU00210</t>
  </si>
  <si>
    <t xml:space="preserve">SKU00211</t>
  </si>
  <si>
    <t xml:space="preserve">SKU00212</t>
  </si>
  <si>
    <t xml:space="preserve">SKU00213</t>
  </si>
  <si>
    <t xml:space="preserve">SKU00214</t>
  </si>
  <si>
    <t xml:space="preserve">SKU00215</t>
  </si>
  <si>
    <t xml:space="preserve">SKU00216</t>
  </si>
  <si>
    <t xml:space="preserve">SKU00217</t>
  </si>
  <si>
    <t xml:space="preserve">SKU00218</t>
  </si>
  <si>
    <t xml:space="preserve">SKU00219</t>
  </si>
  <si>
    <t xml:space="preserve">SKU00220</t>
  </si>
  <si>
    <t xml:space="preserve">SKU00221</t>
  </si>
  <si>
    <t xml:space="preserve">SKU00222</t>
  </si>
  <si>
    <t xml:space="preserve">SKU00223</t>
  </si>
  <si>
    <t xml:space="preserve">SKU00224</t>
  </si>
  <si>
    <t xml:space="preserve">SKU00225</t>
  </si>
  <si>
    <t xml:space="preserve">SKU00226</t>
  </si>
  <si>
    <t xml:space="preserve">SKU00227</t>
  </si>
  <si>
    <t xml:space="preserve">SKU00228</t>
  </si>
  <si>
    <t xml:space="preserve">SKU00229</t>
  </si>
  <si>
    <t xml:space="preserve">SKU00230</t>
  </si>
  <si>
    <t xml:space="preserve">SKU00231</t>
  </si>
  <si>
    <t xml:space="preserve">SKU00232</t>
  </si>
  <si>
    <t xml:space="preserve">SKU00233</t>
  </si>
  <si>
    <t xml:space="preserve">SKU00234</t>
  </si>
  <si>
    <t xml:space="preserve">SKU00235</t>
  </si>
  <si>
    <t xml:space="preserve">SKU00236</t>
  </si>
  <si>
    <t xml:space="preserve">SKU00237</t>
  </si>
  <si>
    <t xml:space="preserve">SKU00238</t>
  </si>
  <si>
    <t xml:space="preserve">SKU00239</t>
  </si>
  <si>
    <t xml:space="preserve">SKU00240</t>
  </si>
  <si>
    <t xml:space="preserve">SKU00241</t>
  </si>
  <si>
    <t xml:space="preserve">SKU00242</t>
  </si>
  <si>
    <t xml:space="preserve">SKU00243</t>
  </si>
  <si>
    <t xml:space="preserve">SKU00244</t>
  </si>
  <si>
    <t xml:space="preserve">SKU00245</t>
  </si>
  <si>
    <t xml:space="preserve">SKU00246</t>
  </si>
  <si>
    <t xml:space="preserve">SKU00247</t>
  </si>
  <si>
    <t xml:space="preserve">SKU00248</t>
  </si>
  <si>
    <t xml:space="preserve">SKU00249</t>
  </si>
  <si>
    <t xml:space="preserve">SKU00250</t>
  </si>
  <si>
    <t xml:space="preserve">SKU00251</t>
  </si>
  <si>
    <t xml:space="preserve">SKU00252</t>
  </si>
  <si>
    <t xml:space="preserve">SKU00253</t>
  </si>
  <si>
    <t xml:space="preserve">SKU00254</t>
  </si>
  <si>
    <t xml:space="preserve">SKU00255</t>
  </si>
  <si>
    <t xml:space="preserve">SKU00256</t>
  </si>
  <si>
    <t xml:space="preserve">SKU00257</t>
  </si>
  <si>
    <t xml:space="preserve">SKU00258</t>
  </si>
  <si>
    <t xml:space="preserve">SKU00259</t>
  </si>
  <si>
    <t xml:space="preserve">SKU00260</t>
  </si>
  <si>
    <t xml:space="preserve">SKU00261</t>
  </si>
  <si>
    <t xml:space="preserve">SKU00262</t>
  </si>
  <si>
    <t xml:space="preserve">SKU00263</t>
  </si>
  <si>
    <t xml:space="preserve">SKU00264</t>
  </si>
  <si>
    <t xml:space="preserve">SKU00265</t>
  </si>
  <si>
    <t xml:space="preserve">SKU00266</t>
  </si>
  <si>
    <t xml:space="preserve">SKU00267</t>
  </si>
  <si>
    <t xml:space="preserve">SKU00268</t>
  </si>
  <si>
    <t xml:space="preserve">SKU00269</t>
  </si>
  <si>
    <t xml:space="preserve">SKU00270</t>
  </si>
  <si>
    <t xml:space="preserve">SKU00271</t>
  </si>
  <si>
    <t xml:space="preserve">SKU00272</t>
  </si>
  <si>
    <t xml:space="preserve">SKU00273</t>
  </si>
  <si>
    <t xml:space="preserve">SKU00274</t>
  </si>
  <si>
    <t xml:space="preserve">SKU00275</t>
  </si>
  <si>
    <t xml:space="preserve">SKU00276</t>
  </si>
  <si>
    <t xml:space="preserve">SKU00277</t>
  </si>
  <si>
    <t xml:space="preserve">SKU00278</t>
  </si>
  <si>
    <t xml:space="preserve">SKU00279</t>
  </si>
  <si>
    <t xml:space="preserve">SKU00280</t>
  </si>
  <si>
    <t xml:space="preserve">SKU00281</t>
  </si>
  <si>
    <t xml:space="preserve">SKU00282</t>
  </si>
  <si>
    <t xml:space="preserve">SKU00283</t>
  </si>
  <si>
    <t xml:space="preserve">SKU00284</t>
  </si>
  <si>
    <t xml:space="preserve">SKU00285</t>
  </si>
  <si>
    <t xml:space="preserve">SKU00286</t>
  </si>
  <si>
    <t xml:space="preserve">SKU00287</t>
  </si>
  <si>
    <t xml:space="preserve">SKU00288</t>
  </si>
  <si>
    <t xml:space="preserve">SKU00289</t>
  </si>
  <si>
    <t xml:space="preserve">SKU00290</t>
  </si>
  <si>
    <t xml:space="preserve">SKU00291</t>
  </si>
  <si>
    <t xml:space="preserve">SKU00292</t>
  </si>
  <si>
    <t xml:space="preserve">SKU00293</t>
  </si>
  <si>
    <t xml:space="preserve">SKU00294</t>
  </si>
  <si>
    <t xml:space="preserve">SKU00295</t>
  </si>
  <si>
    <t xml:space="preserve">SKU00296</t>
  </si>
  <si>
    <t xml:space="preserve">SKU00297</t>
  </si>
  <si>
    <t xml:space="preserve">SKU00298</t>
  </si>
  <si>
    <t xml:space="preserve">SKU00299</t>
  </si>
  <si>
    <t xml:space="preserve">SKU00300</t>
  </si>
  <si>
    <t xml:space="preserve">SKU00301</t>
  </si>
  <si>
    <t xml:space="preserve">SKU00302</t>
  </si>
  <si>
    <t xml:space="preserve">SKU00303</t>
  </si>
  <si>
    <t xml:space="preserve">SKU00304</t>
  </si>
  <si>
    <t xml:space="preserve">SKU00305</t>
  </si>
  <si>
    <t xml:space="preserve">SKU00306</t>
  </si>
  <si>
    <t xml:space="preserve">SKU00307</t>
  </si>
  <si>
    <t xml:space="preserve">SKU00308</t>
  </si>
  <si>
    <t xml:space="preserve">SKU00309</t>
  </si>
  <si>
    <t xml:space="preserve">SKU00310</t>
  </si>
  <si>
    <t xml:space="preserve">SKU00311</t>
  </si>
  <si>
    <t xml:space="preserve">SKU00312</t>
  </si>
  <si>
    <t xml:space="preserve">SKU00313</t>
  </si>
  <si>
    <t xml:space="preserve">SKU00314</t>
  </si>
  <si>
    <t xml:space="preserve">SKU00315</t>
  </si>
  <si>
    <t xml:space="preserve">SKU00316</t>
  </si>
  <si>
    <t xml:space="preserve">SKU00317</t>
  </si>
  <si>
    <t xml:space="preserve">SKU00318</t>
  </si>
  <si>
    <t xml:space="preserve">SKU00319</t>
  </si>
  <si>
    <t xml:space="preserve">SKU00320</t>
  </si>
  <si>
    <t xml:space="preserve">SKU00321</t>
  </si>
  <si>
    <t xml:space="preserve">SKU00322</t>
  </si>
  <si>
    <t xml:space="preserve">SKU00323</t>
  </si>
  <si>
    <t xml:space="preserve">SKU00324</t>
  </si>
  <si>
    <t xml:space="preserve">SKU00325</t>
  </si>
  <si>
    <t xml:space="preserve">SKU00326</t>
  </si>
  <si>
    <t xml:space="preserve">SKU00327</t>
  </si>
  <si>
    <t xml:space="preserve">SKU00328</t>
  </si>
  <si>
    <t xml:space="preserve">SKU00329</t>
  </si>
  <si>
    <t xml:space="preserve">SKU00330</t>
  </si>
  <si>
    <t xml:space="preserve">SKU00331</t>
  </si>
  <si>
    <t xml:space="preserve">SKU00332</t>
  </si>
  <si>
    <t xml:space="preserve">SKU00333</t>
  </si>
  <si>
    <t xml:space="preserve">SKU00334</t>
  </si>
  <si>
    <t xml:space="preserve">SKU00335</t>
  </si>
  <si>
    <t xml:space="preserve">SKU00336</t>
  </si>
  <si>
    <t xml:space="preserve">SKU00337</t>
  </si>
  <si>
    <t xml:space="preserve">SKU00338</t>
  </si>
  <si>
    <t xml:space="preserve">SKU00339</t>
  </si>
  <si>
    <t xml:space="preserve">SKU00340</t>
  </si>
  <si>
    <t xml:space="preserve">SKU00341</t>
  </si>
  <si>
    <t xml:space="preserve">SKU00342</t>
  </si>
  <si>
    <t xml:space="preserve">SKU00343</t>
  </si>
  <si>
    <t xml:space="preserve">SKU00344</t>
  </si>
  <si>
    <t xml:space="preserve">SKU00345</t>
  </si>
  <si>
    <t xml:space="preserve">SKU00346</t>
  </si>
  <si>
    <t xml:space="preserve">SKU00347</t>
  </si>
  <si>
    <t xml:space="preserve">SKU00348</t>
  </si>
  <si>
    <t xml:space="preserve">SKU00349</t>
  </si>
  <si>
    <t xml:space="preserve">SKU00350</t>
  </si>
  <si>
    <t xml:space="preserve">SKU00351</t>
  </si>
  <si>
    <t xml:space="preserve">SKU00352</t>
  </si>
  <si>
    <t xml:space="preserve">SKU00353</t>
  </si>
  <si>
    <t xml:space="preserve">SKU00354</t>
  </si>
  <si>
    <t xml:space="preserve">SKU00355</t>
  </si>
  <si>
    <t xml:space="preserve">SKU00356</t>
  </si>
  <si>
    <t xml:space="preserve">SKU00357</t>
  </si>
  <si>
    <t xml:space="preserve">SKU00358</t>
  </si>
  <si>
    <t xml:space="preserve">SKU00359</t>
  </si>
  <si>
    <t xml:space="preserve">SKU00360</t>
  </si>
  <si>
    <t xml:space="preserve">SKU00361</t>
  </si>
  <si>
    <t xml:space="preserve">SKU00362</t>
  </si>
  <si>
    <t xml:space="preserve">SKU00363</t>
  </si>
  <si>
    <t xml:space="preserve">SKU00364</t>
  </si>
  <si>
    <t xml:space="preserve">SKU00365</t>
  </si>
  <si>
    <t xml:space="preserve">SKU00366</t>
  </si>
  <si>
    <t xml:space="preserve">SKU00367</t>
  </si>
  <si>
    <t xml:space="preserve">SKU00368</t>
  </si>
  <si>
    <t xml:space="preserve">SKU00369</t>
  </si>
  <si>
    <t xml:space="preserve">SKU00370</t>
  </si>
  <si>
    <t xml:space="preserve">SKU00371</t>
  </si>
  <si>
    <t xml:space="preserve">SKU00372</t>
  </si>
  <si>
    <t xml:space="preserve">SKU00373</t>
  </si>
  <si>
    <t xml:space="preserve">SKU00374</t>
  </si>
  <si>
    <t xml:space="preserve">SKU00375</t>
  </si>
  <si>
    <t xml:space="preserve">SKU00376</t>
  </si>
  <si>
    <t xml:space="preserve">SKU00377</t>
  </si>
  <si>
    <t xml:space="preserve">SKU00378</t>
  </si>
  <si>
    <t xml:space="preserve">SKU00379</t>
  </si>
  <si>
    <t xml:space="preserve">SKU00380</t>
  </si>
  <si>
    <t xml:space="preserve">SKU00381</t>
  </si>
  <si>
    <t xml:space="preserve">SKU00382</t>
  </si>
  <si>
    <t xml:space="preserve">SKU00383</t>
  </si>
  <si>
    <t xml:space="preserve">SKU00384</t>
  </si>
  <si>
    <t xml:space="preserve">SKU00385</t>
  </si>
  <si>
    <t xml:space="preserve">SKU00386</t>
  </si>
  <si>
    <t xml:space="preserve">SKU00387</t>
  </si>
  <si>
    <t xml:space="preserve">SKU00388</t>
  </si>
  <si>
    <t xml:space="preserve">SKU00389</t>
  </si>
  <si>
    <t xml:space="preserve">SKU00390</t>
  </si>
  <si>
    <t xml:space="preserve">SKU00391</t>
  </si>
  <si>
    <t xml:space="preserve">SKU00392</t>
  </si>
  <si>
    <t xml:space="preserve">SKU00393</t>
  </si>
  <si>
    <t xml:space="preserve">SKU00394</t>
  </si>
  <si>
    <t xml:space="preserve">SKU00395</t>
  </si>
  <si>
    <t xml:space="preserve">SKU00396</t>
  </si>
  <si>
    <t xml:space="preserve">SKU00397</t>
  </si>
  <si>
    <t xml:space="preserve">SKU00398</t>
  </si>
  <si>
    <t xml:space="preserve">SKU00399</t>
  </si>
  <si>
    <t xml:space="preserve">SKU00400</t>
  </si>
  <si>
    <t xml:space="preserve">SKU00401</t>
  </si>
  <si>
    <t xml:space="preserve">SKU00402</t>
  </si>
  <si>
    <t xml:space="preserve">SKU00403</t>
  </si>
  <si>
    <t xml:space="preserve">SKU00404</t>
  </si>
  <si>
    <t xml:space="preserve">SKU00405</t>
  </si>
  <si>
    <t xml:space="preserve">SKU00406</t>
  </si>
  <si>
    <t xml:space="preserve">SKU00407</t>
  </si>
  <si>
    <t xml:space="preserve">SKU00408</t>
  </si>
  <si>
    <t xml:space="preserve">SKU00409</t>
  </si>
  <si>
    <t xml:space="preserve">SKU00410</t>
  </si>
  <si>
    <t xml:space="preserve">SKU00411</t>
  </si>
  <si>
    <t xml:space="preserve">SKU00412</t>
  </si>
  <si>
    <t xml:space="preserve">SKU00413</t>
  </si>
  <si>
    <t xml:space="preserve">SKU00414</t>
  </si>
  <si>
    <t xml:space="preserve">SKU00415</t>
  </si>
  <si>
    <t xml:space="preserve">SKU00416</t>
  </si>
  <si>
    <t xml:space="preserve">SKU00417</t>
  </si>
  <si>
    <t xml:space="preserve">SKU00418</t>
  </si>
  <si>
    <t xml:space="preserve">SKU00419</t>
  </si>
  <si>
    <t xml:space="preserve">SKU00420</t>
  </si>
  <si>
    <t xml:space="preserve">SKU00421</t>
  </si>
  <si>
    <t xml:space="preserve">SKU00422</t>
  </si>
  <si>
    <t xml:space="preserve">SKU00423</t>
  </si>
  <si>
    <t xml:space="preserve">SKU00424</t>
  </si>
  <si>
    <t xml:space="preserve">SKU00425</t>
  </si>
  <si>
    <t xml:space="preserve">SKU00426</t>
  </si>
  <si>
    <t xml:space="preserve">SKU00427</t>
  </si>
  <si>
    <t xml:space="preserve">SKU00428</t>
  </si>
  <si>
    <t xml:space="preserve">SKU00429</t>
  </si>
  <si>
    <t xml:space="preserve">SKU00430</t>
  </si>
  <si>
    <t xml:space="preserve">SKU00431</t>
  </si>
  <si>
    <t xml:space="preserve">SKU00432</t>
  </si>
  <si>
    <t xml:space="preserve">SKU00433</t>
  </si>
  <si>
    <t xml:space="preserve">SKU00434</t>
  </si>
  <si>
    <t xml:space="preserve">SKU00435</t>
  </si>
  <si>
    <t xml:space="preserve">SKU00436</t>
  </si>
  <si>
    <t xml:space="preserve">SKU00437</t>
  </si>
  <si>
    <t xml:space="preserve">SKU00438</t>
  </si>
  <si>
    <t xml:space="preserve">SKU00439</t>
  </si>
  <si>
    <t xml:space="preserve">SKU00440</t>
  </si>
  <si>
    <t xml:space="preserve">SKU00441</t>
  </si>
  <si>
    <t xml:space="preserve">SKU00442</t>
  </si>
  <si>
    <t xml:space="preserve">SKU00443</t>
  </si>
  <si>
    <t xml:space="preserve">SKU00444</t>
  </si>
  <si>
    <t xml:space="preserve">SKU00445</t>
  </si>
  <si>
    <t xml:space="preserve">SKU00446</t>
  </si>
  <si>
    <t xml:space="preserve">SKU00447</t>
  </si>
  <si>
    <t xml:space="preserve">SKU00448</t>
  </si>
  <si>
    <t xml:space="preserve">SKU00449</t>
  </si>
  <si>
    <t xml:space="preserve">SKU00450</t>
  </si>
  <si>
    <t xml:space="preserve">SKU00451</t>
  </si>
  <si>
    <t xml:space="preserve">SKU00452</t>
  </si>
  <si>
    <t xml:space="preserve">SKU00453</t>
  </si>
  <si>
    <t xml:space="preserve">SKU00454</t>
  </si>
  <si>
    <t xml:space="preserve">SKU00455</t>
  </si>
  <si>
    <t xml:space="preserve">SKU00456</t>
  </si>
  <si>
    <t xml:space="preserve">SKU00457</t>
  </si>
  <si>
    <t xml:space="preserve">SKU00458</t>
  </si>
  <si>
    <t xml:space="preserve">SKU00459</t>
  </si>
  <si>
    <t xml:space="preserve">SKU00460</t>
  </si>
  <si>
    <t xml:space="preserve">SKU00461</t>
  </si>
  <si>
    <t xml:space="preserve">SKU00462</t>
  </si>
  <si>
    <t xml:space="preserve">SKU00463</t>
  </si>
  <si>
    <t xml:space="preserve">SKU00464</t>
  </si>
  <si>
    <t xml:space="preserve">SKU00465</t>
  </si>
  <si>
    <t xml:space="preserve">SKU00466</t>
  </si>
  <si>
    <t xml:space="preserve">SKU00467</t>
  </si>
  <si>
    <t xml:space="preserve">SKU00468</t>
  </si>
  <si>
    <t xml:space="preserve">SKU00469</t>
  </si>
  <si>
    <t xml:space="preserve">SKU00470</t>
  </si>
  <si>
    <t xml:space="preserve">SKU00471</t>
  </si>
  <si>
    <t xml:space="preserve">SKU00472</t>
  </si>
  <si>
    <t xml:space="preserve">SKU00473</t>
  </si>
  <si>
    <t xml:space="preserve">SKU00474</t>
  </si>
  <si>
    <t xml:space="preserve">SKU00475</t>
  </si>
  <si>
    <t xml:space="preserve">SKU00476</t>
  </si>
  <si>
    <t xml:space="preserve">SKU00477</t>
  </si>
  <si>
    <t xml:space="preserve">SKU00478</t>
  </si>
  <si>
    <t xml:space="preserve">SKU00479</t>
  </si>
  <si>
    <t xml:space="preserve">SKU00480</t>
  </si>
  <si>
    <t xml:space="preserve">SKU00481</t>
  </si>
  <si>
    <t xml:space="preserve">SKU00482</t>
  </si>
  <si>
    <t xml:space="preserve">SKU00483</t>
  </si>
  <si>
    <t xml:space="preserve">SKU00484</t>
  </si>
  <si>
    <t xml:space="preserve">SKU00485</t>
  </si>
  <si>
    <t xml:space="preserve">SKU00486</t>
  </si>
  <si>
    <t xml:space="preserve">SKU00487</t>
  </si>
  <si>
    <t xml:space="preserve">SKU00488</t>
  </si>
  <si>
    <t xml:space="preserve">SKU00489</t>
  </si>
  <si>
    <t xml:space="preserve">SKU00490</t>
  </si>
  <si>
    <t xml:space="preserve">SKU00491</t>
  </si>
  <si>
    <t xml:space="preserve">SKU00492</t>
  </si>
  <si>
    <t xml:space="preserve">SKU00493</t>
  </si>
  <si>
    <t xml:space="preserve">SKU00494</t>
  </si>
  <si>
    <t xml:space="preserve">SKU00495</t>
  </si>
  <si>
    <t xml:space="preserve">SKU00496</t>
  </si>
  <si>
    <t xml:space="preserve">SKU00497</t>
  </si>
  <si>
    <t xml:space="preserve">SKU00498</t>
  </si>
  <si>
    <t xml:space="preserve">SKU00499</t>
  </si>
  <si>
    <t xml:space="preserve">SKU00500</t>
  </si>
  <si>
    <t xml:space="preserve">Employee ID</t>
  </si>
  <si>
    <t xml:space="preserve">Name</t>
  </si>
  <si>
    <t xml:space="preserve">Role</t>
  </si>
  <si>
    <t xml:space="preserve">Manager</t>
  </si>
  <si>
    <t xml:space="preserve">Hire Date</t>
  </si>
  <si>
    <t xml:space="preserve">Salary</t>
  </si>
  <si>
    <t xml:space="preserve">Performance Rating</t>
  </si>
  <si>
    <t xml:space="preserve">Location</t>
  </si>
  <si>
    <t xml:space="preserve">E0001</t>
  </si>
  <si>
    <t xml:space="preserve">Employee 001</t>
  </si>
  <si>
    <t xml:space="preserve">Analyst</t>
  </si>
  <si>
    <t xml:space="preserve">New York</t>
  </si>
  <si>
    <t xml:space="preserve">E0002</t>
  </si>
  <si>
    <t xml:space="preserve">Employee 002</t>
  </si>
  <si>
    <t xml:space="preserve">Specialist</t>
  </si>
  <si>
    <t xml:space="preserve">E0003</t>
  </si>
  <si>
    <t xml:space="preserve">Employee 003</t>
  </si>
  <si>
    <t xml:space="preserve">Senior Manager</t>
  </si>
  <si>
    <t xml:space="preserve">Chicago</t>
  </si>
  <si>
    <t xml:space="preserve">E0004</t>
  </si>
  <si>
    <t xml:space="preserve">Employee 004</t>
  </si>
  <si>
    <t xml:space="preserve">Seattle</t>
  </si>
  <si>
    <t xml:space="preserve">E0005</t>
  </si>
  <si>
    <t xml:space="preserve">Employee 005</t>
  </si>
  <si>
    <t xml:space="preserve">Austin</t>
  </si>
  <si>
    <t xml:space="preserve">E0006</t>
  </si>
  <si>
    <t xml:space="preserve">Employee 006</t>
  </si>
  <si>
    <t xml:space="preserve">E0007</t>
  </si>
  <si>
    <t xml:space="preserve">Employee 007</t>
  </si>
  <si>
    <t xml:space="preserve">Director</t>
  </si>
  <si>
    <t xml:space="preserve">E0008</t>
  </si>
  <si>
    <t xml:space="preserve">Employee 008</t>
  </si>
  <si>
    <t xml:space="preserve">Remote</t>
  </si>
  <si>
    <t xml:space="preserve">E0009</t>
  </si>
  <si>
    <t xml:space="preserve">Employee 009</t>
  </si>
  <si>
    <t xml:space="preserve">Associate</t>
  </si>
  <si>
    <t xml:space="preserve">E0010</t>
  </si>
  <si>
    <t xml:space="preserve">Employee 010</t>
  </si>
  <si>
    <t xml:space="preserve">E0011</t>
  </si>
  <si>
    <t xml:space="preserve">Employee 011</t>
  </si>
  <si>
    <t xml:space="preserve">E0012</t>
  </si>
  <si>
    <t xml:space="preserve">Employee 012</t>
  </si>
  <si>
    <t xml:space="preserve">E0013</t>
  </si>
  <si>
    <t xml:space="preserve">Employee 013</t>
  </si>
  <si>
    <t xml:space="preserve">E0014</t>
  </si>
  <si>
    <t xml:space="preserve">Employee 014</t>
  </si>
  <si>
    <t xml:space="preserve">E0015</t>
  </si>
  <si>
    <t xml:space="preserve">Employee 015</t>
  </si>
  <si>
    <t xml:space="preserve">E0016</t>
  </si>
  <si>
    <t xml:space="preserve">Employee 016</t>
  </si>
  <si>
    <t xml:space="preserve">E0017</t>
  </si>
  <si>
    <t xml:space="preserve">Employee 017</t>
  </si>
  <si>
    <t xml:space="preserve">E0018</t>
  </si>
  <si>
    <t xml:space="preserve">Employee 018</t>
  </si>
  <si>
    <t xml:space="preserve">E0019</t>
  </si>
  <si>
    <t xml:space="preserve">Employee 019</t>
  </si>
  <si>
    <t xml:space="preserve">E0020</t>
  </si>
  <si>
    <t xml:space="preserve">Employee 020</t>
  </si>
  <si>
    <t xml:space="preserve">E0021</t>
  </si>
  <si>
    <t xml:space="preserve">Employee 021</t>
  </si>
  <si>
    <t xml:space="preserve">E0022</t>
  </si>
  <si>
    <t xml:space="preserve">Employee 022</t>
  </si>
  <si>
    <t xml:space="preserve">E0023</t>
  </si>
  <si>
    <t xml:space="preserve">Employee 023</t>
  </si>
  <si>
    <t xml:space="preserve">E0024</t>
  </si>
  <si>
    <t xml:space="preserve">Employee 024</t>
  </si>
  <si>
    <t xml:space="preserve">E0025</t>
  </si>
  <si>
    <t xml:space="preserve">Employee 025</t>
  </si>
  <si>
    <t xml:space="preserve">E0026</t>
  </si>
  <si>
    <t xml:space="preserve">Employee 026</t>
  </si>
  <si>
    <t xml:space="preserve">E0027</t>
  </si>
  <si>
    <t xml:space="preserve">Employee 027</t>
  </si>
  <si>
    <t xml:space="preserve">E0028</t>
  </si>
  <si>
    <t xml:space="preserve">Employee 028</t>
  </si>
  <si>
    <t xml:space="preserve">E0029</t>
  </si>
  <si>
    <t xml:space="preserve">Employee 029</t>
  </si>
  <si>
    <t xml:space="preserve">E0030</t>
  </si>
  <si>
    <t xml:space="preserve">Employee 030</t>
  </si>
  <si>
    <t xml:space="preserve">E0031</t>
  </si>
  <si>
    <t xml:space="preserve">Employee 031</t>
  </si>
  <si>
    <t xml:space="preserve">E0032</t>
  </si>
  <si>
    <t xml:space="preserve">Employee 032</t>
  </si>
  <si>
    <t xml:space="preserve">E0033</t>
  </si>
  <si>
    <t xml:space="preserve">Employee 033</t>
  </si>
  <si>
    <t xml:space="preserve">E0034</t>
  </si>
  <si>
    <t xml:space="preserve">Employee 034</t>
  </si>
  <si>
    <t xml:space="preserve">E0035</t>
  </si>
  <si>
    <t xml:space="preserve">Employee 035</t>
  </si>
  <si>
    <t xml:space="preserve">E0036</t>
  </si>
  <si>
    <t xml:space="preserve">Employee 036</t>
  </si>
  <si>
    <t xml:space="preserve">E0037</t>
  </si>
  <si>
    <t xml:space="preserve">Employee 037</t>
  </si>
  <si>
    <t xml:space="preserve">E0038</t>
  </si>
  <si>
    <t xml:space="preserve">Employee 038</t>
  </si>
  <si>
    <t xml:space="preserve">E0039</t>
  </si>
  <si>
    <t xml:space="preserve">Employee 039</t>
  </si>
  <si>
    <t xml:space="preserve">E0040</t>
  </si>
  <si>
    <t xml:space="preserve">Employee 040</t>
  </si>
  <si>
    <t xml:space="preserve">E0041</t>
  </si>
  <si>
    <t xml:space="preserve">Employee 041</t>
  </si>
  <si>
    <t xml:space="preserve">E0042</t>
  </si>
  <si>
    <t xml:space="preserve">Employee 042</t>
  </si>
  <si>
    <t xml:space="preserve">E0043</t>
  </si>
  <si>
    <t xml:space="preserve">Employee 043</t>
  </si>
  <si>
    <t xml:space="preserve">E0044</t>
  </si>
  <si>
    <t xml:space="preserve">Employee 044</t>
  </si>
  <si>
    <t xml:space="preserve">E0045</t>
  </si>
  <si>
    <t xml:space="preserve">Employee 045</t>
  </si>
  <si>
    <t xml:space="preserve">E0046</t>
  </si>
  <si>
    <t xml:space="preserve">Employee 046</t>
  </si>
  <si>
    <t xml:space="preserve">E0047</t>
  </si>
  <si>
    <t xml:space="preserve">Employee 047</t>
  </si>
  <si>
    <t xml:space="preserve">E0048</t>
  </si>
  <si>
    <t xml:space="preserve">Employee 048</t>
  </si>
  <si>
    <t xml:space="preserve">E0049</t>
  </si>
  <si>
    <t xml:space="preserve">Employee 049</t>
  </si>
  <si>
    <t xml:space="preserve">E0050</t>
  </si>
  <si>
    <t xml:space="preserve">Employee 050</t>
  </si>
  <si>
    <t xml:space="preserve">E0051</t>
  </si>
  <si>
    <t xml:space="preserve">Employee 051</t>
  </si>
  <si>
    <t xml:space="preserve">E0052</t>
  </si>
  <si>
    <t xml:space="preserve">Employee 052</t>
  </si>
  <si>
    <t xml:space="preserve">E0053</t>
  </si>
  <si>
    <t xml:space="preserve">Employee 053</t>
  </si>
  <si>
    <t xml:space="preserve">E0054</t>
  </si>
  <si>
    <t xml:space="preserve">Employee 054</t>
  </si>
  <si>
    <t xml:space="preserve">E0055</t>
  </si>
  <si>
    <t xml:space="preserve">Employee 055</t>
  </si>
  <si>
    <t xml:space="preserve">E0056</t>
  </si>
  <si>
    <t xml:space="preserve">Employee 056</t>
  </si>
  <si>
    <t xml:space="preserve">E0057</t>
  </si>
  <si>
    <t xml:space="preserve">Employee 057</t>
  </si>
  <si>
    <t xml:space="preserve">E0058</t>
  </si>
  <si>
    <t xml:space="preserve">Employee 058</t>
  </si>
  <si>
    <t xml:space="preserve">E0059</t>
  </si>
  <si>
    <t xml:space="preserve">Employee 059</t>
  </si>
  <si>
    <t xml:space="preserve">E0060</t>
  </si>
  <si>
    <t xml:space="preserve">Employee 060</t>
  </si>
  <si>
    <t xml:space="preserve">E0061</t>
  </si>
  <si>
    <t xml:space="preserve">Employee 061</t>
  </si>
  <si>
    <t xml:space="preserve">E0062</t>
  </si>
  <si>
    <t xml:space="preserve">Employee 062</t>
  </si>
  <si>
    <t xml:space="preserve">E0063</t>
  </si>
  <si>
    <t xml:space="preserve">Employee 063</t>
  </si>
  <si>
    <t xml:space="preserve">E0064</t>
  </si>
  <si>
    <t xml:space="preserve">Employee 064</t>
  </si>
  <si>
    <t xml:space="preserve">E0065</t>
  </si>
  <si>
    <t xml:space="preserve">Employee 065</t>
  </si>
  <si>
    <t xml:space="preserve">E0066</t>
  </si>
  <si>
    <t xml:space="preserve">Employee 066</t>
  </si>
  <si>
    <t xml:space="preserve">E0067</t>
  </si>
  <si>
    <t xml:space="preserve">Employee 067</t>
  </si>
  <si>
    <t xml:space="preserve">E0068</t>
  </si>
  <si>
    <t xml:space="preserve">Employee 068</t>
  </si>
  <si>
    <t xml:space="preserve">E0069</t>
  </si>
  <si>
    <t xml:space="preserve">Employee 069</t>
  </si>
  <si>
    <t xml:space="preserve">E0070</t>
  </si>
  <si>
    <t xml:space="preserve">Employee 070</t>
  </si>
  <si>
    <t xml:space="preserve">E0071</t>
  </si>
  <si>
    <t xml:space="preserve">Employee 071</t>
  </si>
  <si>
    <t xml:space="preserve">E0072</t>
  </si>
  <si>
    <t xml:space="preserve">Employee 072</t>
  </si>
  <si>
    <t xml:space="preserve">E0073</t>
  </si>
  <si>
    <t xml:space="preserve">Employee 073</t>
  </si>
  <si>
    <t xml:space="preserve">E0074</t>
  </si>
  <si>
    <t xml:space="preserve">Employee 074</t>
  </si>
  <si>
    <t xml:space="preserve">E0075</t>
  </si>
  <si>
    <t xml:space="preserve">Employee 075</t>
  </si>
  <si>
    <t xml:space="preserve">E0076</t>
  </si>
  <si>
    <t xml:space="preserve">Employee 076</t>
  </si>
  <si>
    <t xml:space="preserve">E0077</t>
  </si>
  <si>
    <t xml:space="preserve">Employee 077</t>
  </si>
  <si>
    <t xml:space="preserve">E0078</t>
  </si>
  <si>
    <t xml:space="preserve">Employee 078</t>
  </si>
  <si>
    <t xml:space="preserve">E0079</t>
  </si>
  <si>
    <t xml:space="preserve">Employee 079</t>
  </si>
  <si>
    <t xml:space="preserve">E0080</t>
  </si>
  <si>
    <t xml:space="preserve">Employee 080</t>
  </si>
  <si>
    <t xml:space="preserve">E0081</t>
  </si>
  <si>
    <t xml:space="preserve">Employee 081</t>
  </si>
  <si>
    <t xml:space="preserve">E0082</t>
  </si>
  <si>
    <t xml:space="preserve">Employee 082</t>
  </si>
  <si>
    <t xml:space="preserve">E0083</t>
  </si>
  <si>
    <t xml:space="preserve">Employee 083</t>
  </si>
  <si>
    <t xml:space="preserve">E0084</t>
  </si>
  <si>
    <t xml:space="preserve">Employee 084</t>
  </si>
  <si>
    <t xml:space="preserve">E0085</t>
  </si>
  <si>
    <t xml:space="preserve">Employee 085</t>
  </si>
  <si>
    <t xml:space="preserve">E0086</t>
  </si>
  <si>
    <t xml:space="preserve">Employee 086</t>
  </si>
  <si>
    <t xml:space="preserve">E0087</t>
  </si>
  <si>
    <t xml:space="preserve">Employee 087</t>
  </si>
  <si>
    <t xml:space="preserve">E0088</t>
  </si>
  <si>
    <t xml:space="preserve">Employee 088</t>
  </si>
  <si>
    <t xml:space="preserve">E0089</t>
  </si>
  <si>
    <t xml:space="preserve">Employee 089</t>
  </si>
  <si>
    <t xml:space="preserve">E0090</t>
  </si>
  <si>
    <t xml:space="preserve">Employee 090</t>
  </si>
  <si>
    <t xml:space="preserve">E0091</t>
  </si>
  <si>
    <t xml:space="preserve">Employee 091</t>
  </si>
  <si>
    <t xml:space="preserve">E0092</t>
  </si>
  <si>
    <t xml:space="preserve">Employee 092</t>
  </si>
  <si>
    <t xml:space="preserve">E0093</t>
  </si>
  <si>
    <t xml:space="preserve">Employee 093</t>
  </si>
  <si>
    <t xml:space="preserve">E0094</t>
  </si>
  <si>
    <t xml:space="preserve">Employee 094</t>
  </si>
  <si>
    <t xml:space="preserve">E0095</t>
  </si>
  <si>
    <t xml:space="preserve">Employee 095</t>
  </si>
  <si>
    <t xml:space="preserve">E0096</t>
  </si>
  <si>
    <t xml:space="preserve">Employee 096</t>
  </si>
  <si>
    <t xml:space="preserve">E0097</t>
  </si>
  <si>
    <t xml:space="preserve">Employee 097</t>
  </si>
  <si>
    <t xml:space="preserve">E0098</t>
  </si>
  <si>
    <t xml:space="preserve">Employee 098</t>
  </si>
  <si>
    <t xml:space="preserve">E0099</t>
  </si>
  <si>
    <t xml:space="preserve">Employee 099</t>
  </si>
  <si>
    <t xml:space="preserve">E0100</t>
  </si>
  <si>
    <t xml:space="preserve">Employee 100</t>
  </si>
  <si>
    <t xml:space="preserve">E0101</t>
  </si>
  <si>
    <t xml:space="preserve">Employee 101</t>
  </si>
  <si>
    <t xml:space="preserve">E0102</t>
  </si>
  <si>
    <t xml:space="preserve">Employee 102</t>
  </si>
  <si>
    <t xml:space="preserve">E0103</t>
  </si>
  <si>
    <t xml:space="preserve">Employee 103</t>
  </si>
  <si>
    <t xml:space="preserve">E0104</t>
  </si>
  <si>
    <t xml:space="preserve">Employee 104</t>
  </si>
  <si>
    <t xml:space="preserve">E0105</t>
  </si>
  <si>
    <t xml:space="preserve">Employee 105</t>
  </si>
  <si>
    <t xml:space="preserve">E0106</t>
  </si>
  <si>
    <t xml:space="preserve">Employee 106</t>
  </si>
  <si>
    <t xml:space="preserve">E0107</t>
  </si>
  <si>
    <t xml:space="preserve">Employee 107</t>
  </si>
  <si>
    <t xml:space="preserve">E0108</t>
  </si>
  <si>
    <t xml:space="preserve">Employee 108</t>
  </si>
  <si>
    <t xml:space="preserve">E0109</t>
  </si>
  <si>
    <t xml:space="preserve">Employee 109</t>
  </si>
  <si>
    <t xml:space="preserve">E0110</t>
  </si>
  <si>
    <t xml:space="preserve">Employee 110</t>
  </si>
  <si>
    <t xml:space="preserve">E0111</t>
  </si>
  <si>
    <t xml:space="preserve">Employee 111</t>
  </si>
  <si>
    <t xml:space="preserve">E0112</t>
  </si>
  <si>
    <t xml:space="preserve">Employee 112</t>
  </si>
  <si>
    <t xml:space="preserve">E0113</t>
  </si>
  <si>
    <t xml:space="preserve">Employee 113</t>
  </si>
  <si>
    <t xml:space="preserve">E0114</t>
  </si>
  <si>
    <t xml:space="preserve">Employee 114</t>
  </si>
  <si>
    <t xml:space="preserve">E0115</t>
  </si>
  <si>
    <t xml:space="preserve">Employee 115</t>
  </si>
  <si>
    <t xml:space="preserve">E0116</t>
  </si>
  <si>
    <t xml:space="preserve">Employee 116</t>
  </si>
  <si>
    <t xml:space="preserve">E0117</t>
  </si>
  <si>
    <t xml:space="preserve">Employee 117</t>
  </si>
  <si>
    <t xml:space="preserve">E0118</t>
  </si>
  <si>
    <t xml:space="preserve">Employee 118</t>
  </si>
  <si>
    <t xml:space="preserve">E0119</t>
  </si>
  <si>
    <t xml:space="preserve">Employee 119</t>
  </si>
  <si>
    <t xml:space="preserve">E0120</t>
  </si>
  <si>
    <t xml:space="preserve">Employee 120</t>
  </si>
  <si>
    <t xml:space="preserve">E0121</t>
  </si>
  <si>
    <t xml:space="preserve">Employee 121</t>
  </si>
  <si>
    <t xml:space="preserve">E0122</t>
  </si>
  <si>
    <t xml:space="preserve">Employee 122</t>
  </si>
  <si>
    <t xml:space="preserve">E0123</t>
  </si>
  <si>
    <t xml:space="preserve">Employee 123</t>
  </si>
  <si>
    <t xml:space="preserve">E0124</t>
  </si>
  <si>
    <t xml:space="preserve">Employee 124</t>
  </si>
  <si>
    <t xml:space="preserve">E0125</t>
  </si>
  <si>
    <t xml:space="preserve">Employee 125</t>
  </si>
  <si>
    <t xml:space="preserve">E0126</t>
  </si>
  <si>
    <t xml:space="preserve">Employee 126</t>
  </si>
  <si>
    <t xml:space="preserve">E0127</t>
  </si>
  <si>
    <t xml:space="preserve">Employee 127</t>
  </si>
  <si>
    <t xml:space="preserve">E0128</t>
  </si>
  <si>
    <t xml:space="preserve">Employee 128</t>
  </si>
  <si>
    <t xml:space="preserve">E0129</t>
  </si>
  <si>
    <t xml:space="preserve">Employee 129</t>
  </si>
  <si>
    <t xml:space="preserve">E0130</t>
  </si>
  <si>
    <t xml:space="preserve">Employee 130</t>
  </si>
  <si>
    <t xml:space="preserve">E0131</t>
  </si>
  <si>
    <t xml:space="preserve">Employee 131</t>
  </si>
  <si>
    <t xml:space="preserve">E0132</t>
  </si>
  <si>
    <t xml:space="preserve">Employee 132</t>
  </si>
  <si>
    <t xml:space="preserve">E0133</t>
  </si>
  <si>
    <t xml:space="preserve">Employee 133</t>
  </si>
  <si>
    <t xml:space="preserve">E0134</t>
  </si>
  <si>
    <t xml:space="preserve">Employee 134</t>
  </si>
  <si>
    <t xml:space="preserve">E0135</t>
  </si>
  <si>
    <t xml:space="preserve">Employee 135</t>
  </si>
  <si>
    <t xml:space="preserve">E0136</t>
  </si>
  <si>
    <t xml:space="preserve">Employee 136</t>
  </si>
  <si>
    <t xml:space="preserve">E0137</t>
  </si>
  <si>
    <t xml:space="preserve">Employee 137</t>
  </si>
  <si>
    <t xml:space="preserve">E0138</t>
  </si>
  <si>
    <t xml:space="preserve">Employee 138</t>
  </si>
  <si>
    <t xml:space="preserve">E0139</t>
  </si>
  <si>
    <t xml:space="preserve">Employee 139</t>
  </si>
  <si>
    <t xml:space="preserve">E0140</t>
  </si>
  <si>
    <t xml:space="preserve">Employee 140</t>
  </si>
  <si>
    <t xml:space="preserve">E0141</t>
  </si>
  <si>
    <t xml:space="preserve">Employee 141</t>
  </si>
  <si>
    <t xml:space="preserve">E0142</t>
  </si>
  <si>
    <t xml:space="preserve">Employee 142</t>
  </si>
  <si>
    <t xml:space="preserve">E0143</t>
  </si>
  <si>
    <t xml:space="preserve">Employee 143</t>
  </si>
  <si>
    <t xml:space="preserve">E0144</t>
  </si>
  <si>
    <t xml:space="preserve">Employee 144</t>
  </si>
  <si>
    <t xml:space="preserve">E0145</t>
  </si>
  <si>
    <t xml:space="preserve">Employee 145</t>
  </si>
  <si>
    <t xml:space="preserve">E0146</t>
  </si>
  <si>
    <t xml:space="preserve">Employee 146</t>
  </si>
  <si>
    <t xml:space="preserve">E0147</t>
  </si>
  <si>
    <t xml:space="preserve">Employee 147</t>
  </si>
  <si>
    <t xml:space="preserve">E0148</t>
  </si>
  <si>
    <t xml:space="preserve">Employee 148</t>
  </si>
  <si>
    <t xml:space="preserve">E0149</t>
  </si>
  <si>
    <t xml:space="preserve">Employee 149</t>
  </si>
  <si>
    <t xml:space="preserve">E0150</t>
  </si>
  <si>
    <t xml:space="preserve">Employee 150</t>
  </si>
  <si>
    <t xml:space="preserve">E0151</t>
  </si>
  <si>
    <t xml:space="preserve">Employee 151</t>
  </si>
  <si>
    <t xml:space="preserve">E0152</t>
  </si>
  <si>
    <t xml:space="preserve">Employee 152</t>
  </si>
  <si>
    <t xml:space="preserve">E0153</t>
  </si>
  <si>
    <t xml:space="preserve">Employee 153</t>
  </si>
  <si>
    <t xml:space="preserve">E0154</t>
  </si>
  <si>
    <t xml:space="preserve">Employee 154</t>
  </si>
  <si>
    <t xml:space="preserve">E0155</t>
  </si>
  <si>
    <t xml:space="preserve">Employee 155</t>
  </si>
  <si>
    <t xml:space="preserve">E0156</t>
  </si>
  <si>
    <t xml:space="preserve">Employee 156</t>
  </si>
  <si>
    <t xml:space="preserve">E0157</t>
  </si>
  <si>
    <t xml:space="preserve">Employee 157</t>
  </si>
  <si>
    <t xml:space="preserve">E0158</t>
  </si>
  <si>
    <t xml:space="preserve">Employee 158</t>
  </si>
  <si>
    <t xml:space="preserve">E0159</t>
  </si>
  <si>
    <t xml:space="preserve">Employee 159</t>
  </si>
  <si>
    <t xml:space="preserve">E0160</t>
  </si>
  <si>
    <t xml:space="preserve">Employee 160</t>
  </si>
  <si>
    <t xml:space="preserve">E0161</t>
  </si>
  <si>
    <t xml:space="preserve">Employee 161</t>
  </si>
  <si>
    <t xml:space="preserve">E0162</t>
  </si>
  <si>
    <t xml:space="preserve">Employee 162</t>
  </si>
  <si>
    <t xml:space="preserve">E0163</t>
  </si>
  <si>
    <t xml:space="preserve">Employee 163</t>
  </si>
  <si>
    <t xml:space="preserve">E0164</t>
  </si>
  <si>
    <t xml:space="preserve">Employee 164</t>
  </si>
  <si>
    <t xml:space="preserve">E0165</t>
  </si>
  <si>
    <t xml:space="preserve">Employee 165</t>
  </si>
  <si>
    <t xml:space="preserve">E0166</t>
  </si>
  <si>
    <t xml:space="preserve">Employee 166</t>
  </si>
  <si>
    <t xml:space="preserve">E0167</t>
  </si>
  <si>
    <t xml:space="preserve">Employee 167</t>
  </si>
  <si>
    <t xml:space="preserve">E0168</t>
  </si>
  <si>
    <t xml:space="preserve">Employee 168</t>
  </si>
  <si>
    <t xml:space="preserve">E0169</t>
  </si>
  <si>
    <t xml:space="preserve">Employee 169</t>
  </si>
  <si>
    <t xml:space="preserve">E0170</t>
  </si>
  <si>
    <t xml:space="preserve">Employee 170</t>
  </si>
  <si>
    <t xml:space="preserve">E0171</t>
  </si>
  <si>
    <t xml:space="preserve">Employee 171</t>
  </si>
  <si>
    <t xml:space="preserve">E0172</t>
  </si>
  <si>
    <t xml:space="preserve">Employee 172</t>
  </si>
  <si>
    <t xml:space="preserve">E0173</t>
  </si>
  <si>
    <t xml:space="preserve">Employee 173</t>
  </si>
  <si>
    <t xml:space="preserve">E0174</t>
  </si>
  <si>
    <t xml:space="preserve">Employee 174</t>
  </si>
  <si>
    <t xml:space="preserve">E0175</t>
  </si>
  <si>
    <t xml:space="preserve">Employee 175</t>
  </si>
  <si>
    <t xml:space="preserve">E0176</t>
  </si>
  <si>
    <t xml:space="preserve">Employee 176</t>
  </si>
  <si>
    <t xml:space="preserve">E0177</t>
  </si>
  <si>
    <t xml:space="preserve">Employee 177</t>
  </si>
  <si>
    <t xml:space="preserve">E0178</t>
  </si>
  <si>
    <t xml:space="preserve">Employee 178</t>
  </si>
  <si>
    <t xml:space="preserve">E0179</t>
  </si>
  <si>
    <t xml:space="preserve">Employee 179</t>
  </si>
  <si>
    <t xml:space="preserve">E0180</t>
  </si>
  <si>
    <t xml:space="preserve">Employee 180</t>
  </si>
  <si>
    <t xml:space="preserve">E0181</t>
  </si>
  <si>
    <t xml:space="preserve">Employee 181</t>
  </si>
  <si>
    <t xml:space="preserve">E0182</t>
  </si>
  <si>
    <t xml:space="preserve">Employee 182</t>
  </si>
  <si>
    <t xml:space="preserve">E0183</t>
  </si>
  <si>
    <t xml:space="preserve">Employee 183</t>
  </si>
  <si>
    <t xml:space="preserve">E0184</t>
  </si>
  <si>
    <t xml:space="preserve">Employee 184</t>
  </si>
  <si>
    <t xml:space="preserve">E0185</t>
  </si>
  <si>
    <t xml:space="preserve">Employee 185</t>
  </si>
  <si>
    <t xml:space="preserve">E0186</t>
  </si>
  <si>
    <t xml:space="preserve">Employee 186</t>
  </si>
  <si>
    <t xml:space="preserve">E0187</t>
  </si>
  <si>
    <t xml:space="preserve">Employee 187</t>
  </si>
  <si>
    <t xml:space="preserve">E0188</t>
  </si>
  <si>
    <t xml:space="preserve">Employee 188</t>
  </si>
  <si>
    <t xml:space="preserve">E0189</t>
  </si>
  <si>
    <t xml:space="preserve">Employee 189</t>
  </si>
  <si>
    <t xml:space="preserve">E0190</t>
  </si>
  <si>
    <t xml:space="preserve">Employee 190</t>
  </si>
  <si>
    <t xml:space="preserve">E0191</t>
  </si>
  <si>
    <t xml:space="preserve">Employee 191</t>
  </si>
  <si>
    <t xml:space="preserve">E0192</t>
  </si>
  <si>
    <t xml:space="preserve">Employee 192</t>
  </si>
  <si>
    <t xml:space="preserve">E0193</t>
  </si>
  <si>
    <t xml:space="preserve">Employee 193</t>
  </si>
  <si>
    <t xml:space="preserve">E0194</t>
  </si>
  <si>
    <t xml:space="preserve">Employee 194</t>
  </si>
  <si>
    <t xml:space="preserve">E0195</t>
  </si>
  <si>
    <t xml:space="preserve">Employee 195</t>
  </si>
  <si>
    <t xml:space="preserve">E0196</t>
  </si>
  <si>
    <t xml:space="preserve">Employee 196</t>
  </si>
  <si>
    <t xml:space="preserve">E0197</t>
  </si>
  <si>
    <t xml:space="preserve">Employee 197</t>
  </si>
  <si>
    <t xml:space="preserve">E0198</t>
  </si>
  <si>
    <t xml:space="preserve">Employee 198</t>
  </si>
  <si>
    <t xml:space="preserve">E0199</t>
  </si>
  <si>
    <t xml:space="preserve">Employee 199</t>
  </si>
  <si>
    <t xml:space="preserve">E0200</t>
  </si>
  <si>
    <t xml:space="preserve">Employee 200</t>
  </si>
  <si>
    <t xml:space="preserve">E0201</t>
  </si>
  <si>
    <t xml:space="preserve">Employee 201</t>
  </si>
  <si>
    <t xml:space="preserve">E0202</t>
  </si>
  <si>
    <t xml:space="preserve">Employee 202</t>
  </si>
  <si>
    <t xml:space="preserve">E0203</t>
  </si>
  <si>
    <t xml:space="preserve">Employee 203</t>
  </si>
  <si>
    <t xml:space="preserve">E0204</t>
  </si>
  <si>
    <t xml:space="preserve">Employee 204</t>
  </si>
  <si>
    <t xml:space="preserve">E0205</t>
  </si>
  <si>
    <t xml:space="preserve">Employee 205</t>
  </si>
  <si>
    <t xml:space="preserve">E0206</t>
  </si>
  <si>
    <t xml:space="preserve">Employee 206</t>
  </si>
  <si>
    <t xml:space="preserve">E0207</t>
  </si>
  <si>
    <t xml:space="preserve">Employee 207</t>
  </si>
  <si>
    <t xml:space="preserve">E0208</t>
  </si>
  <si>
    <t xml:space="preserve">Employee 208</t>
  </si>
  <si>
    <t xml:space="preserve">E0209</t>
  </si>
  <si>
    <t xml:space="preserve">Employee 209</t>
  </si>
  <si>
    <t xml:space="preserve">E0210</t>
  </si>
  <si>
    <t xml:space="preserve">Employee 210</t>
  </si>
  <si>
    <t xml:space="preserve">E0211</t>
  </si>
  <si>
    <t xml:space="preserve">Employee 211</t>
  </si>
  <si>
    <t xml:space="preserve">E0212</t>
  </si>
  <si>
    <t xml:space="preserve">Employee 212</t>
  </si>
  <si>
    <t xml:space="preserve">E0213</t>
  </si>
  <si>
    <t xml:space="preserve">Employee 213</t>
  </si>
  <si>
    <t xml:space="preserve">E0214</t>
  </si>
  <si>
    <t xml:space="preserve">Employee 214</t>
  </si>
  <si>
    <t xml:space="preserve">E0215</t>
  </si>
  <si>
    <t xml:space="preserve">Employee 215</t>
  </si>
  <si>
    <t xml:space="preserve">E0216</t>
  </si>
  <si>
    <t xml:space="preserve">Employee 216</t>
  </si>
  <si>
    <t xml:space="preserve">E0217</t>
  </si>
  <si>
    <t xml:space="preserve">Employee 217</t>
  </si>
  <si>
    <t xml:space="preserve">E0218</t>
  </si>
  <si>
    <t xml:space="preserve">Employee 218</t>
  </si>
  <si>
    <t xml:space="preserve">E0219</t>
  </si>
  <si>
    <t xml:space="preserve">Employee 219</t>
  </si>
  <si>
    <t xml:space="preserve">E0220</t>
  </si>
  <si>
    <t xml:space="preserve">Employee 220</t>
  </si>
  <si>
    <t xml:space="preserve">E0221</t>
  </si>
  <si>
    <t xml:space="preserve">Employee 221</t>
  </si>
  <si>
    <t xml:space="preserve">E0222</t>
  </si>
  <si>
    <t xml:space="preserve">Employee 222</t>
  </si>
  <si>
    <t xml:space="preserve">E0223</t>
  </si>
  <si>
    <t xml:space="preserve">Employee 223</t>
  </si>
  <si>
    <t xml:space="preserve">E0224</t>
  </si>
  <si>
    <t xml:space="preserve">Employee 224</t>
  </si>
  <si>
    <t xml:space="preserve">E0225</t>
  </si>
  <si>
    <t xml:space="preserve">Employee 225</t>
  </si>
  <si>
    <t xml:space="preserve">E0226</t>
  </si>
  <si>
    <t xml:space="preserve">Employee 226</t>
  </si>
  <si>
    <t xml:space="preserve">E0227</t>
  </si>
  <si>
    <t xml:space="preserve">Employee 227</t>
  </si>
  <si>
    <t xml:space="preserve">E0228</t>
  </si>
  <si>
    <t xml:space="preserve">Employee 228</t>
  </si>
  <si>
    <t xml:space="preserve">E0229</t>
  </si>
  <si>
    <t xml:space="preserve">Employee 229</t>
  </si>
  <si>
    <t xml:space="preserve">E0230</t>
  </si>
  <si>
    <t xml:space="preserve">Employee 230</t>
  </si>
  <si>
    <t xml:space="preserve">E0231</t>
  </si>
  <si>
    <t xml:space="preserve">Employee 231</t>
  </si>
  <si>
    <t xml:space="preserve">E0232</t>
  </si>
  <si>
    <t xml:space="preserve">Employee 232</t>
  </si>
  <si>
    <t xml:space="preserve">E0233</t>
  </si>
  <si>
    <t xml:space="preserve">Employee 233</t>
  </si>
  <si>
    <t xml:space="preserve">E0234</t>
  </si>
  <si>
    <t xml:space="preserve">Employee 234</t>
  </si>
  <si>
    <t xml:space="preserve">E0235</t>
  </si>
  <si>
    <t xml:space="preserve">Employee 235</t>
  </si>
  <si>
    <t xml:space="preserve">E0236</t>
  </si>
  <si>
    <t xml:space="preserve">Employee 236</t>
  </si>
  <si>
    <t xml:space="preserve">E0237</t>
  </si>
  <si>
    <t xml:space="preserve">Employee 237</t>
  </si>
  <si>
    <t xml:space="preserve">E0238</t>
  </si>
  <si>
    <t xml:space="preserve">Employee 238</t>
  </si>
  <si>
    <t xml:space="preserve">E0239</t>
  </si>
  <si>
    <t xml:space="preserve">Employee 239</t>
  </si>
  <si>
    <t xml:space="preserve">E0240</t>
  </si>
  <si>
    <t xml:space="preserve">Employee 240</t>
  </si>
  <si>
    <t xml:space="preserve">E0241</t>
  </si>
  <si>
    <t xml:space="preserve">Employee 241</t>
  </si>
  <si>
    <t xml:space="preserve">E0242</t>
  </si>
  <si>
    <t xml:space="preserve">Employee 242</t>
  </si>
  <si>
    <t xml:space="preserve">E0243</t>
  </si>
  <si>
    <t xml:space="preserve">Employee 243</t>
  </si>
  <si>
    <t xml:space="preserve">E0244</t>
  </si>
  <si>
    <t xml:space="preserve">Employee 244</t>
  </si>
  <si>
    <t xml:space="preserve">E0245</t>
  </si>
  <si>
    <t xml:space="preserve">Employee 245</t>
  </si>
  <si>
    <t xml:space="preserve">E0246</t>
  </si>
  <si>
    <t xml:space="preserve">Employee 246</t>
  </si>
  <si>
    <t xml:space="preserve">E0247</t>
  </si>
  <si>
    <t xml:space="preserve">Employee 247</t>
  </si>
  <si>
    <t xml:space="preserve">E0248</t>
  </si>
  <si>
    <t xml:space="preserve">Employee 248</t>
  </si>
  <si>
    <t xml:space="preserve">E0249</t>
  </si>
  <si>
    <t xml:space="preserve">Employee 249</t>
  </si>
  <si>
    <t xml:space="preserve">E0250</t>
  </si>
  <si>
    <t xml:space="preserve">Employee 250</t>
  </si>
  <si>
    <t xml:space="preserve">Project ID</t>
  </si>
  <si>
    <t xml:space="preserve">Project Name</t>
  </si>
  <si>
    <t xml:space="preserve">Owner</t>
  </si>
  <si>
    <t xml:space="preserve">Start Date</t>
  </si>
  <si>
    <t xml:space="preserve">Due Date</t>
  </si>
  <si>
    <t xml:space="preserve">Budget</t>
  </si>
  <si>
    <t xml:space="preserve">Spend</t>
  </si>
  <si>
    <t xml:space="preserve">Variance</t>
  </si>
  <si>
    <t xml:space="preserve">Completion %</t>
  </si>
  <si>
    <t xml:space="preserve">PRJ0001</t>
  </si>
  <si>
    <t xml:space="preserve">Project 001</t>
  </si>
  <si>
    <t xml:space="preserve">PRJ0002</t>
  </si>
  <si>
    <t xml:space="preserve">Project 002</t>
  </si>
  <si>
    <t xml:space="preserve">PRJ0003</t>
  </si>
  <si>
    <t xml:space="preserve">Project 003</t>
  </si>
  <si>
    <t xml:space="preserve">PRJ0004</t>
  </si>
  <si>
    <t xml:space="preserve">Project 004</t>
  </si>
  <si>
    <t xml:space="preserve">PRJ0005</t>
  </si>
  <si>
    <t xml:space="preserve">Project 005</t>
  </si>
  <si>
    <t xml:space="preserve">PRJ0006</t>
  </si>
  <si>
    <t xml:space="preserve">Project 006</t>
  </si>
  <si>
    <t xml:space="preserve">PRJ0007</t>
  </si>
  <si>
    <t xml:space="preserve">Project 007</t>
  </si>
  <si>
    <t xml:space="preserve">PRJ0008</t>
  </si>
  <si>
    <t xml:space="preserve">Project 008</t>
  </si>
  <si>
    <t xml:space="preserve">PRJ0009</t>
  </si>
  <si>
    <t xml:space="preserve">Project 009</t>
  </si>
  <si>
    <t xml:space="preserve">PRJ0010</t>
  </si>
  <si>
    <t xml:space="preserve">Project 010</t>
  </si>
  <si>
    <t xml:space="preserve">PRJ0011</t>
  </si>
  <si>
    <t xml:space="preserve">Project 011</t>
  </si>
  <si>
    <t xml:space="preserve">PRJ0012</t>
  </si>
  <si>
    <t xml:space="preserve">Project 012</t>
  </si>
  <si>
    <t xml:space="preserve">PRJ0013</t>
  </si>
  <si>
    <t xml:space="preserve">Project 013</t>
  </si>
  <si>
    <t xml:space="preserve">PRJ0014</t>
  </si>
  <si>
    <t xml:space="preserve">Project 014</t>
  </si>
  <si>
    <t xml:space="preserve">PRJ0015</t>
  </si>
  <si>
    <t xml:space="preserve">Project 015</t>
  </si>
  <si>
    <t xml:space="preserve">PRJ0016</t>
  </si>
  <si>
    <t xml:space="preserve">Project 016</t>
  </si>
  <si>
    <t xml:space="preserve">PRJ0017</t>
  </si>
  <si>
    <t xml:space="preserve">Project 017</t>
  </si>
  <si>
    <t xml:space="preserve">PRJ0018</t>
  </si>
  <si>
    <t xml:space="preserve">Project 018</t>
  </si>
  <si>
    <t xml:space="preserve">PRJ0019</t>
  </si>
  <si>
    <t xml:space="preserve">Project 019</t>
  </si>
  <si>
    <t xml:space="preserve">PRJ0020</t>
  </si>
  <si>
    <t xml:space="preserve">Project 020</t>
  </si>
  <si>
    <t xml:space="preserve">PRJ0021</t>
  </si>
  <si>
    <t xml:space="preserve">Project 021</t>
  </si>
  <si>
    <t xml:space="preserve">PRJ0022</t>
  </si>
  <si>
    <t xml:space="preserve">Project 022</t>
  </si>
  <si>
    <t xml:space="preserve">PRJ0023</t>
  </si>
  <si>
    <t xml:space="preserve">Project 023</t>
  </si>
  <si>
    <t xml:space="preserve">PRJ0024</t>
  </si>
  <si>
    <t xml:space="preserve">Project 024</t>
  </si>
  <si>
    <t xml:space="preserve">PRJ0025</t>
  </si>
  <si>
    <t xml:space="preserve">Project 025</t>
  </si>
  <si>
    <t xml:space="preserve">PRJ0026</t>
  </si>
  <si>
    <t xml:space="preserve">Project 026</t>
  </si>
  <si>
    <t xml:space="preserve">PRJ0027</t>
  </si>
  <si>
    <t xml:space="preserve">Project 027</t>
  </si>
  <si>
    <t xml:space="preserve">PRJ0028</t>
  </si>
  <si>
    <t xml:space="preserve">Project 028</t>
  </si>
  <si>
    <t xml:space="preserve">PRJ0029</t>
  </si>
  <si>
    <t xml:space="preserve">Project 029</t>
  </si>
  <si>
    <t xml:space="preserve">PRJ0030</t>
  </si>
  <si>
    <t xml:space="preserve">Project 030</t>
  </si>
  <si>
    <t xml:space="preserve">PRJ0031</t>
  </si>
  <si>
    <t xml:space="preserve">Project 031</t>
  </si>
  <si>
    <t xml:space="preserve">PRJ0032</t>
  </si>
  <si>
    <t xml:space="preserve">Project 032</t>
  </si>
  <si>
    <t xml:space="preserve">PRJ0033</t>
  </si>
  <si>
    <t xml:space="preserve">Project 033</t>
  </si>
  <si>
    <t xml:space="preserve">PRJ0034</t>
  </si>
  <si>
    <t xml:space="preserve">Project 034</t>
  </si>
  <si>
    <t xml:space="preserve">PRJ0035</t>
  </si>
  <si>
    <t xml:space="preserve">Project 035</t>
  </si>
  <si>
    <t xml:space="preserve">PRJ0036</t>
  </si>
  <si>
    <t xml:space="preserve">Project 036</t>
  </si>
  <si>
    <t xml:space="preserve">PRJ0037</t>
  </si>
  <si>
    <t xml:space="preserve">Project 037</t>
  </si>
  <si>
    <t xml:space="preserve">PRJ0038</t>
  </si>
  <si>
    <t xml:space="preserve">Project 038</t>
  </si>
  <si>
    <t xml:space="preserve">PRJ0039</t>
  </si>
  <si>
    <t xml:space="preserve">Project 039</t>
  </si>
  <si>
    <t xml:space="preserve">PRJ0040</t>
  </si>
  <si>
    <t xml:space="preserve">Project 040</t>
  </si>
  <si>
    <t xml:space="preserve">PRJ0041</t>
  </si>
  <si>
    <t xml:space="preserve">Project 041</t>
  </si>
  <si>
    <t xml:space="preserve">PRJ0042</t>
  </si>
  <si>
    <t xml:space="preserve">Project 042</t>
  </si>
  <si>
    <t xml:space="preserve">PRJ0043</t>
  </si>
  <si>
    <t xml:space="preserve">Project 043</t>
  </si>
  <si>
    <t xml:space="preserve">PRJ0044</t>
  </si>
  <si>
    <t xml:space="preserve">Project 044</t>
  </si>
  <si>
    <t xml:space="preserve">PRJ0045</t>
  </si>
  <si>
    <t xml:space="preserve">Project 045</t>
  </si>
  <si>
    <t xml:space="preserve">PRJ0046</t>
  </si>
  <si>
    <t xml:space="preserve">Project 046</t>
  </si>
  <si>
    <t xml:space="preserve">PRJ0047</t>
  </si>
  <si>
    <t xml:space="preserve">Project 047</t>
  </si>
  <si>
    <t xml:space="preserve">PRJ0048</t>
  </si>
  <si>
    <t xml:space="preserve">Project 048</t>
  </si>
  <si>
    <t xml:space="preserve">PRJ0049</t>
  </si>
  <si>
    <t xml:space="preserve">Project 049</t>
  </si>
  <si>
    <t xml:space="preserve">PRJ0050</t>
  </si>
  <si>
    <t xml:space="preserve">Project 050</t>
  </si>
  <si>
    <t xml:space="preserve">PRJ0051</t>
  </si>
  <si>
    <t xml:space="preserve">Project 051</t>
  </si>
  <si>
    <t xml:space="preserve">PRJ0052</t>
  </si>
  <si>
    <t xml:space="preserve">Project 052</t>
  </si>
  <si>
    <t xml:space="preserve">PRJ0053</t>
  </si>
  <si>
    <t xml:space="preserve">Project 053</t>
  </si>
  <si>
    <t xml:space="preserve">PRJ0054</t>
  </si>
  <si>
    <t xml:space="preserve">Project 054</t>
  </si>
  <si>
    <t xml:space="preserve">PRJ0055</t>
  </si>
  <si>
    <t xml:space="preserve">Project 055</t>
  </si>
  <si>
    <t xml:space="preserve">PRJ0056</t>
  </si>
  <si>
    <t xml:space="preserve">Project 056</t>
  </si>
  <si>
    <t xml:space="preserve">PRJ0057</t>
  </si>
  <si>
    <t xml:space="preserve">Project 057</t>
  </si>
  <si>
    <t xml:space="preserve">PRJ0058</t>
  </si>
  <si>
    <t xml:space="preserve">Project 058</t>
  </si>
  <si>
    <t xml:space="preserve">PRJ0059</t>
  </si>
  <si>
    <t xml:space="preserve">Project 059</t>
  </si>
  <si>
    <t xml:space="preserve">PRJ0060</t>
  </si>
  <si>
    <t xml:space="preserve">Project 060</t>
  </si>
  <si>
    <t xml:space="preserve">PRJ0061</t>
  </si>
  <si>
    <t xml:space="preserve">Project 061</t>
  </si>
  <si>
    <t xml:space="preserve">PRJ0062</t>
  </si>
  <si>
    <t xml:space="preserve">Project 062</t>
  </si>
  <si>
    <t xml:space="preserve">PRJ0063</t>
  </si>
  <si>
    <t xml:space="preserve">Project 063</t>
  </si>
  <si>
    <t xml:space="preserve">PRJ0064</t>
  </si>
  <si>
    <t xml:space="preserve">Project 064</t>
  </si>
  <si>
    <t xml:space="preserve">PRJ0065</t>
  </si>
  <si>
    <t xml:space="preserve">Project 065</t>
  </si>
  <si>
    <t xml:space="preserve">PRJ0066</t>
  </si>
  <si>
    <t xml:space="preserve">Project 066</t>
  </si>
  <si>
    <t xml:space="preserve">PRJ0067</t>
  </si>
  <si>
    <t xml:space="preserve">Project 067</t>
  </si>
  <si>
    <t xml:space="preserve">PRJ0068</t>
  </si>
  <si>
    <t xml:space="preserve">Project 068</t>
  </si>
  <si>
    <t xml:space="preserve">PRJ0069</t>
  </si>
  <si>
    <t xml:space="preserve">Project 069</t>
  </si>
  <si>
    <t xml:space="preserve">PRJ0070</t>
  </si>
  <si>
    <t xml:space="preserve">Project 070</t>
  </si>
  <si>
    <t xml:space="preserve">PRJ0071</t>
  </si>
  <si>
    <t xml:space="preserve">Project 071</t>
  </si>
  <si>
    <t xml:space="preserve">PRJ0072</t>
  </si>
  <si>
    <t xml:space="preserve">Project 072</t>
  </si>
  <si>
    <t xml:space="preserve">PRJ0073</t>
  </si>
  <si>
    <t xml:space="preserve">Project 073</t>
  </si>
  <si>
    <t xml:space="preserve">PRJ0074</t>
  </si>
  <si>
    <t xml:space="preserve">Project 074</t>
  </si>
  <si>
    <t xml:space="preserve">PRJ0075</t>
  </si>
  <si>
    <t xml:space="preserve">Project 075</t>
  </si>
  <si>
    <t xml:space="preserve">PRJ0076</t>
  </si>
  <si>
    <t xml:space="preserve">Project 076</t>
  </si>
  <si>
    <t xml:space="preserve">PRJ0077</t>
  </si>
  <si>
    <t xml:space="preserve">Project 077</t>
  </si>
  <si>
    <t xml:space="preserve">PRJ0078</t>
  </si>
  <si>
    <t xml:space="preserve">Project 078</t>
  </si>
  <si>
    <t xml:space="preserve">PRJ0079</t>
  </si>
  <si>
    <t xml:space="preserve">Project 079</t>
  </si>
  <si>
    <t xml:space="preserve">PRJ0080</t>
  </si>
  <si>
    <t xml:space="preserve">Project 080</t>
  </si>
  <si>
    <t xml:space="preserve">PRJ0081</t>
  </si>
  <si>
    <t xml:space="preserve">Project 081</t>
  </si>
  <si>
    <t xml:space="preserve">PRJ0082</t>
  </si>
  <si>
    <t xml:space="preserve">Project 082</t>
  </si>
  <si>
    <t xml:space="preserve">PRJ0083</t>
  </si>
  <si>
    <t xml:space="preserve">Project 083</t>
  </si>
  <si>
    <t xml:space="preserve">PRJ0084</t>
  </si>
  <si>
    <t xml:space="preserve">Project 084</t>
  </si>
  <si>
    <t xml:space="preserve">PRJ0085</t>
  </si>
  <si>
    <t xml:space="preserve">Project 085</t>
  </si>
  <si>
    <t xml:space="preserve">PRJ0086</t>
  </si>
  <si>
    <t xml:space="preserve">Project 086</t>
  </si>
  <si>
    <t xml:space="preserve">PRJ0087</t>
  </si>
  <si>
    <t xml:space="preserve">Project 087</t>
  </si>
  <si>
    <t xml:space="preserve">PRJ0088</t>
  </si>
  <si>
    <t xml:space="preserve">Project 088</t>
  </si>
  <si>
    <t xml:space="preserve">PRJ0089</t>
  </si>
  <si>
    <t xml:space="preserve">Project 089</t>
  </si>
  <si>
    <t xml:space="preserve">PRJ0090</t>
  </si>
  <si>
    <t xml:space="preserve">Project 090</t>
  </si>
  <si>
    <t xml:space="preserve">PRJ0091</t>
  </si>
  <si>
    <t xml:space="preserve">Project 091</t>
  </si>
  <si>
    <t xml:space="preserve">PRJ0092</t>
  </si>
  <si>
    <t xml:space="preserve">Project 092</t>
  </si>
  <si>
    <t xml:space="preserve">PRJ0093</t>
  </si>
  <si>
    <t xml:space="preserve">Project 093</t>
  </si>
  <si>
    <t xml:space="preserve">PRJ0094</t>
  </si>
  <si>
    <t xml:space="preserve">Project 094</t>
  </si>
  <si>
    <t xml:space="preserve">PRJ0095</t>
  </si>
  <si>
    <t xml:space="preserve">Project 095</t>
  </si>
  <si>
    <t xml:space="preserve">PRJ0096</t>
  </si>
  <si>
    <t xml:space="preserve">Project 096</t>
  </si>
  <si>
    <t xml:space="preserve">PRJ0097</t>
  </si>
  <si>
    <t xml:space="preserve">Project 097</t>
  </si>
  <si>
    <t xml:space="preserve">PRJ0098</t>
  </si>
  <si>
    <t xml:space="preserve">Project 098</t>
  </si>
  <si>
    <t xml:space="preserve">PRJ0099</t>
  </si>
  <si>
    <t xml:space="preserve">Project 099</t>
  </si>
  <si>
    <t xml:space="preserve">PRJ0100</t>
  </si>
  <si>
    <t xml:space="preserve">Project 100</t>
  </si>
  <si>
    <t xml:space="preserve">PRJ0101</t>
  </si>
  <si>
    <t xml:space="preserve">Project 101</t>
  </si>
  <si>
    <t xml:space="preserve">PRJ0102</t>
  </si>
  <si>
    <t xml:space="preserve">Project 102</t>
  </si>
  <si>
    <t xml:space="preserve">PRJ0103</t>
  </si>
  <si>
    <t xml:space="preserve">Project 103</t>
  </si>
  <si>
    <t xml:space="preserve">PRJ0104</t>
  </si>
  <si>
    <t xml:space="preserve">Project 104</t>
  </si>
  <si>
    <t xml:space="preserve">PRJ0105</t>
  </si>
  <si>
    <t xml:space="preserve">Project 105</t>
  </si>
  <si>
    <t xml:space="preserve">PRJ0106</t>
  </si>
  <si>
    <t xml:space="preserve">Project 106</t>
  </si>
  <si>
    <t xml:space="preserve">PRJ0107</t>
  </si>
  <si>
    <t xml:space="preserve">Project 107</t>
  </si>
  <si>
    <t xml:space="preserve">PRJ0108</t>
  </si>
  <si>
    <t xml:space="preserve">Project 108</t>
  </si>
  <si>
    <t xml:space="preserve">PRJ0109</t>
  </si>
  <si>
    <t xml:space="preserve">Project 109</t>
  </si>
  <si>
    <t xml:space="preserve">PRJ0110</t>
  </si>
  <si>
    <t xml:space="preserve">Project 110</t>
  </si>
  <si>
    <t xml:space="preserve">PRJ0111</t>
  </si>
  <si>
    <t xml:space="preserve">Project 111</t>
  </si>
  <si>
    <t xml:space="preserve">PRJ0112</t>
  </si>
  <si>
    <t xml:space="preserve">Project 112</t>
  </si>
  <si>
    <t xml:space="preserve">PRJ0113</t>
  </si>
  <si>
    <t xml:space="preserve">Project 113</t>
  </si>
  <si>
    <t xml:space="preserve">PRJ0114</t>
  </si>
  <si>
    <t xml:space="preserve">Project 114</t>
  </si>
  <si>
    <t xml:space="preserve">PRJ0115</t>
  </si>
  <si>
    <t xml:space="preserve">Project 115</t>
  </si>
  <si>
    <t xml:space="preserve">PRJ0116</t>
  </si>
  <si>
    <t xml:space="preserve">Project 116</t>
  </si>
  <si>
    <t xml:space="preserve">PRJ0117</t>
  </si>
  <si>
    <t xml:space="preserve">Project 117</t>
  </si>
  <si>
    <t xml:space="preserve">PRJ0118</t>
  </si>
  <si>
    <t xml:space="preserve">Project 118</t>
  </si>
  <si>
    <t xml:space="preserve">PRJ0119</t>
  </si>
  <si>
    <t xml:space="preserve">Project 119</t>
  </si>
  <si>
    <t xml:space="preserve">PRJ0120</t>
  </si>
  <si>
    <t xml:space="preserve">Project 120</t>
  </si>
  <si>
    <t xml:space="preserve">PRJ0121</t>
  </si>
  <si>
    <t xml:space="preserve">Project 121</t>
  </si>
  <si>
    <t xml:space="preserve">PRJ0122</t>
  </si>
  <si>
    <t xml:space="preserve">Project 122</t>
  </si>
  <si>
    <t xml:space="preserve">PRJ0123</t>
  </si>
  <si>
    <t xml:space="preserve">Project 123</t>
  </si>
  <si>
    <t xml:space="preserve">PRJ0124</t>
  </si>
  <si>
    <t xml:space="preserve">Project 124</t>
  </si>
  <si>
    <t xml:space="preserve">PRJ0125</t>
  </si>
  <si>
    <t xml:space="preserve">Project 125</t>
  </si>
  <si>
    <t xml:space="preserve">PRJ0126</t>
  </si>
  <si>
    <t xml:space="preserve">Project 126</t>
  </si>
  <si>
    <t xml:space="preserve">PRJ0127</t>
  </si>
  <si>
    <t xml:space="preserve">Project 127</t>
  </si>
  <si>
    <t xml:space="preserve">PRJ0128</t>
  </si>
  <si>
    <t xml:space="preserve">Project 128</t>
  </si>
  <si>
    <t xml:space="preserve">PRJ0129</t>
  </si>
  <si>
    <t xml:space="preserve">Project 129</t>
  </si>
  <si>
    <t xml:space="preserve">PRJ0130</t>
  </si>
  <si>
    <t xml:space="preserve">Project 130</t>
  </si>
  <si>
    <t xml:space="preserve">PRJ0131</t>
  </si>
  <si>
    <t xml:space="preserve">Project 131</t>
  </si>
  <si>
    <t xml:space="preserve">PRJ0132</t>
  </si>
  <si>
    <t xml:space="preserve">Project 132</t>
  </si>
  <si>
    <t xml:space="preserve">PRJ0133</t>
  </si>
  <si>
    <t xml:space="preserve">Project 133</t>
  </si>
  <si>
    <t xml:space="preserve">PRJ0134</t>
  </si>
  <si>
    <t xml:space="preserve">Project 134</t>
  </si>
  <si>
    <t xml:space="preserve">PRJ0135</t>
  </si>
  <si>
    <t xml:space="preserve">Project 135</t>
  </si>
  <si>
    <t xml:space="preserve">PRJ0136</t>
  </si>
  <si>
    <t xml:space="preserve">Project 136</t>
  </si>
  <si>
    <t xml:space="preserve">PRJ0137</t>
  </si>
  <si>
    <t xml:space="preserve">Project 137</t>
  </si>
  <si>
    <t xml:space="preserve">PRJ0138</t>
  </si>
  <si>
    <t xml:space="preserve">Project 138</t>
  </si>
  <si>
    <t xml:space="preserve">PRJ0139</t>
  </si>
  <si>
    <t xml:space="preserve">Project 139</t>
  </si>
  <si>
    <t xml:space="preserve">PRJ0140</t>
  </si>
  <si>
    <t xml:space="preserve">Project 140</t>
  </si>
  <si>
    <t xml:space="preserve">PRJ0141</t>
  </si>
  <si>
    <t xml:space="preserve">Project 141</t>
  </si>
  <si>
    <t xml:space="preserve">PRJ0142</t>
  </si>
  <si>
    <t xml:space="preserve">Project 142</t>
  </si>
  <si>
    <t xml:space="preserve">PRJ0143</t>
  </si>
  <si>
    <t xml:space="preserve">Project 143</t>
  </si>
  <si>
    <t xml:space="preserve">PRJ0144</t>
  </si>
  <si>
    <t xml:space="preserve">Project 144</t>
  </si>
  <si>
    <t xml:space="preserve">PRJ0145</t>
  </si>
  <si>
    <t xml:space="preserve">Project 145</t>
  </si>
  <si>
    <t xml:space="preserve">PRJ0146</t>
  </si>
  <si>
    <t xml:space="preserve">Project 146</t>
  </si>
  <si>
    <t xml:space="preserve">PRJ0147</t>
  </si>
  <si>
    <t xml:space="preserve">Project 147</t>
  </si>
  <si>
    <t xml:space="preserve">PRJ0148</t>
  </si>
  <si>
    <t xml:space="preserve">Project 148</t>
  </si>
  <si>
    <t xml:space="preserve">PRJ0149</t>
  </si>
  <si>
    <t xml:space="preserve">Project 149</t>
  </si>
  <si>
    <t xml:space="preserve">PRJ0150</t>
  </si>
  <si>
    <t xml:space="preserve">Project 150</t>
  </si>
  <si>
    <t xml:space="preserve">PRJ0151</t>
  </si>
  <si>
    <t xml:space="preserve">Project 151</t>
  </si>
  <si>
    <t xml:space="preserve">PRJ0152</t>
  </si>
  <si>
    <t xml:space="preserve">Project 152</t>
  </si>
  <si>
    <t xml:space="preserve">PRJ0153</t>
  </si>
  <si>
    <t xml:space="preserve">Project 153</t>
  </si>
  <si>
    <t xml:space="preserve">PRJ0154</t>
  </si>
  <si>
    <t xml:space="preserve">Project 154</t>
  </si>
  <si>
    <t xml:space="preserve">PRJ0155</t>
  </si>
  <si>
    <t xml:space="preserve">Project 155</t>
  </si>
  <si>
    <t xml:space="preserve">PRJ0156</t>
  </si>
  <si>
    <t xml:space="preserve">Project 156</t>
  </si>
  <si>
    <t xml:space="preserve">PRJ0157</t>
  </si>
  <si>
    <t xml:space="preserve">Project 157</t>
  </si>
  <si>
    <t xml:space="preserve">PRJ0158</t>
  </si>
  <si>
    <t xml:space="preserve">Project 158</t>
  </si>
  <si>
    <t xml:space="preserve">PRJ0159</t>
  </si>
  <si>
    <t xml:space="preserve">Project 159</t>
  </si>
  <si>
    <t xml:space="preserve">PRJ0160</t>
  </si>
  <si>
    <t xml:space="preserve">Project 160</t>
  </si>
  <si>
    <t xml:space="preserve">PRJ0161</t>
  </si>
  <si>
    <t xml:space="preserve">Project 161</t>
  </si>
  <si>
    <t xml:space="preserve">PRJ0162</t>
  </si>
  <si>
    <t xml:space="preserve">Project 162</t>
  </si>
  <si>
    <t xml:space="preserve">PRJ0163</t>
  </si>
  <si>
    <t xml:space="preserve">Project 163</t>
  </si>
  <si>
    <t xml:space="preserve">PRJ0164</t>
  </si>
  <si>
    <t xml:space="preserve">Project 164</t>
  </si>
  <si>
    <t xml:space="preserve">PRJ0165</t>
  </si>
  <si>
    <t xml:space="preserve">Project 165</t>
  </si>
  <si>
    <t xml:space="preserve">PRJ0166</t>
  </si>
  <si>
    <t xml:space="preserve">Project 166</t>
  </si>
  <si>
    <t xml:space="preserve">PRJ0167</t>
  </si>
  <si>
    <t xml:space="preserve">Project 167</t>
  </si>
  <si>
    <t xml:space="preserve">PRJ0168</t>
  </si>
  <si>
    <t xml:space="preserve">Project 168</t>
  </si>
  <si>
    <t xml:space="preserve">PRJ0169</t>
  </si>
  <si>
    <t xml:space="preserve">Project 169</t>
  </si>
  <si>
    <t xml:space="preserve">PRJ0170</t>
  </si>
  <si>
    <t xml:space="preserve">Project 170</t>
  </si>
  <si>
    <t xml:space="preserve">PRJ0171</t>
  </si>
  <si>
    <t xml:space="preserve">Project 171</t>
  </si>
  <si>
    <t xml:space="preserve">PRJ0172</t>
  </si>
  <si>
    <t xml:space="preserve">Project 172</t>
  </si>
  <si>
    <t xml:space="preserve">PRJ0173</t>
  </si>
  <si>
    <t xml:space="preserve">Project 173</t>
  </si>
  <si>
    <t xml:space="preserve">PRJ0174</t>
  </si>
  <si>
    <t xml:space="preserve">Project 174</t>
  </si>
  <si>
    <t xml:space="preserve">PRJ0175</t>
  </si>
  <si>
    <t xml:space="preserve">Project 175</t>
  </si>
  <si>
    <t xml:space="preserve">PRJ0176</t>
  </si>
  <si>
    <t xml:space="preserve">Project 176</t>
  </si>
  <si>
    <t xml:space="preserve">PRJ0177</t>
  </si>
  <si>
    <t xml:space="preserve">Project 177</t>
  </si>
  <si>
    <t xml:space="preserve">PRJ0178</t>
  </si>
  <si>
    <t xml:space="preserve">Project 178</t>
  </si>
  <si>
    <t xml:space="preserve">PRJ0179</t>
  </si>
  <si>
    <t xml:space="preserve">Project 179</t>
  </si>
  <si>
    <t xml:space="preserve">PRJ0180</t>
  </si>
  <si>
    <t xml:space="preserve">Project 180</t>
  </si>
  <si>
    <t xml:space="preserve">PRJ0181</t>
  </si>
  <si>
    <t xml:space="preserve">Project 181</t>
  </si>
  <si>
    <t xml:space="preserve">PRJ0182</t>
  </si>
  <si>
    <t xml:space="preserve">Project 182</t>
  </si>
  <si>
    <t xml:space="preserve">PRJ0183</t>
  </si>
  <si>
    <t xml:space="preserve">Project 183</t>
  </si>
  <si>
    <t xml:space="preserve">PRJ0184</t>
  </si>
  <si>
    <t xml:space="preserve">Project 184</t>
  </si>
  <si>
    <t xml:space="preserve">PRJ0185</t>
  </si>
  <si>
    <t xml:space="preserve">Project 185</t>
  </si>
  <si>
    <t xml:space="preserve">PRJ0186</t>
  </si>
  <si>
    <t xml:space="preserve">Project 186</t>
  </si>
  <si>
    <t xml:space="preserve">PRJ0187</t>
  </si>
  <si>
    <t xml:space="preserve">Project 187</t>
  </si>
  <si>
    <t xml:space="preserve">PRJ0188</t>
  </si>
  <si>
    <t xml:space="preserve">Project 188</t>
  </si>
  <si>
    <t xml:space="preserve">PRJ0189</t>
  </si>
  <si>
    <t xml:space="preserve">Project 189</t>
  </si>
  <si>
    <t xml:space="preserve">PRJ0190</t>
  </si>
  <si>
    <t xml:space="preserve">Project 190</t>
  </si>
  <si>
    <t xml:space="preserve">PRJ0191</t>
  </si>
  <si>
    <t xml:space="preserve">Project 191</t>
  </si>
  <si>
    <t xml:space="preserve">PRJ0192</t>
  </si>
  <si>
    <t xml:space="preserve">Project 192</t>
  </si>
  <si>
    <t xml:space="preserve">PRJ0193</t>
  </si>
  <si>
    <t xml:space="preserve">Project 193</t>
  </si>
  <si>
    <t xml:space="preserve">PRJ0194</t>
  </si>
  <si>
    <t xml:space="preserve">Project 194</t>
  </si>
  <si>
    <t xml:space="preserve">PRJ0195</t>
  </si>
  <si>
    <t xml:space="preserve">Project 195</t>
  </si>
  <si>
    <t xml:space="preserve">PRJ0196</t>
  </si>
  <si>
    <t xml:space="preserve">Project 196</t>
  </si>
  <si>
    <t xml:space="preserve">PRJ0197</t>
  </si>
  <si>
    <t xml:space="preserve">Project 197</t>
  </si>
  <si>
    <t xml:space="preserve">PRJ0198</t>
  </si>
  <si>
    <t xml:space="preserve">Project 198</t>
  </si>
  <si>
    <t xml:space="preserve">PRJ0199</t>
  </si>
  <si>
    <t xml:space="preserve">Project 199</t>
  </si>
  <si>
    <t xml:space="preserve">PRJ0200</t>
  </si>
  <si>
    <t xml:space="preserve">Project 200</t>
  </si>
  <si>
    <t xml:space="preserve">Ticket ID</t>
  </si>
  <si>
    <t xml:space="preserve">Created Date</t>
  </si>
  <si>
    <t xml:space="preserve">Assigned To</t>
  </si>
  <si>
    <t xml:space="preserve">First Response Hrs</t>
  </si>
  <si>
    <t xml:space="preserve">Resolution Hrs</t>
  </si>
  <si>
    <t xml:space="preserve">Satisfaction</t>
  </si>
  <si>
    <t xml:space="preserve">T000001</t>
  </si>
  <si>
    <t xml:space="preserve">Technical</t>
  </si>
  <si>
    <t xml:space="preserve">Pending</t>
  </si>
  <si>
    <t xml:space="preserve">T000002</t>
  </si>
  <si>
    <t xml:space="preserve">Access</t>
  </si>
  <si>
    <t xml:space="preserve">Open</t>
  </si>
  <si>
    <t xml:space="preserve">T000003</t>
  </si>
  <si>
    <t xml:space="preserve">Closed</t>
  </si>
  <si>
    <t xml:space="preserve">T000004</t>
  </si>
  <si>
    <t xml:space="preserve">T000005</t>
  </si>
  <si>
    <t xml:space="preserve">Feature Request</t>
  </si>
  <si>
    <t xml:space="preserve">T000006</t>
  </si>
  <si>
    <t xml:space="preserve">Billing</t>
  </si>
  <si>
    <t xml:space="preserve">Resolved</t>
  </si>
  <si>
    <t xml:space="preserve">T000007</t>
  </si>
  <si>
    <t xml:space="preserve">T000008</t>
  </si>
  <si>
    <t xml:space="preserve">T000009</t>
  </si>
  <si>
    <t xml:space="preserve">T000010</t>
  </si>
  <si>
    <t xml:space="preserve">T000011</t>
  </si>
  <si>
    <t xml:space="preserve">T000012</t>
  </si>
  <si>
    <t xml:space="preserve">T000013</t>
  </si>
  <si>
    <t xml:space="preserve">T000014</t>
  </si>
  <si>
    <t xml:space="preserve">Bug</t>
  </si>
  <si>
    <t xml:space="preserve">T000015</t>
  </si>
  <si>
    <t xml:space="preserve">T000016</t>
  </si>
  <si>
    <t xml:space="preserve">T000017</t>
  </si>
  <si>
    <t xml:space="preserve">T000018</t>
  </si>
  <si>
    <t xml:space="preserve">T000019</t>
  </si>
  <si>
    <t xml:space="preserve">T000020</t>
  </si>
  <si>
    <t xml:space="preserve">T000021</t>
  </si>
  <si>
    <t xml:space="preserve">T000022</t>
  </si>
  <si>
    <t xml:space="preserve">T000023</t>
  </si>
  <si>
    <t xml:space="preserve">T000024</t>
  </si>
  <si>
    <t xml:space="preserve">T000025</t>
  </si>
  <si>
    <t xml:space="preserve">T000026</t>
  </si>
  <si>
    <t xml:space="preserve">T000027</t>
  </si>
  <si>
    <t xml:space="preserve">T000028</t>
  </si>
  <si>
    <t xml:space="preserve">T000029</t>
  </si>
  <si>
    <t xml:space="preserve">T000030</t>
  </si>
  <si>
    <t xml:space="preserve">T000031</t>
  </si>
  <si>
    <t xml:space="preserve">T000032</t>
  </si>
  <si>
    <t xml:space="preserve">T000033</t>
  </si>
  <si>
    <t xml:space="preserve">T000034</t>
  </si>
  <si>
    <t xml:space="preserve">T000035</t>
  </si>
  <si>
    <t xml:space="preserve">T000036</t>
  </si>
  <si>
    <t xml:space="preserve">T000037</t>
  </si>
  <si>
    <t xml:space="preserve">T000038</t>
  </si>
  <si>
    <t xml:space="preserve">T000039</t>
  </si>
  <si>
    <t xml:space="preserve">T000040</t>
  </si>
  <si>
    <t xml:space="preserve">T000041</t>
  </si>
  <si>
    <t xml:space="preserve">T000042</t>
  </si>
  <si>
    <t xml:space="preserve">T000043</t>
  </si>
  <si>
    <t xml:space="preserve">T000044</t>
  </si>
  <si>
    <t xml:space="preserve">T000045</t>
  </si>
  <si>
    <t xml:space="preserve">T000046</t>
  </si>
  <si>
    <t xml:space="preserve">T000047</t>
  </si>
  <si>
    <t xml:space="preserve">T000048</t>
  </si>
  <si>
    <t xml:space="preserve">T000049</t>
  </si>
  <si>
    <t xml:space="preserve">T000050</t>
  </si>
  <si>
    <t xml:space="preserve">T000051</t>
  </si>
  <si>
    <t xml:space="preserve">T000052</t>
  </si>
  <si>
    <t xml:space="preserve">T000053</t>
  </si>
  <si>
    <t xml:space="preserve">T000054</t>
  </si>
  <si>
    <t xml:space="preserve">T000055</t>
  </si>
  <si>
    <t xml:space="preserve">T000056</t>
  </si>
  <si>
    <t xml:space="preserve">T000057</t>
  </si>
  <si>
    <t xml:space="preserve">T000058</t>
  </si>
  <si>
    <t xml:space="preserve">T000059</t>
  </si>
  <si>
    <t xml:space="preserve">T000060</t>
  </si>
  <si>
    <t xml:space="preserve">T000061</t>
  </si>
  <si>
    <t xml:space="preserve">T000062</t>
  </si>
  <si>
    <t xml:space="preserve">T000063</t>
  </si>
  <si>
    <t xml:space="preserve">T000064</t>
  </si>
  <si>
    <t xml:space="preserve">T000065</t>
  </si>
  <si>
    <t xml:space="preserve">T000066</t>
  </si>
  <si>
    <t xml:space="preserve">T000067</t>
  </si>
  <si>
    <t xml:space="preserve">T000068</t>
  </si>
  <si>
    <t xml:space="preserve">T000069</t>
  </si>
  <si>
    <t xml:space="preserve">T000070</t>
  </si>
  <si>
    <t xml:space="preserve">T000071</t>
  </si>
  <si>
    <t xml:space="preserve">T000072</t>
  </si>
  <si>
    <t xml:space="preserve">T000073</t>
  </si>
  <si>
    <t xml:space="preserve">T000074</t>
  </si>
  <si>
    <t xml:space="preserve">T000075</t>
  </si>
  <si>
    <t xml:space="preserve">T000076</t>
  </si>
  <si>
    <t xml:space="preserve">T000077</t>
  </si>
  <si>
    <t xml:space="preserve">T000078</t>
  </si>
  <si>
    <t xml:space="preserve">T000079</t>
  </si>
  <si>
    <t xml:space="preserve">T000080</t>
  </si>
  <si>
    <t xml:space="preserve">T000081</t>
  </si>
  <si>
    <t xml:space="preserve">T000082</t>
  </si>
  <si>
    <t xml:space="preserve">T000083</t>
  </si>
  <si>
    <t xml:space="preserve">T000084</t>
  </si>
  <si>
    <t xml:space="preserve">T000085</t>
  </si>
  <si>
    <t xml:space="preserve">T000086</t>
  </si>
  <si>
    <t xml:space="preserve">T000087</t>
  </si>
  <si>
    <t xml:space="preserve">T000088</t>
  </si>
  <si>
    <t xml:space="preserve">T000089</t>
  </si>
  <si>
    <t xml:space="preserve">T000090</t>
  </si>
  <si>
    <t xml:space="preserve">T000091</t>
  </si>
  <si>
    <t xml:space="preserve">T000092</t>
  </si>
  <si>
    <t xml:space="preserve">T000093</t>
  </si>
  <si>
    <t xml:space="preserve">T000094</t>
  </si>
  <si>
    <t xml:space="preserve">T000095</t>
  </si>
  <si>
    <t xml:space="preserve">T000096</t>
  </si>
  <si>
    <t xml:space="preserve">T000097</t>
  </si>
  <si>
    <t xml:space="preserve">T000098</t>
  </si>
  <si>
    <t xml:space="preserve">T000099</t>
  </si>
  <si>
    <t xml:space="preserve">T000100</t>
  </si>
  <si>
    <t xml:space="preserve">T000101</t>
  </si>
  <si>
    <t xml:space="preserve">T000102</t>
  </si>
  <si>
    <t xml:space="preserve">T000103</t>
  </si>
  <si>
    <t xml:space="preserve">T000104</t>
  </si>
  <si>
    <t xml:space="preserve">T000105</t>
  </si>
  <si>
    <t xml:space="preserve">T000106</t>
  </si>
  <si>
    <t xml:space="preserve">T000107</t>
  </si>
  <si>
    <t xml:space="preserve">T000108</t>
  </si>
  <si>
    <t xml:space="preserve">T000109</t>
  </si>
  <si>
    <t xml:space="preserve">T000110</t>
  </si>
  <si>
    <t xml:space="preserve">T000111</t>
  </si>
  <si>
    <t xml:space="preserve">T000112</t>
  </si>
  <si>
    <t xml:space="preserve">T000113</t>
  </si>
  <si>
    <t xml:space="preserve">T000114</t>
  </si>
  <si>
    <t xml:space="preserve">T000115</t>
  </si>
  <si>
    <t xml:space="preserve">T000116</t>
  </si>
  <si>
    <t xml:space="preserve">T000117</t>
  </si>
  <si>
    <t xml:space="preserve">T000118</t>
  </si>
  <si>
    <t xml:space="preserve">T000119</t>
  </si>
  <si>
    <t xml:space="preserve">T000120</t>
  </si>
  <si>
    <t xml:space="preserve">T000121</t>
  </si>
  <si>
    <t xml:space="preserve">T000122</t>
  </si>
  <si>
    <t xml:space="preserve">T000123</t>
  </si>
  <si>
    <t xml:space="preserve">T000124</t>
  </si>
  <si>
    <t xml:space="preserve">T000125</t>
  </si>
  <si>
    <t xml:space="preserve">T000126</t>
  </si>
  <si>
    <t xml:space="preserve">T000127</t>
  </si>
  <si>
    <t xml:space="preserve">T000128</t>
  </si>
  <si>
    <t xml:space="preserve">T000129</t>
  </si>
  <si>
    <t xml:space="preserve">T000130</t>
  </si>
  <si>
    <t xml:space="preserve">T000131</t>
  </si>
  <si>
    <t xml:space="preserve">T000132</t>
  </si>
  <si>
    <t xml:space="preserve">T000133</t>
  </si>
  <si>
    <t xml:space="preserve">T000134</t>
  </si>
  <si>
    <t xml:space="preserve">T000135</t>
  </si>
  <si>
    <t xml:space="preserve">T000136</t>
  </si>
  <si>
    <t xml:space="preserve">T000137</t>
  </si>
  <si>
    <t xml:space="preserve">T000138</t>
  </si>
  <si>
    <t xml:space="preserve">T000139</t>
  </si>
  <si>
    <t xml:space="preserve">T000140</t>
  </si>
  <si>
    <t xml:space="preserve">T000141</t>
  </si>
  <si>
    <t xml:space="preserve">T000142</t>
  </si>
  <si>
    <t xml:space="preserve">T000143</t>
  </si>
  <si>
    <t xml:space="preserve">T000144</t>
  </si>
  <si>
    <t xml:space="preserve">T000145</t>
  </si>
  <si>
    <t xml:space="preserve">T000146</t>
  </si>
  <si>
    <t xml:space="preserve">T000147</t>
  </si>
  <si>
    <t xml:space="preserve">T000148</t>
  </si>
  <si>
    <t xml:space="preserve">T000149</t>
  </si>
  <si>
    <t xml:space="preserve">T000150</t>
  </si>
  <si>
    <t xml:space="preserve">T000151</t>
  </si>
  <si>
    <t xml:space="preserve">T000152</t>
  </si>
  <si>
    <t xml:space="preserve">T000153</t>
  </si>
  <si>
    <t xml:space="preserve">T000154</t>
  </si>
  <si>
    <t xml:space="preserve">T000155</t>
  </si>
  <si>
    <t xml:space="preserve">T000156</t>
  </si>
  <si>
    <t xml:space="preserve">T000157</t>
  </si>
  <si>
    <t xml:space="preserve">T000158</t>
  </si>
  <si>
    <t xml:space="preserve">T000159</t>
  </si>
  <si>
    <t xml:space="preserve">T000160</t>
  </si>
  <si>
    <t xml:space="preserve">T000161</t>
  </si>
  <si>
    <t xml:space="preserve">T000162</t>
  </si>
  <si>
    <t xml:space="preserve">T000163</t>
  </si>
  <si>
    <t xml:space="preserve">T000164</t>
  </si>
  <si>
    <t xml:space="preserve">T000165</t>
  </si>
  <si>
    <t xml:space="preserve">T000166</t>
  </si>
  <si>
    <t xml:space="preserve">T000167</t>
  </si>
  <si>
    <t xml:space="preserve">T000168</t>
  </si>
  <si>
    <t xml:space="preserve">T000169</t>
  </si>
  <si>
    <t xml:space="preserve">T000170</t>
  </si>
  <si>
    <t xml:space="preserve">T000171</t>
  </si>
  <si>
    <t xml:space="preserve">T000172</t>
  </si>
  <si>
    <t xml:space="preserve">T000173</t>
  </si>
  <si>
    <t xml:space="preserve">T000174</t>
  </si>
  <si>
    <t xml:space="preserve">T000175</t>
  </si>
  <si>
    <t xml:space="preserve">T000176</t>
  </si>
  <si>
    <t xml:space="preserve">T000177</t>
  </si>
  <si>
    <t xml:space="preserve">T000178</t>
  </si>
  <si>
    <t xml:space="preserve">T000179</t>
  </si>
  <si>
    <t xml:space="preserve">T000180</t>
  </si>
  <si>
    <t xml:space="preserve">T000181</t>
  </si>
  <si>
    <t xml:space="preserve">T000182</t>
  </si>
  <si>
    <t xml:space="preserve">T000183</t>
  </si>
  <si>
    <t xml:space="preserve">T000184</t>
  </si>
  <si>
    <t xml:space="preserve">T000185</t>
  </si>
  <si>
    <t xml:space="preserve">T000186</t>
  </si>
  <si>
    <t xml:space="preserve">T000187</t>
  </si>
  <si>
    <t xml:space="preserve">T000188</t>
  </si>
  <si>
    <t xml:space="preserve">T000189</t>
  </si>
  <si>
    <t xml:space="preserve">T000190</t>
  </si>
  <si>
    <t xml:space="preserve">T000191</t>
  </si>
  <si>
    <t xml:space="preserve">T000192</t>
  </si>
  <si>
    <t xml:space="preserve">T000193</t>
  </si>
  <si>
    <t xml:space="preserve">T000194</t>
  </si>
  <si>
    <t xml:space="preserve">T000195</t>
  </si>
  <si>
    <t xml:space="preserve">T000196</t>
  </si>
  <si>
    <t xml:space="preserve">T000197</t>
  </si>
  <si>
    <t xml:space="preserve">T000198</t>
  </si>
  <si>
    <t xml:space="preserve">T000199</t>
  </si>
  <si>
    <t xml:space="preserve">T000200</t>
  </si>
  <si>
    <t xml:space="preserve">T000201</t>
  </si>
  <si>
    <t xml:space="preserve">T000202</t>
  </si>
  <si>
    <t xml:space="preserve">T000203</t>
  </si>
  <si>
    <t xml:space="preserve">T000204</t>
  </si>
  <si>
    <t xml:space="preserve">T000205</t>
  </si>
  <si>
    <t xml:space="preserve">T000206</t>
  </si>
  <si>
    <t xml:space="preserve">T000207</t>
  </si>
  <si>
    <t xml:space="preserve">T000208</t>
  </si>
  <si>
    <t xml:space="preserve">T000209</t>
  </si>
  <si>
    <t xml:space="preserve">T000210</t>
  </si>
  <si>
    <t xml:space="preserve">T000211</t>
  </si>
  <si>
    <t xml:space="preserve">T000212</t>
  </si>
  <si>
    <t xml:space="preserve">T000213</t>
  </si>
  <si>
    <t xml:space="preserve">T000214</t>
  </si>
  <si>
    <t xml:space="preserve">T000215</t>
  </si>
  <si>
    <t xml:space="preserve">T000216</t>
  </si>
  <si>
    <t xml:space="preserve">T000217</t>
  </si>
  <si>
    <t xml:space="preserve">T000218</t>
  </si>
  <si>
    <t xml:space="preserve">T000219</t>
  </si>
  <si>
    <t xml:space="preserve">T000220</t>
  </si>
  <si>
    <t xml:space="preserve">T000221</t>
  </si>
  <si>
    <t xml:space="preserve">T000222</t>
  </si>
  <si>
    <t xml:space="preserve">T000223</t>
  </si>
  <si>
    <t xml:space="preserve">T000224</t>
  </si>
  <si>
    <t xml:space="preserve">T000225</t>
  </si>
  <si>
    <t xml:space="preserve">T000226</t>
  </si>
  <si>
    <t xml:space="preserve">T000227</t>
  </si>
  <si>
    <t xml:space="preserve">T000228</t>
  </si>
  <si>
    <t xml:space="preserve">T000229</t>
  </si>
  <si>
    <t xml:space="preserve">T000230</t>
  </si>
  <si>
    <t xml:space="preserve">T000231</t>
  </si>
  <si>
    <t xml:space="preserve">T000232</t>
  </si>
  <si>
    <t xml:space="preserve">T000233</t>
  </si>
  <si>
    <t xml:space="preserve">T000234</t>
  </si>
  <si>
    <t xml:space="preserve">T000235</t>
  </si>
  <si>
    <t xml:space="preserve">T000236</t>
  </si>
  <si>
    <t xml:space="preserve">T000237</t>
  </si>
  <si>
    <t xml:space="preserve">T000238</t>
  </si>
  <si>
    <t xml:space="preserve">T000239</t>
  </si>
  <si>
    <t xml:space="preserve">T000240</t>
  </si>
  <si>
    <t xml:space="preserve">T000241</t>
  </si>
  <si>
    <t xml:space="preserve">T000242</t>
  </si>
  <si>
    <t xml:space="preserve">T000243</t>
  </si>
  <si>
    <t xml:space="preserve">T000244</t>
  </si>
  <si>
    <t xml:space="preserve">T000245</t>
  </si>
  <si>
    <t xml:space="preserve">T000246</t>
  </si>
  <si>
    <t xml:space="preserve">T000247</t>
  </si>
  <si>
    <t xml:space="preserve">T000248</t>
  </si>
  <si>
    <t xml:space="preserve">T000249</t>
  </si>
  <si>
    <t xml:space="preserve">T000250</t>
  </si>
  <si>
    <t xml:space="preserve">T000251</t>
  </si>
  <si>
    <t xml:space="preserve">T000252</t>
  </si>
  <si>
    <t xml:space="preserve">T000253</t>
  </si>
  <si>
    <t xml:space="preserve">T000254</t>
  </si>
  <si>
    <t xml:space="preserve">T000255</t>
  </si>
  <si>
    <t xml:space="preserve">T000256</t>
  </si>
  <si>
    <t xml:space="preserve">T000257</t>
  </si>
  <si>
    <t xml:space="preserve">T000258</t>
  </si>
  <si>
    <t xml:space="preserve">T000259</t>
  </si>
  <si>
    <t xml:space="preserve">T000260</t>
  </si>
  <si>
    <t xml:space="preserve">T000261</t>
  </si>
  <si>
    <t xml:space="preserve">T000262</t>
  </si>
  <si>
    <t xml:space="preserve">T000263</t>
  </si>
  <si>
    <t xml:space="preserve">T000264</t>
  </si>
  <si>
    <t xml:space="preserve">T000265</t>
  </si>
  <si>
    <t xml:space="preserve">T000266</t>
  </si>
  <si>
    <t xml:space="preserve">T000267</t>
  </si>
  <si>
    <t xml:space="preserve">T000268</t>
  </si>
  <si>
    <t xml:space="preserve">T000269</t>
  </si>
  <si>
    <t xml:space="preserve">T000270</t>
  </si>
  <si>
    <t xml:space="preserve">T000271</t>
  </si>
  <si>
    <t xml:space="preserve">T000272</t>
  </si>
  <si>
    <t xml:space="preserve">T000273</t>
  </si>
  <si>
    <t xml:space="preserve">T000274</t>
  </si>
  <si>
    <t xml:space="preserve">T000275</t>
  </si>
  <si>
    <t xml:space="preserve">T000276</t>
  </si>
  <si>
    <t xml:space="preserve">T000277</t>
  </si>
  <si>
    <t xml:space="preserve">T000278</t>
  </si>
  <si>
    <t xml:space="preserve">T000279</t>
  </si>
  <si>
    <t xml:space="preserve">T000280</t>
  </si>
  <si>
    <t xml:space="preserve">T000281</t>
  </si>
  <si>
    <t xml:space="preserve">T000282</t>
  </si>
  <si>
    <t xml:space="preserve">T000283</t>
  </si>
  <si>
    <t xml:space="preserve">T000284</t>
  </si>
  <si>
    <t xml:space="preserve">T000285</t>
  </si>
  <si>
    <t xml:space="preserve">T000286</t>
  </si>
  <si>
    <t xml:space="preserve">T000287</t>
  </si>
  <si>
    <t xml:space="preserve">T000288</t>
  </si>
  <si>
    <t xml:space="preserve">T000289</t>
  </si>
  <si>
    <t xml:space="preserve">T000290</t>
  </si>
  <si>
    <t xml:space="preserve">T000291</t>
  </si>
  <si>
    <t xml:space="preserve">T000292</t>
  </si>
  <si>
    <t xml:space="preserve">T000293</t>
  </si>
  <si>
    <t xml:space="preserve">T000294</t>
  </si>
  <si>
    <t xml:space="preserve">T000295</t>
  </si>
  <si>
    <t xml:space="preserve">T000296</t>
  </si>
  <si>
    <t xml:space="preserve">T000297</t>
  </si>
  <si>
    <t xml:space="preserve">T000298</t>
  </si>
  <si>
    <t xml:space="preserve">T000299</t>
  </si>
  <si>
    <t xml:space="preserve">T000300</t>
  </si>
  <si>
    <t xml:space="preserve">T000301</t>
  </si>
  <si>
    <t xml:space="preserve">T000302</t>
  </si>
  <si>
    <t xml:space="preserve">T000303</t>
  </si>
  <si>
    <t xml:space="preserve">T000304</t>
  </si>
  <si>
    <t xml:space="preserve">T000305</t>
  </si>
  <si>
    <t xml:space="preserve">T000306</t>
  </si>
  <si>
    <t xml:space="preserve">T000307</t>
  </si>
  <si>
    <t xml:space="preserve">T000308</t>
  </si>
  <si>
    <t xml:space="preserve">T000309</t>
  </si>
  <si>
    <t xml:space="preserve">T000310</t>
  </si>
  <si>
    <t xml:space="preserve">T000311</t>
  </si>
  <si>
    <t xml:space="preserve">T000312</t>
  </si>
  <si>
    <t xml:space="preserve">T000313</t>
  </si>
  <si>
    <t xml:space="preserve">T000314</t>
  </si>
  <si>
    <t xml:space="preserve">T000315</t>
  </si>
  <si>
    <t xml:space="preserve">T000316</t>
  </si>
  <si>
    <t xml:space="preserve">T000317</t>
  </si>
  <si>
    <t xml:space="preserve">T000318</t>
  </si>
  <si>
    <t xml:space="preserve">T000319</t>
  </si>
  <si>
    <t xml:space="preserve">T000320</t>
  </si>
  <si>
    <t xml:space="preserve">T000321</t>
  </si>
  <si>
    <t xml:space="preserve">T000322</t>
  </si>
  <si>
    <t xml:space="preserve">T000323</t>
  </si>
  <si>
    <t xml:space="preserve">T000324</t>
  </si>
  <si>
    <t xml:space="preserve">T000325</t>
  </si>
  <si>
    <t xml:space="preserve">T000326</t>
  </si>
  <si>
    <t xml:space="preserve">T000327</t>
  </si>
  <si>
    <t xml:space="preserve">T000328</t>
  </si>
  <si>
    <t xml:space="preserve">T000329</t>
  </si>
  <si>
    <t xml:space="preserve">T000330</t>
  </si>
  <si>
    <t xml:space="preserve">T000331</t>
  </si>
  <si>
    <t xml:space="preserve">T000332</t>
  </si>
  <si>
    <t xml:space="preserve">T000333</t>
  </si>
  <si>
    <t xml:space="preserve">T000334</t>
  </si>
  <si>
    <t xml:space="preserve">T000335</t>
  </si>
  <si>
    <t xml:space="preserve">T000336</t>
  </si>
  <si>
    <t xml:space="preserve">T000337</t>
  </si>
  <si>
    <t xml:space="preserve">T000338</t>
  </si>
  <si>
    <t xml:space="preserve">T000339</t>
  </si>
  <si>
    <t xml:space="preserve">T000340</t>
  </si>
  <si>
    <t xml:space="preserve">T000341</t>
  </si>
  <si>
    <t xml:space="preserve">T000342</t>
  </si>
  <si>
    <t xml:space="preserve">T000343</t>
  </si>
  <si>
    <t xml:space="preserve">T000344</t>
  </si>
  <si>
    <t xml:space="preserve">T000345</t>
  </si>
  <si>
    <t xml:space="preserve">T000346</t>
  </si>
  <si>
    <t xml:space="preserve">T000347</t>
  </si>
  <si>
    <t xml:space="preserve">T000348</t>
  </si>
  <si>
    <t xml:space="preserve">T000349</t>
  </si>
  <si>
    <t xml:space="preserve">T000350</t>
  </si>
  <si>
    <t xml:space="preserve">T000351</t>
  </si>
  <si>
    <t xml:space="preserve">T000352</t>
  </si>
  <si>
    <t xml:space="preserve">T000353</t>
  </si>
  <si>
    <t xml:space="preserve">T000354</t>
  </si>
  <si>
    <t xml:space="preserve">T000355</t>
  </si>
  <si>
    <t xml:space="preserve">T000356</t>
  </si>
  <si>
    <t xml:space="preserve">T000357</t>
  </si>
  <si>
    <t xml:space="preserve">T000358</t>
  </si>
  <si>
    <t xml:space="preserve">T000359</t>
  </si>
  <si>
    <t xml:space="preserve">T000360</t>
  </si>
  <si>
    <t xml:space="preserve">T000361</t>
  </si>
  <si>
    <t xml:space="preserve">T000362</t>
  </si>
  <si>
    <t xml:space="preserve">T000363</t>
  </si>
  <si>
    <t xml:space="preserve">T000364</t>
  </si>
  <si>
    <t xml:space="preserve">T000365</t>
  </si>
  <si>
    <t xml:space="preserve">T000366</t>
  </si>
  <si>
    <t xml:space="preserve">T000367</t>
  </si>
  <si>
    <t xml:space="preserve">T000368</t>
  </si>
  <si>
    <t xml:space="preserve">T000369</t>
  </si>
  <si>
    <t xml:space="preserve">T000370</t>
  </si>
  <si>
    <t xml:space="preserve">T000371</t>
  </si>
  <si>
    <t xml:space="preserve">T000372</t>
  </si>
  <si>
    <t xml:space="preserve">T000373</t>
  </si>
  <si>
    <t xml:space="preserve">T000374</t>
  </si>
  <si>
    <t xml:space="preserve">T000375</t>
  </si>
  <si>
    <t xml:space="preserve">T000376</t>
  </si>
  <si>
    <t xml:space="preserve">T000377</t>
  </si>
  <si>
    <t xml:space="preserve">T000378</t>
  </si>
  <si>
    <t xml:space="preserve">T000379</t>
  </si>
  <si>
    <t xml:space="preserve">T000380</t>
  </si>
  <si>
    <t xml:space="preserve">T000381</t>
  </si>
  <si>
    <t xml:space="preserve">T000382</t>
  </si>
  <si>
    <t xml:space="preserve">T000383</t>
  </si>
  <si>
    <t xml:space="preserve">T000384</t>
  </si>
  <si>
    <t xml:space="preserve">T000385</t>
  </si>
  <si>
    <t xml:space="preserve">T000386</t>
  </si>
  <si>
    <t xml:space="preserve">T000387</t>
  </si>
  <si>
    <t xml:space="preserve">T000388</t>
  </si>
  <si>
    <t xml:space="preserve">T000389</t>
  </si>
  <si>
    <t xml:space="preserve">T000390</t>
  </si>
  <si>
    <t xml:space="preserve">T000391</t>
  </si>
  <si>
    <t xml:space="preserve">T000392</t>
  </si>
  <si>
    <t xml:space="preserve">T000393</t>
  </si>
  <si>
    <t xml:space="preserve">T000394</t>
  </si>
  <si>
    <t xml:space="preserve">T000395</t>
  </si>
  <si>
    <t xml:space="preserve">T000396</t>
  </si>
  <si>
    <t xml:space="preserve">T000397</t>
  </si>
  <si>
    <t xml:space="preserve">T000398</t>
  </si>
  <si>
    <t xml:space="preserve">T000399</t>
  </si>
  <si>
    <t xml:space="preserve">T000400</t>
  </si>
  <si>
    <t xml:space="preserve">T000401</t>
  </si>
  <si>
    <t xml:space="preserve">T000402</t>
  </si>
  <si>
    <t xml:space="preserve">T000403</t>
  </si>
  <si>
    <t xml:space="preserve">T000404</t>
  </si>
  <si>
    <t xml:space="preserve">T000405</t>
  </si>
  <si>
    <t xml:space="preserve">T000406</t>
  </si>
  <si>
    <t xml:space="preserve">T000407</t>
  </si>
  <si>
    <t xml:space="preserve">T000408</t>
  </si>
  <si>
    <t xml:space="preserve">T000409</t>
  </si>
  <si>
    <t xml:space="preserve">T000410</t>
  </si>
  <si>
    <t xml:space="preserve">T000411</t>
  </si>
  <si>
    <t xml:space="preserve">T000412</t>
  </si>
  <si>
    <t xml:space="preserve">T000413</t>
  </si>
  <si>
    <t xml:space="preserve">T000414</t>
  </si>
  <si>
    <t xml:space="preserve">T000415</t>
  </si>
  <si>
    <t xml:space="preserve">T000416</t>
  </si>
  <si>
    <t xml:space="preserve">T000417</t>
  </si>
  <si>
    <t xml:space="preserve">T000418</t>
  </si>
  <si>
    <t xml:space="preserve">T000419</t>
  </si>
  <si>
    <t xml:space="preserve">T000420</t>
  </si>
  <si>
    <t xml:space="preserve">T000421</t>
  </si>
  <si>
    <t xml:space="preserve">T000422</t>
  </si>
  <si>
    <t xml:space="preserve">T000423</t>
  </si>
  <si>
    <t xml:space="preserve">T000424</t>
  </si>
  <si>
    <t xml:space="preserve">T000425</t>
  </si>
  <si>
    <t xml:space="preserve">T000426</t>
  </si>
  <si>
    <t xml:space="preserve">T000427</t>
  </si>
  <si>
    <t xml:space="preserve">T000428</t>
  </si>
  <si>
    <t xml:space="preserve">T000429</t>
  </si>
  <si>
    <t xml:space="preserve">T000430</t>
  </si>
  <si>
    <t xml:space="preserve">T000431</t>
  </si>
  <si>
    <t xml:space="preserve">T000432</t>
  </si>
  <si>
    <t xml:space="preserve">T000433</t>
  </si>
  <si>
    <t xml:space="preserve">T000434</t>
  </si>
  <si>
    <t xml:space="preserve">T000435</t>
  </si>
  <si>
    <t xml:space="preserve">T000436</t>
  </si>
  <si>
    <t xml:space="preserve">T000437</t>
  </si>
  <si>
    <t xml:space="preserve">T000438</t>
  </si>
  <si>
    <t xml:space="preserve">T000439</t>
  </si>
  <si>
    <t xml:space="preserve">T000440</t>
  </si>
  <si>
    <t xml:space="preserve">T000441</t>
  </si>
  <si>
    <t xml:space="preserve">T000442</t>
  </si>
  <si>
    <t xml:space="preserve">T000443</t>
  </si>
  <si>
    <t xml:space="preserve">T000444</t>
  </si>
  <si>
    <t xml:space="preserve">T000445</t>
  </si>
  <si>
    <t xml:space="preserve">T000446</t>
  </si>
  <si>
    <t xml:space="preserve">T000447</t>
  </si>
  <si>
    <t xml:space="preserve">T000448</t>
  </si>
  <si>
    <t xml:space="preserve">T000449</t>
  </si>
  <si>
    <t xml:space="preserve">T000450</t>
  </si>
  <si>
    <t xml:space="preserve">T000451</t>
  </si>
  <si>
    <t xml:space="preserve">T000452</t>
  </si>
  <si>
    <t xml:space="preserve">T000453</t>
  </si>
  <si>
    <t xml:space="preserve">T000454</t>
  </si>
  <si>
    <t xml:space="preserve">T000455</t>
  </si>
  <si>
    <t xml:space="preserve">T000456</t>
  </si>
  <si>
    <t xml:space="preserve">T000457</t>
  </si>
  <si>
    <t xml:space="preserve">T000458</t>
  </si>
  <si>
    <t xml:space="preserve">T000459</t>
  </si>
  <si>
    <t xml:space="preserve">T000460</t>
  </si>
  <si>
    <t xml:space="preserve">T000461</t>
  </si>
  <si>
    <t xml:space="preserve">T000462</t>
  </si>
  <si>
    <t xml:space="preserve">T000463</t>
  </si>
  <si>
    <t xml:space="preserve">T000464</t>
  </si>
  <si>
    <t xml:space="preserve">T000465</t>
  </si>
  <si>
    <t xml:space="preserve">T000466</t>
  </si>
  <si>
    <t xml:space="preserve">T000467</t>
  </si>
  <si>
    <t xml:space="preserve">T000468</t>
  </si>
  <si>
    <t xml:space="preserve">T000469</t>
  </si>
  <si>
    <t xml:space="preserve">T000470</t>
  </si>
  <si>
    <t xml:space="preserve">T000471</t>
  </si>
  <si>
    <t xml:space="preserve">T000472</t>
  </si>
  <si>
    <t xml:space="preserve">T000473</t>
  </si>
  <si>
    <t xml:space="preserve">T000474</t>
  </si>
  <si>
    <t xml:space="preserve">T000475</t>
  </si>
  <si>
    <t xml:space="preserve">T000476</t>
  </si>
  <si>
    <t xml:space="preserve">T000477</t>
  </si>
  <si>
    <t xml:space="preserve">T000478</t>
  </si>
  <si>
    <t xml:space="preserve">T000479</t>
  </si>
  <si>
    <t xml:space="preserve">T000480</t>
  </si>
  <si>
    <t xml:space="preserve">T000481</t>
  </si>
  <si>
    <t xml:space="preserve">T000482</t>
  </si>
  <si>
    <t xml:space="preserve">T000483</t>
  </si>
  <si>
    <t xml:space="preserve">T000484</t>
  </si>
  <si>
    <t xml:space="preserve">T000485</t>
  </si>
  <si>
    <t xml:space="preserve">T000486</t>
  </si>
  <si>
    <t xml:space="preserve">T000487</t>
  </si>
  <si>
    <t xml:space="preserve">T000488</t>
  </si>
  <si>
    <t xml:space="preserve">T000489</t>
  </si>
  <si>
    <t xml:space="preserve">T000490</t>
  </si>
  <si>
    <t xml:space="preserve">T000491</t>
  </si>
  <si>
    <t xml:space="preserve">T000492</t>
  </si>
  <si>
    <t xml:space="preserve">T000493</t>
  </si>
  <si>
    <t xml:space="preserve">T000494</t>
  </si>
  <si>
    <t xml:space="preserve">T000495</t>
  </si>
  <si>
    <t xml:space="preserve">T000496</t>
  </si>
  <si>
    <t xml:space="preserve">T000497</t>
  </si>
  <si>
    <t xml:space="preserve">T000498</t>
  </si>
  <si>
    <t xml:space="preserve">T000499</t>
  </si>
  <si>
    <t xml:space="preserve">T000500</t>
  </si>
  <si>
    <t xml:space="preserve">T000501</t>
  </si>
  <si>
    <t xml:space="preserve">T000502</t>
  </si>
  <si>
    <t xml:space="preserve">T000503</t>
  </si>
  <si>
    <t xml:space="preserve">T000504</t>
  </si>
  <si>
    <t xml:space="preserve">T000505</t>
  </si>
  <si>
    <t xml:space="preserve">T000506</t>
  </si>
  <si>
    <t xml:space="preserve">T000507</t>
  </si>
  <si>
    <t xml:space="preserve">T000508</t>
  </si>
  <si>
    <t xml:space="preserve">T000509</t>
  </si>
  <si>
    <t xml:space="preserve">T000510</t>
  </si>
  <si>
    <t xml:space="preserve">T000511</t>
  </si>
  <si>
    <t xml:space="preserve">T000512</t>
  </si>
  <si>
    <t xml:space="preserve">T000513</t>
  </si>
  <si>
    <t xml:space="preserve">T000514</t>
  </si>
  <si>
    <t xml:space="preserve">T000515</t>
  </si>
  <si>
    <t xml:space="preserve">T000516</t>
  </si>
  <si>
    <t xml:space="preserve">T000517</t>
  </si>
  <si>
    <t xml:space="preserve">T000518</t>
  </si>
  <si>
    <t xml:space="preserve">T000519</t>
  </si>
  <si>
    <t xml:space="preserve">T000520</t>
  </si>
  <si>
    <t xml:space="preserve">T000521</t>
  </si>
  <si>
    <t xml:space="preserve">T000522</t>
  </si>
  <si>
    <t xml:space="preserve">T000523</t>
  </si>
  <si>
    <t xml:space="preserve">T000524</t>
  </si>
  <si>
    <t xml:space="preserve">T000525</t>
  </si>
  <si>
    <t xml:space="preserve">T000526</t>
  </si>
  <si>
    <t xml:space="preserve">T000527</t>
  </si>
  <si>
    <t xml:space="preserve">T000528</t>
  </si>
  <si>
    <t xml:space="preserve">T000529</t>
  </si>
  <si>
    <t xml:space="preserve">T000530</t>
  </si>
  <si>
    <t xml:space="preserve">T000531</t>
  </si>
  <si>
    <t xml:space="preserve">T000532</t>
  </si>
  <si>
    <t xml:space="preserve">T000533</t>
  </si>
  <si>
    <t xml:space="preserve">T000534</t>
  </si>
  <si>
    <t xml:space="preserve">T000535</t>
  </si>
  <si>
    <t xml:space="preserve">T000536</t>
  </si>
  <si>
    <t xml:space="preserve">T000537</t>
  </si>
  <si>
    <t xml:space="preserve">T000538</t>
  </si>
  <si>
    <t xml:space="preserve">T000539</t>
  </si>
  <si>
    <t xml:space="preserve">T000540</t>
  </si>
  <si>
    <t xml:space="preserve">T000541</t>
  </si>
  <si>
    <t xml:space="preserve">T000542</t>
  </si>
  <si>
    <t xml:space="preserve">T000543</t>
  </si>
  <si>
    <t xml:space="preserve">T000544</t>
  </si>
  <si>
    <t xml:space="preserve">T000545</t>
  </si>
  <si>
    <t xml:space="preserve">T000546</t>
  </si>
  <si>
    <t xml:space="preserve">T000547</t>
  </si>
  <si>
    <t xml:space="preserve">T000548</t>
  </si>
  <si>
    <t xml:space="preserve">T000549</t>
  </si>
  <si>
    <t xml:space="preserve">T000550</t>
  </si>
  <si>
    <t xml:space="preserve">T000551</t>
  </si>
  <si>
    <t xml:space="preserve">T000552</t>
  </si>
  <si>
    <t xml:space="preserve">T000553</t>
  </si>
  <si>
    <t xml:space="preserve">T000554</t>
  </si>
  <si>
    <t xml:space="preserve">T000555</t>
  </si>
  <si>
    <t xml:space="preserve">T000556</t>
  </si>
  <si>
    <t xml:space="preserve">T000557</t>
  </si>
  <si>
    <t xml:space="preserve">T000558</t>
  </si>
  <si>
    <t xml:space="preserve">T000559</t>
  </si>
  <si>
    <t xml:space="preserve">T000560</t>
  </si>
  <si>
    <t xml:space="preserve">T000561</t>
  </si>
  <si>
    <t xml:space="preserve">T000562</t>
  </si>
  <si>
    <t xml:space="preserve">T000563</t>
  </si>
  <si>
    <t xml:space="preserve">T000564</t>
  </si>
  <si>
    <t xml:space="preserve">T000565</t>
  </si>
  <si>
    <t xml:space="preserve">T000566</t>
  </si>
  <si>
    <t xml:space="preserve">T000567</t>
  </si>
  <si>
    <t xml:space="preserve">T000568</t>
  </si>
  <si>
    <t xml:space="preserve">T000569</t>
  </si>
  <si>
    <t xml:space="preserve">T000570</t>
  </si>
  <si>
    <t xml:space="preserve">T000571</t>
  </si>
  <si>
    <t xml:space="preserve">T000572</t>
  </si>
  <si>
    <t xml:space="preserve">T000573</t>
  </si>
  <si>
    <t xml:space="preserve">T000574</t>
  </si>
  <si>
    <t xml:space="preserve">T000575</t>
  </si>
  <si>
    <t xml:space="preserve">T000576</t>
  </si>
  <si>
    <t xml:space="preserve">T000577</t>
  </si>
  <si>
    <t xml:space="preserve">T000578</t>
  </si>
  <si>
    <t xml:space="preserve">T000579</t>
  </si>
  <si>
    <t xml:space="preserve">T000580</t>
  </si>
  <si>
    <t xml:space="preserve">T000581</t>
  </si>
  <si>
    <t xml:space="preserve">T000582</t>
  </si>
  <si>
    <t xml:space="preserve">T000583</t>
  </si>
  <si>
    <t xml:space="preserve">T000584</t>
  </si>
  <si>
    <t xml:space="preserve">T000585</t>
  </si>
  <si>
    <t xml:space="preserve">T000586</t>
  </si>
  <si>
    <t xml:space="preserve">T000587</t>
  </si>
  <si>
    <t xml:space="preserve">T000588</t>
  </si>
  <si>
    <t xml:space="preserve">T000589</t>
  </si>
  <si>
    <t xml:space="preserve">T000590</t>
  </si>
  <si>
    <t xml:space="preserve">T000591</t>
  </si>
  <si>
    <t xml:space="preserve">T000592</t>
  </si>
  <si>
    <t xml:space="preserve">T000593</t>
  </si>
  <si>
    <t xml:space="preserve">T000594</t>
  </si>
  <si>
    <t xml:space="preserve">T000595</t>
  </si>
  <si>
    <t xml:space="preserve">T000596</t>
  </si>
  <si>
    <t xml:space="preserve">T000597</t>
  </si>
  <si>
    <t xml:space="preserve">T000598</t>
  </si>
  <si>
    <t xml:space="preserve">T000599</t>
  </si>
  <si>
    <t xml:space="preserve">T000600</t>
  </si>
  <si>
    <t xml:space="preserve">T000601</t>
  </si>
  <si>
    <t xml:space="preserve">T000602</t>
  </si>
  <si>
    <t xml:space="preserve">T000603</t>
  </si>
  <si>
    <t xml:space="preserve">T000604</t>
  </si>
  <si>
    <t xml:space="preserve">T000605</t>
  </si>
  <si>
    <t xml:space="preserve">T000606</t>
  </si>
  <si>
    <t xml:space="preserve">T000607</t>
  </si>
  <si>
    <t xml:space="preserve">T000608</t>
  </si>
  <si>
    <t xml:space="preserve">T000609</t>
  </si>
  <si>
    <t xml:space="preserve">T000610</t>
  </si>
  <si>
    <t xml:space="preserve">T000611</t>
  </si>
  <si>
    <t xml:space="preserve">T000612</t>
  </si>
  <si>
    <t xml:space="preserve">T000613</t>
  </si>
  <si>
    <t xml:space="preserve">T000614</t>
  </si>
  <si>
    <t xml:space="preserve">T000615</t>
  </si>
  <si>
    <t xml:space="preserve">T000616</t>
  </si>
  <si>
    <t xml:space="preserve">T000617</t>
  </si>
  <si>
    <t xml:space="preserve">T000618</t>
  </si>
  <si>
    <t xml:space="preserve">T000619</t>
  </si>
  <si>
    <t xml:space="preserve">T000620</t>
  </si>
  <si>
    <t xml:space="preserve">T000621</t>
  </si>
  <si>
    <t xml:space="preserve">T000622</t>
  </si>
  <si>
    <t xml:space="preserve">T000623</t>
  </si>
  <si>
    <t xml:space="preserve">T000624</t>
  </si>
  <si>
    <t xml:space="preserve">T000625</t>
  </si>
  <si>
    <t xml:space="preserve">T000626</t>
  </si>
  <si>
    <t xml:space="preserve">T000627</t>
  </si>
  <si>
    <t xml:space="preserve">T000628</t>
  </si>
  <si>
    <t xml:space="preserve">T000629</t>
  </si>
  <si>
    <t xml:space="preserve">T000630</t>
  </si>
  <si>
    <t xml:space="preserve">T000631</t>
  </si>
  <si>
    <t xml:space="preserve">T000632</t>
  </si>
  <si>
    <t xml:space="preserve">T000633</t>
  </si>
  <si>
    <t xml:space="preserve">T000634</t>
  </si>
  <si>
    <t xml:space="preserve">T000635</t>
  </si>
  <si>
    <t xml:space="preserve">T000636</t>
  </si>
  <si>
    <t xml:space="preserve">T000637</t>
  </si>
  <si>
    <t xml:space="preserve">T000638</t>
  </si>
  <si>
    <t xml:space="preserve">T000639</t>
  </si>
  <si>
    <t xml:space="preserve">T000640</t>
  </si>
  <si>
    <t xml:space="preserve">T000641</t>
  </si>
  <si>
    <t xml:space="preserve">T000642</t>
  </si>
  <si>
    <t xml:space="preserve">T000643</t>
  </si>
  <si>
    <t xml:space="preserve">T000644</t>
  </si>
  <si>
    <t xml:space="preserve">T000645</t>
  </si>
  <si>
    <t xml:space="preserve">T000646</t>
  </si>
  <si>
    <t xml:space="preserve">T000647</t>
  </si>
  <si>
    <t xml:space="preserve">T000648</t>
  </si>
  <si>
    <t xml:space="preserve">T000649</t>
  </si>
  <si>
    <t xml:space="preserve">T000650</t>
  </si>
  <si>
    <t xml:space="preserve">T000651</t>
  </si>
  <si>
    <t xml:space="preserve">T000652</t>
  </si>
  <si>
    <t xml:space="preserve">T000653</t>
  </si>
  <si>
    <t xml:space="preserve">T000654</t>
  </si>
  <si>
    <t xml:space="preserve">T000655</t>
  </si>
  <si>
    <t xml:space="preserve">T000656</t>
  </si>
  <si>
    <t xml:space="preserve">T000657</t>
  </si>
  <si>
    <t xml:space="preserve">T000658</t>
  </si>
  <si>
    <t xml:space="preserve">T000659</t>
  </si>
  <si>
    <t xml:space="preserve">T000660</t>
  </si>
  <si>
    <t xml:space="preserve">T000661</t>
  </si>
  <si>
    <t xml:space="preserve">T000662</t>
  </si>
  <si>
    <t xml:space="preserve">T000663</t>
  </si>
  <si>
    <t xml:space="preserve">T000664</t>
  </si>
  <si>
    <t xml:space="preserve">T000665</t>
  </si>
  <si>
    <t xml:space="preserve">T000666</t>
  </si>
  <si>
    <t xml:space="preserve">T000667</t>
  </si>
  <si>
    <t xml:space="preserve">T000668</t>
  </si>
  <si>
    <t xml:space="preserve">T000669</t>
  </si>
  <si>
    <t xml:space="preserve">T000670</t>
  </si>
  <si>
    <t xml:space="preserve">T000671</t>
  </si>
  <si>
    <t xml:space="preserve">T000672</t>
  </si>
  <si>
    <t xml:space="preserve">T000673</t>
  </si>
  <si>
    <t xml:space="preserve">T000674</t>
  </si>
  <si>
    <t xml:space="preserve">T000675</t>
  </si>
  <si>
    <t xml:space="preserve">T000676</t>
  </si>
  <si>
    <t xml:space="preserve">T000677</t>
  </si>
  <si>
    <t xml:space="preserve">T000678</t>
  </si>
  <si>
    <t xml:space="preserve">T000679</t>
  </si>
  <si>
    <t xml:space="preserve">T000680</t>
  </si>
  <si>
    <t xml:space="preserve">T000681</t>
  </si>
  <si>
    <t xml:space="preserve">T000682</t>
  </si>
  <si>
    <t xml:space="preserve">T000683</t>
  </si>
  <si>
    <t xml:space="preserve">T000684</t>
  </si>
  <si>
    <t xml:space="preserve">T000685</t>
  </si>
  <si>
    <t xml:space="preserve">T000686</t>
  </si>
  <si>
    <t xml:space="preserve">T000687</t>
  </si>
  <si>
    <t xml:space="preserve">T000688</t>
  </si>
  <si>
    <t xml:space="preserve">T000689</t>
  </si>
  <si>
    <t xml:space="preserve">T000690</t>
  </si>
  <si>
    <t xml:space="preserve">T000691</t>
  </si>
  <si>
    <t xml:space="preserve">T000692</t>
  </si>
  <si>
    <t xml:space="preserve">T000693</t>
  </si>
  <si>
    <t xml:space="preserve">T000694</t>
  </si>
  <si>
    <t xml:space="preserve">T000695</t>
  </si>
  <si>
    <t xml:space="preserve">T000696</t>
  </si>
  <si>
    <t xml:space="preserve">T000697</t>
  </si>
  <si>
    <t xml:space="preserve">T000698</t>
  </si>
  <si>
    <t xml:space="preserve">T000699</t>
  </si>
  <si>
    <t xml:space="preserve">T000700</t>
  </si>
  <si>
    <t xml:space="preserve">Date</t>
  </si>
  <si>
    <t xml:space="preserve">Campaign</t>
  </si>
  <si>
    <t xml:space="preserve">Leads</t>
  </si>
  <si>
    <t xml:space="preserve">Conversions</t>
  </si>
  <si>
    <t xml:space="preserve">Cost / Lead</t>
  </si>
  <si>
    <t xml:space="preserve">Conversion Rate</t>
  </si>
  <si>
    <t xml:space="preserve">Webinar</t>
  </si>
  <si>
    <t xml:space="preserve">Display</t>
  </si>
  <si>
    <t xml:space="preserve">Retargeting</t>
  </si>
  <si>
    <t xml:space="preserve">Email</t>
  </si>
  <si>
    <t xml:space="preserve">Partner Push</t>
  </si>
  <si>
    <t xml:space="preserve">Social</t>
  </si>
  <si>
    <t xml:space="preserve">Brand Awareness</t>
  </si>
  <si>
    <t xml:space="preserve">Search</t>
  </si>
  <si>
    <t xml:space="preserve">Demand Gen</t>
  </si>
  <si>
    <t xml:space="preserve">Events</t>
  </si>
  <si>
    <t xml:space="preserve">Month</t>
  </si>
  <si>
    <t xml:space="preserve">COGS</t>
  </si>
  <si>
    <t xml:space="preserve">Gross Profit</t>
  </si>
  <si>
    <t xml:space="preserve">Operating Expense</t>
  </si>
  <si>
    <t xml:space="preserve">EBITDA</t>
  </si>
  <si>
    <t xml:space="preserve">Cash Balance</t>
  </si>
  <si>
    <t xml:space="preserve">Facility</t>
  </si>
  <si>
    <t xml:space="preserve">Shift</t>
  </si>
  <si>
    <t xml:space="preserve">Units Produced</t>
  </si>
  <si>
    <t xml:space="preserve">Defects</t>
  </si>
  <si>
    <t xml:space="preserve">Defect Rate</t>
  </si>
  <si>
    <t xml:space="preserve">Downtime Minutes</t>
  </si>
  <si>
    <t xml:space="preserve">Labor Hours</t>
  </si>
  <si>
    <t xml:space="preserve">Plant B</t>
  </si>
  <si>
    <t xml:space="preserve">Day</t>
  </si>
  <si>
    <t xml:space="preserve">Plant D</t>
  </si>
  <si>
    <t xml:space="preserve">Night</t>
  </si>
  <si>
    <t xml:space="preserve">Plant A</t>
  </si>
  <si>
    <t xml:space="preserve">Plant C</t>
  </si>
  <si>
    <t xml:space="preserve">Swing</t>
  </si>
  <si>
    <t xml:space="preserve">Executive Dashboard</t>
  </si>
  <si>
    <t xml:space="preserve">Metric</t>
  </si>
  <si>
    <t xml:space="preserve">Value</t>
  </si>
  <si>
    <t xml:space="preserve">Total Revenue</t>
  </si>
  <si>
    <t xml:space="preserve">Total Profit</t>
  </si>
  <si>
    <t xml:space="preserve">Gross Margin</t>
  </si>
  <si>
    <t xml:space="preserve">Open Projects</t>
  </si>
  <si>
    <t xml:space="preserve">Open Tickets</t>
  </si>
  <si>
    <t xml:space="preserve">Inventory Reorder SKUs</t>
  </si>
  <si>
    <t xml:space="preserve">Avg Satisfaction</t>
  </si>
  <si>
    <t xml:space="preserve">Projects</t>
  </si>
  <si>
    <t xml:space="preserve">Tickets</t>
  </si>
  <si>
    <t xml:space="preserve">Total</t>
  </si>
  <si>
    <t xml:space="preserve">Workbook Overview</t>
  </si>
  <si>
    <t xml:space="preserve">Sheet</t>
  </si>
  <si>
    <t xml:space="preserve">Purpose</t>
  </si>
  <si>
    <t xml:space="preserve">Rows</t>
  </si>
  <si>
    <t xml:space="preserve">Notes</t>
  </si>
  <si>
    <t xml:space="preserve">Dashboard</t>
  </si>
  <si>
    <t xml:space="preserve">KPI summary and charts</t>
  </si>
  <si>
    <t xml:space="preserve">n/a</t>
  </si>
  <si>
    <t xml:space="preserve">Formula-driven from source tabs</t>
  </si>
  <si>
    <t xml:space="preserve">Orders with revenue/profit formulas</t>
  </si>
  <si>
    <t xml:space="preserve">1,000</t>
  </si>
  <si>
    <t xml:space="preserve">Includes data validation and conditional formatting</t>
  </si>
  <si>
    <t xml:space="preserve">Customers</t>
  </si>
  <si>
    <t xml:space="preserve">Customer master data</t>
  </si>
  <si>
    <t xml:space="preserve">500</t>
  </si>
  <si>
    <t xml:space="preserve">Segments, regions, account managers</t>
  </si>
  <si>
    <t xml:space="preserve">Products</t>
  </si>
  <si>
    <t xml:space="preserve">Product master data</t>
  </si>
  <si>
    <t xml:space="preserve">200</t>
  </si>
  <si>
    <t xml:space="preserve">Pricing and cost basis</t>
  </si>
  <si>
    <t xml:space="preserve">Inventory</t>
  </si>
  <si>
    <t xml:space="preserve">SKU inventory position</t>
  </si>
  <si>
    <t xml:space="preserve">Reorder status and inventory value formula</t>
  </si>
  <si>
    <t xml:space="preserve">Employees</t>
  </si>
  <si>
    <t xml:space="preserve">Employee roster</t>
  </si>
  <si>
    <t xml:space="preserve">250</t>
  </si>
  <si>
    <t xml:space="preserve">Department and performance details</t>
  </si>
  <si>
    <t xml:space="preserve">Project portfolio</t>
  </si>
  <si>
    <t xml:space="preserve">Budget, spend, variance formulas</t>
  </si>
  <si>
    <t xml:space="preserve">Support Tickets</t>
  </si>
  <si>
    <t xml:space="preserve">Customer support workload</t>
  </si>
  <si>
    <t xml:space="preserve">700</t>
  </si>
  <si>
    <t xml:space="preserve">Priority, status, satisfaction</t>
  </si>
  <si>
    <t xml:space="preserve">Daily campaign performance</t>
  </si>
  <si>
    <t xml:space="preserve">365</t>
  </si>
  <si>
    <t xml:space="preserve">Cost per lead and conversion rate formulas</t>
  </si>
  <si>
    <t xml:space="preserve">Finance Monthly</t>
  </si>
  <si>
    <t xml:space="preserve">Monthly P&amp;L and cash balance</t>
  </si>
  <si>
    <t xml:space="preserve">36</t>
  </si>
  <si>
    <t xml:space="preserve">Gross profit and EBITDA formulas</t>
  </si>
  <si>
    <t xml:space="preserve">Facility production metrics</t>
  </si>
  <si>
    <t xml:space="preserve">Defect rate formula</t>
  </si>
  <si>
    <t xml:space="preserve">Lookups</t>
  </si>
  <si>
    <t xml:space="preserve">Dropdown source lists</t>
  </si>
  <si>
    <t xml:space="preserve">Used for validations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</si>
</sst>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yyyy\-mm\-dd"/>
    <numFmt numFmtId="167" formatCode="General"/>
    <numFmt numFmtId="168" formatCode="0.0"/>
    <numFmt numFmtId="169" formatCode="0%"/>
    <numFmt numFmtId="170" formatCode="\$#,##0"/>
    <numFmt numFmtId="171" formatCode="0"/>
    <numFmt numFmtId="172" formatCode="0.0%"/>
    <numFmt numFmtId="173" formatCode="mmm\ yyyy"/>
    <numFmt numFmtId="174" formatCode="0.0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56082"/>
      </patternFill>
    </fill>
    <fill>
      <patternFill patternType="solid">
        <fgColor rgb="FFEAF2F8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4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7" fillId="4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4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C00000"/>
      </font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AEAD3"/>
          <bgColor rgb="FF000000"/>
        </patternFill>
      </fill>
    </dxf>
    <dxf>
      <fill>
        <patternFill patternType="solid">
          <fgColor rgb="FFDBEAD3"/>
          <bgColor rgb="FF000000"/>
        </patternFill>
      </fill>
    </dxf>
    <dxf>
      <fill>
        <patternFill patternType="solid">
          <fgColor rgb="FFDCEAD3"/>
          <bgColor rgb="FF000000"/>
        </patternFill>
      </fill>
    </dxf>
    <dxf>
      <fill>
        <patternFill patternType="solid">
          <fgColor rgb="FFDDEAD3"/>
          <bgColor rgb="FF000000"/>
        </patternFill>
      </fill>
    </dxf>
    <dxf>
      <fill>
        <patternFill patternType="solid">
          <fgColor rgb="FFDDEBD3"/>
          <bgColor rgb="FF000000"/>
        </patternFill>
      </fill>
    </dxf>
    <dxf>
      <fill>
        <patternFill patternType="solid">
          <fgColor rgb="FFDEEBD2"/>
          <bgColor rgb="FF000000"/>
        </patternFill>
      </fill>
    </dxf>
    <dxf>
      <fill>
        <patternFill patternType="solid">
          <fgColor rgb="FFDEEBD3"/>
          <bgColor rgb="FF000000"/>
        </patternFill>
      </fill>
    </dxf>
    <dxf>
      <fill>
        <patternFill patternType="solid">
          <fgColor rgb="FFDFEBD2"/>
          <bgColor rgb="FF000000"/>
        </patternFill>
      </fill>
    </dxf>
    <dxf>
      <fill>
        <patternFill patternType="solid">
          <fgColor rgb="FFE0EBD2"/>
          <bgColor rgb="FF000000"/>
        </patternFill>
      </fill>
    </dxf>
    <dxf>
      <fill>
        <patternFill patternType="solid">
          <fgColor rgb="FFE1EBD2"/>
          <bgColor rgb="FF000000"/>
        </patternFill>
      </fill>
    </dxf>
    <dxf>
      <fill>
        <patternFill patternType="solid">
          <fgColor rgb="FFE2EBD2"/>
          <bgColor rgb="FF000000"/>
        </patternFill>
      </fill>
    </dxf>
    <dxf>
      <fill>
        <patternFill patternType="solid">
          <fgColor rgb="FFE2ECD2"/>
          <bgColor rgb="FF000000"/>
        </patternFill>
      </fill>
    </dxf>
    <dxf>
      <fill>
        <patternFill patternType="solid">
          <fgColor rgb="FFE3ECD2"/>
          <bgColor rgb="FF000000"/>
        </patternFill>
      </fill>
    </dxf>
    <dxf>
      <fill>
        <patternFill patternType="solid">
          <fgColor rgb="FFE4ECD1"/>
          <bgColor rgb="FF000000"/>
        </patternFill>
      </fill>
    </dxf>
    <dxf>
      <fill>
        <patternFill patternType="solid">
          <fgColor rgb="FFE5ECD1"/>
          <bgColor rgb="FF000000"/>
        </patternFill>
      </fill>
    </dxf>
    <dxf>
      <fill>
        <patternFill patternType="solid">
          <fgColor rgb="FFE6ECD1"/>
          <bgColor rgb="FF000000"/>
        </patternFill>
      </fill>
    </dxf>
    <dxf>
      <fill>
        <patternFill patternType="solid">
          <fgColor rgb="FFE7ECD1"/>
          <bgColor rgb="FF000000"/>
        </patternFill>
      </fill>
    </dxf>
    <dxf>
      <fill>
        <patternFill patternType="solid">
          <fgColor rgb="FFE7EDD1"/>
          <bgColor rgb="FF000000"/>
        </patternFill>
      </fill>
    </dxf>
    <dxf>
      <fill>
        <patternFill patternType="solid">
          <fgColor rgb="FFE8EDD1"/>
          <bgColor rgb="FF000000"/>
        </patternFill>
      </fill>
    </dxf>
    <dxf>
      <fill>
        <patternFill patternType="solid">
          <fgColor rgb="FFE9EDD0"/>
          <bgColor rgb="FF000000"/>
        </patternFill>
      </fill>
    </dxf>
    <dxf>
      <fill>
        <patternFill patternType="solid">
          <fgColor rgb="FFE9EDD1"/>
          <bgColor rgb="FF000000"/>
        </patternFill>
      </fill>
    </dxf>
    <dxf>
      <fill>
        <patternFill patternType="solid">
          <fgColor rgb="FFEAEDD0"/>
          <bgColor rgb="FF000000"/>
        </patternFill>
      </fill>
    </dxf>
    <dxf>
      <fill>
        <patternFill patternType="solid">
          <fgColor rgb="FFEBEDD0"/>
          <bgColor rgb="FF000000"/>
        </patternFill>
      </fill>
    </dxf>
    <dxf>
      <fill>
        <patternFill patternType="solid">
          <fgColor rgb="FFECEED0"/>
          <bgColor rgb="FF000000"/>
        </patternFill>
      </fill>
    </dxf>
    <dxf>
      <fill>
        <patternFill patternType="solid">
          <fgColor rgb="FFEDEED0"/>
          <bgColor rgb="FF000000"/>
        </patternFill>
      </fill>
    </dxf>
    <dxf>
      <fill>
        <patternFill patternType="solid">
          <fgColor rgb="FFEEEECF"/>
          <bgColor rgb="FF000000"/>
        </patternFill>
      </fill>
    </dxf>
    <dxf>
      <fill>
        <patternFill patternType="solid">
          <fgColor rgb="FFEEEED0"/>
          <bgColor rgb="FF000000"/>
        </patternFill>
      </fill>
    </dxf>
    <dxf>
      <fill>
        <patternFill patternType="solid">
          <fgColor rgb="FFEFEECF"/>
          <bgColor rgb="FF000000"/>
        </patternFill>
      </fill>
    </dxf>
    <dxf>
      <fill>
        <patternFill patternType="solid">
          <fgColor rgb="FFF0EECF"/>
          <bgColor rgb="FF000000"/>
        </patternFill>
      </fill>
    </dxf>
    <dxf>
      <fill>
        <patternFill patternType="solid">
          <fgColor rgb="FFF1EFCF"/>
          <bgColor rgb="FF000000"/>
        </patternFill>
      </fill>
    </dxf>
    <dxf>
      <fill>
        <patternFill patternType="solid">
          <fgColor rgb="FFF2EFCF"/>
          <bgColor rgb="FF000000"/>
        </patternFill>
      </fill>
    </dxf>
    <dxf>
      <fill>
        <patternFill patternType="solid">
          <fgColor rgb="FFF3EFCF"/>
          <bgColor rgb="FF000000"/>
        </patternFill>
      </fill>
    </dxf>
    <dxf>
      <fill>
        <patternFill patternType="solid">
          <fgColor rgb="FFF4EFCE"/>
          <bgColor rgb="FF000000"/>
        </patternFill>
      </fill>
    </dxf>
    <dxf>
      <fill>
        <patternFill patternType="solid">
          <fgColor rgb="FFF5CDCC"/>
          <bgColor rgb="FF000000"/>
        </patternFill>
      </fill>
    </dxf>
    <dxf>
      <fill>
        <patternFill patternType="solid">
          <fgColor rgb="FFF5CECC"/>
          <bgColor rgb="FF000000"/>
        </patternFill>
      </fill>
    </dxf>
    <dxf>
      <fill>
        <patternFill patternType="solid">
          <fgColor rgb="FFF5CFCC"/>
          <bgColor rgb="FF000000"/>
        </patternFill>
      </fill>
    </dxf>
    <dxf>
      <fill>
        <patternFill patternType="solid">
          <fgColor rgb="FFF5D0CC"/>
          <bgColor rgb="FF000000"/>
        </patternFill>
      </fill>
    </dxf>
    <dxf>
      <fill>
        <patternFill patternType="solid">
          <fgColor rgb="FFF5F0CE"/>
          <bgColor rgb="FF000000"/>
        </patternFill>
      </fill>
    </dxf>
    <dxf>
      <fill>
        <patternFill patternType="solid">
          <fgColor rgb="FFF6D0CC"/>
          <bgColor rgb="FF000000"/>
        </patternFill>
      </fill>
    </dxf>
    <dxf>
      <fill>
        <patternFill patternType="solid">
          <fgColor rgb="FFF6D1CC"/>
          <bgColor rgb="FF000000"/>
        </patternFill>
      </fill>
    </dxf>
    <dxf>
      <fill>
        <patternFill patternType="solid">
          <fgColor rgb="FFF6D2CC"/>
          <bgColor rgb="FF000000"/>
        </patternFill>
      </fill>
    </dxf>
    <dxf>
      <fill>
        <patternFill patternType="solid">
          <fgColor rgb="FFF6D3CC"/>
          <bgColor rgb="FF000000"/>
        </patternFill>
      </fill>
    </dxf>
    <dxf>
      <fill>
        <patternFill patternType="solid">
          <fgColor rgb="FFF6F0CE"/>
          <bgColor rgb="FF000000"/>
        </patternFill>
      </fill>
    </dxf>
    <dxf>
      <fill>
        <patternFill patternType="solid">
          <fgColor rgb="FFF7D4CC"/>
          <bgColor rgb="FF000000"/>
        </patternFill>
      </fill>
    </dxf>
    <dxf>
      <fill>
        <patternFill patternType="solid">
          <fgColor rgb="FFF7D5CC"/>
          <bgColor rgb="FF000000"/>
        </patternFill>
      </fill>
    </dxf>
    <dxf>
      <fill>
        <patternFill patternType="solid">
          <fgColor rgb="FFF7D6CC"/>
          <bgColor rgb="FF000000"/>
        </patternFill>
      </fill>
    </dxf>
    <dxf>
      <fill>
        <patternFill patternType="solid">
          <fgColor rgb="FFF7D7CC"/>
          <bgColor rgb="FF000000"/>
        </patternFill>
      </fill>
    </dxf>
    <dxf>
      <fill>
        <patternFill patternType="solid">
          <fgColor rgb="FFF7F0CE"/>
          <bgColor rgb="FF000000"/>
        </patternFill>
      </fill>
    </dxf>
    <dxf>
      <fill>
        <patternFill patternType="solid">
          <fgColor rgb="FFF8D7CC"/>
          <bgColor rgb="FF000000"/>
        </patternFill>
      </fill>
    </dxf>
    <dxf>
      <fill>
        <patternFill patternType="solid">
          <fgColor rgb="FFF8D8CC"/>
          <bgColor rgb="FF000000"/>
        </patternFill>
      </fill>
    </dxf>
    <dxf>
      <fill>
        <patternFill patternType="solid">
          <fgColor rgb="FFF8D9CC"/>
          <bgColor rgb="FF000000"/>
        </patternFill>
      </fill>
    </dxf>
    <dxf>
      <fill>
        <patternFill patternType="solid">
          <fgColor rgb="FFF8DACC"/>
          <bgColor rgb="FF000000"/>
        </patternFill>
      </fill>
    </dxf>
    <dxf>
      <fill>
        <patternFill patternType="solid">
          <fgColor rgb="FFF8F0CE"/>
          <bgColor rgb="FF000000"/>
        </patternFill>
      </fill>
    </dxf>
    <dxf>
      <fill>
        <patternFill patternType="solid">
          <fgColor rgb="FFF9DACC"/>
          <bgColor rgb="FF000000"/>
        </patternFill>
      </fill>
    </dxf>
    <dxf>
      <fill>
        <patternFill patternType="solid">
          <fgColor rgb="FFF9DBCC"/>
          <bgColor rgb="FF000000"/>
        </patternFill>
      </fill>
    </dxf>
    <dxf>
      <fill>
        <patternFill patternType="solid">
          <fgColor rgb="FFF9DCCC"/>
          <bgColor rgb="FF000000"/>
        </patternFill>
      </fill>
    </dxf>
    <dxf>
      <fill>
        <patternFill patternType="solid">
          <fgColor rgb="FFF9DDCC"/>
          <bgColor rgb="FF000000"/>
        </patternFill>
      </fill>
    </dxf>
    <dxf>
      <fill>
        <patternFill patternType="solid">
          <fgColor rgb="FFF9DECC"/>
          <bgColor rgb="FF000000"/>
        </patternFill>
      </fill>
    </dxf>
    <dxf>
      <fill>
        <patternFill patternType="solid">
          <fgColor rgb="FFF9F0CD"/>
          <bgColor rgb="FF000000"/>
        </patternFill>
      </fill>
    </dxf>
    <dxf>
      <fill>
        <patternFill patternType="solid">
          <fgColor rgb="FFF9F0CE"/>
          <bgColor rgb="FF000000"/>
        </patternFill>
      </fill>
    </dxf>
    <dxf>
      <fill>
        <patternFill patternType="solid">
          <fgColor rgb="FFFADECC"/>
          <bgColor rgb="FF000000"/>
        </patternFill>
      </fill>
    </dxf>
    <dxf>
      <fill>
        <patternFill patternType="solid">
          <fgColor rgb="FFFADFCC"/>
          <bgColor rgb="FF000000"/>
        </patternFill>
      </fill>
    </dxf>
    <dxf>
      <fill>
        <patternFill patternType="solid">
          <fgColor rgb="FFFAE0CC"/>
          <bgColor rgb="FF000000"/>
        </patternFill>
      </fill>
    </dxf>
    <dxf>
      <fill>
        <patternFill patternType="solid">
          <fgColor rgb="FFFAE1CC"/>
          <bgColor rgb="FF000000"/>
        </patternFill>
      </fill>
    </dxf>
    <dxf>
      <fill>
        <patternFill patternType="solid">
          <fgColor rgb="FFFAF1CD"/>
          <bgColor rgb="FF000000"/>
        </patternFill>
      </fill>
    </dxf>
    <dxf>
      <fill>
        <patternFill patternType="solid">
          <fgColor rgb="FFFBE1CC"/>
          <bgColor rgb="FF000000"/>
        </patternFill>
      </fill>
    </dxf>
    <dxf>
      <fill>
        <patternFill patternType="solid">
          <fgColor rgb="FFFBE2CC"/>
          <bgColor rgb="FF000000"/>
        </patternFill>
      </fill>
    </dxf>
    <dxf>
      <fill>
        <patternFill patternType="solid">
          <fgColor rgb="FFFBE3CC"/>
          <bgColor rgb="FF000000"/>
        </patternFill>
      </fill>
    </dxf>
    <dxf>
      <fill>
        <patternFill patternType="solid">
          <fgColor rgb="FFFBE4CC"/>
          <bgColor rgb="FF000000"/>
        </patternFill>
      </fill>
    </dxf>
    <dxf>
      <fill>
        <patternFill patternType="solid">
          <fgColor rgb="FFFBE5CC"/>
          <bgColor rgb="FF000000"/>
        </patternFill>
      </fill>
    </dxf>
    <dxf>
      <fill>
        <patternFill patternType="solid">
          <fgColor rgb="FFFBF1CD"/>
          <bgColor rgb="FF000000"/>
        </patternFill>
      </fill>
    </dxf>
    <dxf>
      <fill>
        <patternFill patternType="solid">
          <fgColor rgb="FFFCE5CC"/>
          <bgColor rgb="FF000000"/>
        </patternFill>
      </fill>
    </dxf>
    <dxf>
      <fill>
        <patternFill patternType="solid">
          <fgColor rgb="FFFCE6CC"/>
          <bgColor rgb="FF000000"/>
        </patternFill>
      </fill>
    </dxf>
    <dxf>
      <fill>
        <patternFill patternType="solid">
          <fgColor rgb="FFFCE7CC"/>
          <bgColor rgb="FF000000"/>
        </patternFill>
      </fill>
    </dxf>
    <dxf>
      <fill>
        <patternFill patternType="solid">
          <fgColor rgb="FFFCE8CC"/>
          <bgColor rgb="FF000000"/>
        </patternFill>
      </fill>
    </dxf>
    <dxf>
      <fill>
        <patternFill patternType="solid">
          <fgColor rgb="FFFCF1CD"/>
          <bgColor rgb="FF000000"/>
        </patternFill>
      </fill>
    </dxf>
    <dxf>
      <fill>
        <patternFill patternType="solid">
          <fgColor rgb="FFFDE8CC"/>
          <bgColor rgb="FF000000"/>
        </patternFill>
      </fill>
    </dxf>
    <dxf>
      <fill>
        <patternFill patternType="solid">
          <fgColor rgb="FFFDE9CC"/>
          <bgColor rgb="FF000000"/>
        </patternFill>
      </fill>
    </dxf>
    <dxf>
      <fill>
        <patternFill patternType="solid">
          <fgColor rgb="FFFDEACC"/>
          <bgColor rgb="FF000000"/>
        </patternFill>
      </fill>
    </dxf>
    <dxf>
      <fill>
        <patternFill patternType="solid">
          <fgColor rgb="FFFDEBCC"/>
          <bgColor rgb="FF000000"/>
        </patternFill>
      </fill>
    </dxf>
    <dxf>
      <fill>
        <patternFill patternType="solid">
          <fgColor rgb="FFFDF1CD"/>
          <bgColor rgb="FF000000"/>
        </patternFill>
      </fill>
    </dxf>
    <dxf>
      <fill>
        <patternFill patternType="solid">
          <fgColor rgb="FFFEECCC"/>
          <bgColor rgb="FF000000"/>
        </patternFill>
      </fill>
    </dxf>
    <dxf>
      <fill>
        <patternFill patternType="solid">
          <fgColor rgb="FFFEEDCC"/>
          <bgColor rgb="FF000000"/>
        </patternFill>
      </fill>
    </dxf>
    <dxf>
      <fill>
        <patternFill patternType="solid">
          <fgColor rgb="FFFEEECC"/>
          <bgColor rgb="FF000000"/>
        </patternFill>
      </fill>
    </dxf>
    <dxf>
      <fill>
        <patternFill patternType="solid">
          <fgColor rgb="FFFEEFCC"/>
          <bgColor rgb="FF000000"/>
        </patternFill>
      </fill>
    </dxf>
    <dxf>
      <fill>
        <patternFill patternType="solid">
          <fgColor rgb="FFFEF1CD"/>
          <bgColor rgb="FF000000"/>
        </patternFill>
      </fill>
    </dxf>
    <dxf>
      <fill>
        <patternFill patternType="solid">
          <fgColor rgb="FFFFEFCC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F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Dashboard!$D$4:$D$8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Dashboard!$E$4:$E$8</c:f>
              <c:numCache>
                <c:formatCode>\$#,##0</c:formatCode>
                <c:ptCount val="5"/>
                <c:pt idx="0">
                  <c:v>1640577.6595</c:v>
                </c:pt>
                <c:pt idx="1">
                  <c:v>1471191.2562</c:v>
                </c:pt>
                <c:pt idx="2">
                  <c:v>1972546.5584</c:v>
                </c:pt>
                <c:pt idx="3">
                  <c:v>1563424.1756</c:v>
                </c:pt>
                <c:pt idx="4">
                  <c:v>1494584.5203</c:v>
                </c:pt>
              </c:numCache>
            </c:numRef>
          </c:val>
        </c:ser>
        <c:gapWidth val="150"/>
        <c:overlap val="0"/>
        <c:axId val="62489176"/>
        <c:axId val="71231264"/>
      </c:barChart>
      <c:catAx>
        <c:axId val="6248917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231264"/>
        <c:crosses val="autoZero"/>
        <c:auto val="1"/>
        <c:lblAlgn val="ctr"/>
        <c:lblOffset val="100"/>
        <c:noMultiLvlLbl val="0"/>
      </c:catAx>
      <c:valAx>
        <c:axId val="7123126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4891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Projects and Tickets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"Projects"</c:f>
              <c:strCache>
                <c:ptCount val="1"/>
                <c:pt idx="0">
                  <c:v>Projects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Dashboard!$A$13:$A$16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45</c:v>
                </c:pt>
                <c:pt idx="1">
                  <c:v>57</c:v>
                </c:pt>
                <c:pt idx="2">
                  <c:v>35</c:v>
                </c:pt>
                <c:pt idx="3">
                  <c:v>63</c:v>
                </c:pt>
              </c:numCache>
            </c:numRef>
          </c:val>
        </c:ser>
        <c:ser>
          <c:idx val="1"/>
          <c:order val="1"/>
          <c:tx>
            <c:strRef>
              <c:f>"Tickets"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Dashboard!$A$13:$A$16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Dashboard!$C$13:$C$16</c:f>
              <c:numCache>
                <c:formatCode>General</c:formatCode>
                <c:ptCount val="4"/>
                <c:pt idx="0">
                  <c:v>189</c:v>
                </c:pt>
                <c:pt idx="1">
                  <c:v>173</c:v>
                </c:pt>
                <c:pt idx="2">
                  <c:v>155</c:v>
                </c:pt>
                <c:pt idx="3">
                  <c:v>183</c:v>
                </c:pt>
              </c:numCache>
            </c:numRef>
          </c:val>
        </c:ser>
        <c:gapWidth val="150"/>
        <c:overlap val="0"/>
        <c:axId val="19635546"/>
        <c:axId val="64000437"/>
      </c:barChart>
      <c:catAx>
        <c:axId val="1963554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000437"/>
        <c:crosses val="autoZero"/>
        <c:auto val="1"/>
        <c:lblAlgn val="ctr"/>
        <c:lblOffset val="100"/>
        <c:noMultiLvlLbl val="0"/>
      </c:catAx>
      <c:valAx>
        <c:axId val="6400043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6355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13</xdr:col>
      <xdr:colOff>687240</xdr:colOff>
      <xdr:row>17</xdr:row>
      <xdr:rowOff>189720</xdr:rowOff>
    </xdr:to>
    <xdr:graphicFrame>
      <xdr:nvGraphicFramePr>
        <xdr:cNvPr id="0" name="Chart"/>
        <xdr:cNvGraphicFramePr/>
      </xdr:nvGraphicFramePr>
      <xdr:xfrm>
        <a:off x="7680960" y="622440"/>
        <a:ext cx="6685920" cy="304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687240</xdr:colOff>
      <xdr:row>34</xdr:row>
      <xdr:rowOff>189720</xdr:rowOff>
    </xdr:to>
    <xdr:graphicFrame>
      <xdr:nvGraphicFramePr>
        <xdr:cNvPr id="1" name="Chart"/>
        <xdr:cNvGraphicFramePr/>
      </xdr:nvGraphicFramePr>
      <xdr:xfrm>
        <a:off x="7680960" y="3860640"/>
        <a:ext cx="668592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ustomersTable" displayName="CustomersTable" ref="A1:G501" headerRowCount="1" totalsRowCount="0" totalsRowShown="0">
  <tableColumns count="7">
    <tableColumn id="1" name="Customer ID"/>
    <tableColumn id="2" name="Customer Name"/>
    <tableColumn id="3" name="Region"/>
    <tableColumn id="4" name="Segment"/>
    <tableColumn id="5" name="Signup Date"/>
    <tableColumn id="6" name="Account Manager"/>
    <tableColumn id="7" name="Risk Score"/>
  </tableColumns>
</table>
</file>

<file path=xl/tables/table2.xml><?xml version="1.0" encoding="utf-8"?>
<table xmlns="http://schemas.openxmlformats.org/spreadsheetml/2006/main" id="2" name="EmployeesTable" displayName="EmployeesTable" ref="A1:I251" headerRowCount="1" totalsRowCount="0" totalsRowShown="0">
  <tableColumns count="9">
    <tableColumn id="1" name="Employee ID"/>
    <tableColumn id="2" name="Name"/>
    <tableColumn id="3" name="Department"/>
    <tableColumn id="4" name="Role"/>
    <tableColumn id="5" name="Manager"/>
    <tableColumn id="6" name="Hire Date"/>
    <tableColumn id="7" name="Salary"/>
    <tableColumn id="8" name="Performance Rating"/>
    <tableColumn id="9" name="Location"/>
  </tableColumns>
</table>
</file>

<file path=xl/tables/table3.xml><?xml version="1.0" encoding="utf-8"?>
<table xmlns="http://schemas.openxmlformats.org/spreadsheetml/2006/main" id="3" name="FinanceTable" displayName="FinanceTable" ref="A1:G37" headerRowCount="1" totalsRowCount="0" totalsRowShown="0">
  <tableColumns count="7">
    <tableColumn id="1" name="Month"/>
    <tableColumn id="2" name="Revenue"/>
    <tableColumn id="3" name="COGS"/>
    <tableColumn id="4" name="Gross Profit"/>
    <tableColumn id="5" name="Operating Expense"/>
    <tableColumn id="6" name="EBITDA"/>
    <tableColumn id="7" name="Cash Balance"/>
  </tableColumns>
</table>
</file>

<file path=xl/tables/table4.xml><?xml version="1.0" encoding="utf-8"?>
<table xmlns="http://schemas.openxmlformats.org/spreadsheetml/2006/main" id="4" name="InventoryTable" displayName="InventoryTable" ref="A1:H501" headerRowCount="1" totalsRowCount="0" totalsRowShown="0">
  <tableColumns count="8">
    <tableColumn id="1" name="SKU"/>
    <tableColumn id="2" name="Product ID"/>
    <tableColumn id="3" name="Warehouse"/>
    <tableColumn id="4" name="On Hand"/>
    <tableColumn id="5" name="Reorder Point"/>
    <tableColumn id="6" name="Unit Cost"/>
    <tableColumn id="7" name="Inventory Value"/>
    <tableColumn id="8" name="Status"/>
  </tableColumns>
</table>
</file>

<file path=xl/tables/table5.xml><?xml version="1.0" encoding="utf-8"?>
<table xmlns="http://schemas.openxmlformats.org/spreadsheetml/2006/main" id="5" name="MarketingTable" displayName="MarketingTable" ref="A1:H366" headerRowCount="1" totalsRowCount="0" totalsRowShown="0">
  <tableColumns count="8">
    <tableColumn id="1" name="Date"/>
    <tableColumn id="2" name="Campaign"/>
    <tableColumn id="3" name="Channel"/>
    <tableColumn id="4" name="Spend"/>
    <tableColumn id="5" name="Leads"/>
    <tableColumn id="6" name="Conversions"/>
    <tableColumn id="7" name="Cost / Lead"/>
    <tableColumn id="8" name="Conversion Rate"/>
  </tableColumns>
</table>
</file>

<file path=xl/tables/table6.xml><?xml version="1.0" encoding="utf-8"?>
<table xmlns="http://schemas.openxmlformats.org/spreadsheetml/2006/main" id="6" name="OperationsTable" displayName="OperationsTable" ref="A1:H501" headerRowCount="1" totalsRowCount="0" totalsRowShown="0">
  <tableColumns count="8">
    <tableColumn id="1" name="Date"/>
    <tableColumn id="2" name="Facility"/>
    <tableColumn id="3" name="Shift"/>
    <tableColumn id="4" name="Units Produced"/>
    <tableColumn id="5" name="Defects"/>
    <tableColumn id="6" name="Defect Rate"/>
    <tableColumn id="7" name="Downtime Minutes"/>
    <tableColumn id="8" name="Labor Hours"/>
  </tableColumns>
</table>
</file>

<file path=xl/tables/table7.xml><?xml version="1.0" encoding="utf-8"?>
<table xmlns="http://schemas.openxmlformats.org/spreadsheetml/2006/main" id="7" name="ProductsTable" displayName="ProductsTable" ref="A1:G201" headerRowCount="1" totalsRowCount="0" totalsRowShown="0">
  <tableColumns count="7">
    <tableColumn id="1" name="Product ID"/>
    <tableColumn id="2" name="Product Name"/>
    <tableColumn id="3" name="Category"/>
    <tableColumn id="4" name="Unit Price"/>
    <tableColumn id="5" name="Unit Cost"/>
    <tableColumn id="6" name="Launch Date"/>
    <tableColumn id="7" name="Active"/>
  </tableColumns>
</table>
</file>

<file path=xl/tables/table8.xml><?xml version="1.0" encoding="utf-8"?>
<table xmlns="http://schemas.openxmlformats.org/spreadsheetml/2006/main" id="8" name="ProjectsTable" displayName="ProjectsTable" ref="A1:L201" headerRowCount="1" totalsRowCount="0" totalsRowShown="0">
  <tableColumns count="12">
    <tableColumn id="1" name="Project ID"/>
    <tableColumn id="2" name="Project Name"/>
    <tableColumn id="3" name="Department"/>
    <tableColumn id="4" name="Owner"/>
    <tableColumn id="5" name="Priority"/>
    <tableColumn id="6" name="Status"/>
    <tableColumn id="7" name="Start Date"/>
    <tableColumn id="8" name="Due Date"/>
    <tableColumn id="9" name="Budget"/>
    <tableColumn id="10" name="Spend"/>
    <tableColumn id="11" name="Variance"/>
    <tableColumn id="12" name="Completion %"/>
  </tableColumns>
</table>
</file>

<file path=xl/tables/table9.xml><?xml version="1.0" encoding="utf-8"?>
<table xmlns="http://schemas.openxmlformats.org/spreadsheetml/2006/main" id="9" name="ReadmeTable" displayName="ReadmeTable" ref="A3:D15" headerRowCount="1" totalsRowCount="0" totalsRowShown="0">
  <tableColumns count="4">
    <tableColumn id="1" name="Sheet"/>
    <tableColumn id="2" name="Purpose"/>
    <tableColumn id="3" name="Rows"/>
    <tableColumn id="4" name="Notes"/>
  </tableColumns>
</table>
</file>

<file path=xl/tables/table10.xml><?xml version="1.0" encoding="utf-8"?>
<table xmlns="http://schemas.openxmlformats.org/spreadsheetml/2006/main" id="10" name="SalesTable" displayName="SalesTable" ref="A1:L1001" headerRowCount="1" totalsRowCount="0" totalsRowShown="0">
  <tableColumns count="12">
    <tableColumn id="1" name="Order ID"/>
    <tableColumn id="2" name="Order Date"/>
    <tableColumn id="3" name="Customer ID"/>
    <tableColumn id="4" name="Product ID"/>
    <tableColumn id="5" name="Region"/>
    <tableColumn id="6" name="Channel"/>
    <tableColumn id="7" name="Quantity"/>
    <tableColumn id="8" name="Unit Price"/>
    <tableColumn id="9" name="Unit Cost"/>
    <tableColumn id="10" name="Discount"/>
    <tableColumn id="11" name="Revenue"/>
    <tableColumn id="12" name="Profit"/>
  </tableColumns>
</table>
</file>

<file path=xl/tables/table11.xml><?xml version="1.0" encoding="utf-8"?>
<table xmlns="http://schemas.openxmlformats.org/spreadsheetml/2006/main" id="11" name="TicketsTable" displayName="TicketsTable" ref="A1:J701" headerRowCount="1" totalsRowCount="0" totalsRowShown="0">
  <tableColumns count="10">
    <tableColumn id="1" name="Ticket ID"/>
    <tableColumn id="2" name="Created Date"/>
    <tableColumn id="3" name="Customer ID"/>
    <tableColumn id="4" name="Category"/>
    <tableColumn id="5" name="Priority"/>
    <tableColumn id="6" name="Status"/>
    <tableColumn id="7" name="Assigned To"/>
    <tableColumn id="8" name="First Response Hrs"/>
    <tableColumn id="9" name="Resolution Hrs"/>
    <tableColumn id="10" name="Satisfactio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18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customFormat="false" ht="1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customFormat="false" ht="15" hidden="false" customHeight="false" outlineLevel="0" collapsed="false">
      <c r="A6" s="1" t="s">
        <v>30</v>
      </c>
      <c r="C6" s="1" t="s">
        <v>31</v>
      </c>
      <c r="F6" s="1" t="s">
        <v>32</v>
      </c>
    </row>
    <row r="7" customFormat="false" ht="15" hidden="false" customHeight="false" outlineLevel="0" collapsed="false">
      <c r="F7" s="1" t="s">
        <v>33</v>
      </c>
    </row>
    <row r="8" customFormat="false" ht="15" hidden="false" customHeight="false" outlineLevel="0" collapsed="false">
      <c r="F8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2" min="2" style="1" width="27.24"/>
    <col collapsed="false" customWidth="true" hidden="false" outlineLevel="0" max="3" min="3" style="1" width="18.16"/>
    <col collapsed="false" customWidth="true" hidden="false" outlineLevel="0" max="4" min="4" style="1" width="9.08"/>
    <col collapsed="false" customWidth="true" hidden="false" outlineLevel="0" max="5" min="5" style="1" width="8.51"/>
    <col collapsed="false" customWidth="true" hidden="false" outlineLevel="0" max="6" min="6" style="1" width="11.35"/>
    <col collapsed="false" customWidth="true" hidden="false" outlineLevel="0" max="7" min="7" style="1" width="5.97"/>
  </cols>
  <sheetData>
    <row r="1" customFormat="false" ht="28" hidden="false" customHeight="true" outlineLevel="0" collapsed="false">
      <c r="A1" s="3" t="s">
        <v>34</v>
      </c>
      <c r="B1" s="3" t="s">
        <v>35</v>
      </c>
      <c r="C1" s="3" t="s">
        <v>2</v>
      </c>
      <c r="D1" s="3" t="s">
        <v>36</v>
      </c>
      <c r="E1" s="3" t="s">
        <v>37</v>
      </c>
      <c r="F1" s="3" t="s">
        <v>38</v>
      </c>
      <c r="G1" s="3" t="s">
        <v>39</v>
      </c>
    </row>
    <row r="2" customFormat="false" ht="15" hidden="false" customHeight="false" outlineLevel="0" collapsed="false">
      <c r="A2" s="4" t="s">
        <v>40</v>
      </c>
      <c r="B2" s="4" t="s">
        <v>41</v>
      </c>
      <c r="C2" s="4" t="s">
        <v>8</v>
      </c>
      <c r="D2" s="5" t="n">
        <v>54.39</v>
      </c>
      <c r="E2" s="5" t="n">
        <v>25.02</v>
      </c>
      <c r="F2" s="6" t="n">
        <v>44654</v>
      </c>
      <c r="G2" s="7" t="b">
        <f aca="false">TRUE()</f>
        <v>1</v>
      </c>
    </row>
    <row r="3" customFormat="false" ht="15" hidden="false" customHeight="false" outlineLevel="0" collapsed="false">
      <c r="A3" s="4" t="s">
        <v>42</v>
      </c>
      <c r="B3" s="4" t="s">
        <v>43</v>
      </c>
      <c r="C3" s="4" t="s">
        <v>8</v>
      </c>
      <c r="D3" s="5" t="n">
        <v>820.12</v>
      </c>
      <c r="E3" s="5" t="n">
        <v>579.72</v>
      </c>
      <c r="F3" s="6" t="n">
        <v>44375</v>
      </c>
      <c r="G3" s="7" t="b">
        <f aca="false">FALSE()</f>
        <v>0</v>
      </c>
    </row>
    <row r="4" customFormat="false" ht="15" hidden="false" customHeight="false" outlineLevel="0" collapsed="false">
      <c r="A4" s="4" t="s">
        <v>44</v>
      </c>
      <c r="B4" s="4" t="s">
        <v>45</v>
      </c>
      <c r="C4" s="4" t="s">
        <v>8</v>
      </c>
      <c r="D4" s="5" t="n">
        <v>60.01</v>
      </c>
      <c r="E4" s="5" t="n">
        <v>26.25</v>
      </c>
      <c r="F4" s="6" t="n">
        <v>45231</v>
      </c>
      <c r="G4" s="7" t="b">
        <f aca="false">TRUE()</f>
        <v>1</v>
      </c>
    </row>
    <row r="5" customFormat="false" ht="15" hidden="false" customHeight="false" outlineLevel="0" collapsed="false">
      <c r="A5" s="4" t="s">
        <v>46</v>
      </c>
      <c r="B5" s="4" t="s">
        <v>47</v>
      </c>
      <c r="C5" s="4" t="s">
        <v>31</v>
      </c>
      <c r="D5" s="5" t="n">
        <v>258.63</v>
      </c>
      <c r="E5" s="5" t="n">
        <v>157.75</v>
      </c>
      <c r="F5" s="6" t="n">
        <v>45313</v>
      </c>
      <c r="G5" s="7" t="b">
        <f aca="false">FALSE()</f>
        <v>0</v>
      </c>
    </row>
    <row r="6" customFormat="false" ht="15" hidden="false" customHeight="false" outlineLevel="0" collapsed="false">
      <c r="A6" s="4" t="s">
        <v>48</v>
      </c>
      <c r="B6" s="4" t="s">
        <v>49</v>
      </c>
      <c r="C6" s="4" t="s">
        <v>14</v>
      </c>
      <c r="D6" s="5" t="n">
        <v>552.82</v>
      </c>
      <c r="E6" s="5" t="n">
        <v>255</v>
      </c>
      <c r="F6" s="6" t="n">
        <v>45977</v>
      </c>
      <c r="G6" s="7" t="b">
        <f aca="false">TRUE()</f>
        <v>1</v>
      </c>
    </row>
    <row r="7" customFormat="false" ht="15" hidden="false" customHeight="false" outlineLevel="0" collapsed="false">
      <c r="A7" s="4" t="s">
        <v>50</v>
      </c>
      <c r="B7" s="4" t="s">
        <v>51</v>
      </c>
      <c r="C7" s="4" t="s">
        <v>14</v>
      </c>
      <c r="D7" s="5" t="n">
        <v>845.31</v>
      </c>
      <c r="E7" s="5" t="n">
        <v>410.91</v>
      </c>
      <c r="F7" s="6" t="n">
        <v>44515</v>
      </c>
      <c r="G7" s="7" t="b">
        <f aca="false">TRUE()</f>
        <v>1</v>
      </c>
    </row>
    <row r="8" customFormat="false" ht="15" hidden="false" customHeight="false" outlineLevel="0" collapsed="false">
      <c r="A8" s="4" t="s">
        <v>52</v>
      </c>
      <c r="B8" s="4" t="s">
        <v>53</v>
      </c>
      <c r="C8" s="4" t="s">
        <v>20</v>
      </c>
      <c r="D8" s="5" t="n">
        <v>145.1</v>
      </c>
      <c r="E8" s="5" t="n">
        <v>72.84</v>
      </c>
      <c r="F8" s="6" t="n">
        <v>44932</v>
      </c>
      <c r="G8" s="7" t="b">
        <f aca="false">TRUE()</f>
        <v>1</v>
      </c>
    </row>
    <row r="9" customFormat="false" ht="15" hidden="false" customHeight="false" outlineLevel="0" collapsed="false">
      <c r="A9" s="4" t="s">
        <v>54</v>
      </c>
      <c r="B9" s="4" t="s">
        <v>55</v>
      </c>
      <c r="C9" s="4" t="s">
        <v>31</v>
      </c>
      <c r="D9" s="5" t="n">
        <v>335.81</v>
      </c>
      <c r="E9" s="5" t="n">
        <v>123.37</v>
      </c>
      <c r="F9" s="6" t="n">
        <v>45137</v>
      </c>
      <c r="G9" s="7" t="b">
        <f aca="false">TRUE()</f>
        <v>1</v>
      </c>
    </row>
    <row r="10" customFormat="false" ht="15" hidden="false" customHeight="false" outlineLevel="0" collapsed="false">
      <c r="A10" s="4" t="s">
        <v>56</v>
      </c>
      <c r="B10" s="4" t="s">
        <v>57</v>
      </c>
      <c r="C10" s="4" t="s">
        <v>26</v>
      </c>
      <c r="D10" s="5" t="n">
        <v>117.59</v>
      </c>
      <c r="E10" s="5" t="n">
        <v>54.95</v>
      </c>
      <c r="F10" s="6" t="n">
        <v>45484</v>
      </c>
      <c r="G10" s="7" t="b">
        <f aca="false">TRUE()</f>
        <v>1</v>
      </c>
    </row>
    <row r="11" customFormat="false" ht="15" hidden="false" customHeight="false" outlineLevel="0" collapsed="false">
      <c r="A11" s="4" t="s">
        <v>58</v>
      </c>
      <c r="B11" s="4" t="s">
        <v>59</v>
      </c>
      <c r="C11" s="4" t="s">
        <v>31</v>
      </c>
      <c r="D11" s="5" t="n">
        <v>250.94</v>
      </c>
      <c r="E11" s="5" t="n">
        <v>94.81</v>
      </c>
      <c r="F11" s="6" t="n">
        <v>45551</v>
      </c>
      <c r="G11" s="7" t="b">
        <f aca="false">TRUE()</f>
        <v>1</v>
      </c>
    </row>
    <row r="12" customFormat="false" ht="15" hidden="false" customHeight="false" outlineLevel="0" collapsed="false">
      <c r="A12" s="4" t="s">
        <v>60</v>
      </c>
      <c r="B12" s="4" t="s">
        <v>61</v>
      </c>
      <c r="C12" s="4" t="s">
        <v>20</v>
      </c>
      <c r="D12" s="5" t="n">
        <v>1182.64</v>
      </c>
      <c r="E12" s="5" t="n">
        <v>818.54</v>
      </c>
      <c r="F12" s="6" t="n">
        <v>45971</v>
      </c>
      <c r="G12" s="7" t="b">
        <f aca="false">TRUE()</f>
        <v>1</v>
      </c>
    </row>
    <row r="13" customFormat="false" ht="15" hidden="false" customHeight="false" outlineLevel="0" collapsed="false">
      <c r="A13" s="4" t="s">
        <v>62</v>
      </c>
      <c r="B13" s="4" t="s">
        <v>63</v>
      </c>
      <c r="C13" s="4" t="s">
        <v>26</v>
      </c>
      <c r="D13" s="5" t="n">
        <v>351.62</v>
      </c>
      <c r="E13" s="5" t="n">
        <v>212.47</v>
      </c>
      <c r="F13" s="6" t="n">
        <v>44944</v>
      </c>
      <c r="G13" s="7" t="b">
        <f aca="false">TRUE()</f>
        <v>1</v>
      </c>
    </row>
    <row r="14" customFormat="false" ht="15" hidden="false" customHeight="false" outlineLevel="0" collapsed="false">
      <c r="A14" s="4" t="s">
        <v>64</v>
      </c>
      <c r="B14" s="4" t="s">
        <v>65</v>
      </c>
      <c r="C14" s="4" t="s">
        <v>20</v>
      </c>
      <c r="D14" s="5" t="n">
        <v>442.44</v>
      </c>
      <c r="E14" s="5" t="n">
        <v>273.46</v>
      </c>
      <c r="F14" s="6" t="n">
        <v>45634</v>
      </c>
      <c r="G14" s="7" t="b">
        <f aca="false">TRUE()</f>
        <v>1</v>
      </c>
    </row>
    <row r="15" customFormat="false" ht="15" hidden="false" customHeight="false" outlineLevel="0" collapsed="false">
      <c r="A15" s="4" t="s">
        <v>66</v>
      </c>
      <c r="B15" s="4" t="s">
        <v>67</v>
      </c>
      <c r="C15" s="4" t="s">
        <v>31</v>
      </c>
      <c r="D15" s="5" t="n">
        <v>771.1</v>
      </c>
      <c r="E15" s="5" t="n">
        <v>434.64</v>
      </c>
      <c r="F15" s="6" t="n">
        <v>44698</v>
      </c>
      <c r="G15" s="7" t="b">
        <f aca="false">TRUE()</f>
        <v>1</v>
      </c>
    </row>
    <row r="16" customFormat="false" ht="15" hidden="false" customHeight="false" outlineLevel="0" collapsed="false">
      <c r="A16" s="4" t="s">
        <v>68</v>
      </c>
      <c r="B16" s="4" t="s">
        <v>69</v>
      </c>
      <c r="C16" s="4" t="s">
        <v>26</v>
      </c>
      <c r="D16" s="5" t="n">
        <v>470.86</v>
      </c>
      <c r="E16" s="5" t="n">
        <v>351.17</v>
      </c>
      <c r="F16" s="6" t="n">
        <v>45507</v>
      </c>
      <c r="G16" s="7" t="b">
        <f aca="false">TRUE()</f>
        <v>1</v>
      </c>
    </row>
    <row r="17" customFormat="false" ht="15" hidden="false" customHeight="false" outlineLevel="0" collapsed="false">
      <c r="A17" s="4" t="s">
        <v>70</v>
      </c>
      <c r="B17" s="4" t="s">
        <v>71</v>
      </c>
      <c r="C17" s="4" t="s">
        <v>20</v>
      </c>
      <c r="D17" s="5" t="n">
        <v>1015.35</v>
      </c>
      <c r="E17" s="5" t="n">
        <v>670.54</v>
      </c>
      <c r="F17" s="6" t="n">
        <v>44666</v>
      </c>
      <c r="G17" s="7" t="b">
        <f aca="false">TRUE()</f>
        <v>1</v>
      </c>
    </row>
    <row r="18" customFormat="false" ht="15" hidden="false" customHeight="false" outlineLevel="0" collapsed="false">
      <c r="A18" s="4" t="s">
        <v>72</v>
      </c>
      <c r="B18" s="4" t="s">
        <v>73</v>
      </c>
      <c r="C18" s="4" t="s">
        <v>20</v>
      </c>
      <c r="D18" s="5" t="n">
        <v>496.37</v>
      </c>
      <c r="E18" s="5" t="n">
        <v>186.87</v>
      </c>
      <c r="F18" s="6" t="n">
        <v>45358</v>
      </c>
      <c r="G18" s="7" t="b">
        <f aca="false">TRUE()</f>
        <v>1</v>
      </c>
    </row>
    <row r="19" customFormat="false" ht="15" hidden="false" customHeight="false" outlineLevel="0" collapsed="false">
      <c r="A19" s="4" t="s">
        <v>74</v>
      </c>
      <c r="B19" s="4" t="s">
        <v>75</v>
      </c>
      <c r="C19" s="4" t="s">
        <v>14</v>
      </c>
      <c r="D19" s="5" t="n">
        <v>795.14</v>
      </c>
      <c r="E19" s="5" t="n">
        <v>404.13</v>
      </c>
      <c r="F19" s="6" t="n">
        <v>45513</v>
      </c>
      <c r="G19" s="7" t="b">
        <f aca="false">FALSE()</f>
        <v>0</v>
      </c>
    </row>
    <row r="20" customFormat="false" ht="15" hidden="false" customHeight="false" outlineLevel="0" collapsed="false">
      <c r="A20" s="4" t="s">
        <v>76</v>
      </c>
      <c r="B20" s="4" t="s">
        <v>77</v>
      </c>
      <c r="C20" s="4" t="s">
        <v>14</v>
      </c>
      <c r="D20" s="5" t="n">
        <v>336.23</v>
      </c>
      <c r="E20" s="5" t="n">
        <v>150.85</v>
      </c>
      <c r="F20" s="6" t="n">
        <v>45346</v>
      </c>
      <c r="G20" s="7" t="b">
        <f aca="false">TRUE()</f>
        <v>1</v>
      </c>
    </row>
    <row r="21" customFormat="false" ht="15" hidden="false" customHeight="false" outlineLevel="0" collapsed="false">
      <c r="A21" s="4" t="s">
        <v>78</v>
      </c>
      <c r="B21" s="4" t="s">
        <v>79</v>
      </c>
      <c r="C21" s="4" t="s">
        <v>31</v>
      </c>
      <c r="D21" s="5" t="n">
        <v>528.41</v>
      </c>
      <c r="E21" s="5" t="n">
        <v>308.28</v>
      </c>
      <c r="F21" s="6" t="n">
        <v>44938</v>
      </c>
      <c r="G21" s="7" t="b">
        <f aca="false">TRUE()</f>
        <v>1</v>
      </c>
    </row>
    <row r="22" customFormat="false" ht="15" hidden="false" customHeight="false" outlineLevel="0" collapsed="false">
      <c r="A22" s="4" t="s">
        <v>80</v>
      </c>
      <c r="B22" s="4" t="s">
        <v>81</v>
      </c>
      <c r="C22" s="4" t="s">
        <v>14</v>
      </c>
      <c r="D22" s="5" t="n">
        <v>623.69</v>
      </c>
      <c r="E22" s="5" t="n">
        <v>240.97</v>
      </c>
      <c r="F22" s="6" t="n">
        <v>44293</v>
      </c>
      <c r="G22" s="7" t="b">
        <f aca="false">TRUE()</f>
        <v>1</v>
      </c>
    </row>
    <row r="23" customFormat="false" ht="15" hidden="false" customHeight="false" outlineLevel="0" collapsed="false">
      <c r="A23" s="4" t="s">
        <v>82</v>
      </c>
      <c r="B23" s="4" t="s">
        <v>83</v>
      </c>
      <c r="C23" s="4" t="s">
        <v>14</v>
      </c>
      <c r="D23" s="5" t="n">
        <v>762.25</v>
      </c>
      <c r="E23" s="5" t="n">
        <v>508.29</v>
      </c>
      <c r="F23" s="6" t="n">
        <v>45061</v>
      </c>
      <c r="G23" s="7" t="b">
        <f aca="false">TRUE()</f>
        <v>1</v>
      </c>
    </row>
    <row r="24" customFormat="false" ht="15" hidden="false" customHeight="false" outlineLevel="0" collapsed="false">
      <c r="A24" s="4" t="s">
        <v>84</v>
      </c>
      <c r="B24" s="4" t="s">
        <v>85</v>
      </c>
      <c r="C24" s="4" t="s">
        <v>26</v>
      </c>
      <c r="D24" s="5" t="n">
        <v>473.4</v>
      </c>
      <c r="E24" s="5" t="n">
        <v>354.32</v>
      </c>
      <c r="F24" s="6" t="n">
        <v>45280</v>
      </c>
      <c r="G24" s="7" t="b">
        <f aca="false">TRUE()</f>
        <v>1</v>
      </c>
    </row>
    <row r="25" customFormat="false" ht="15" hidden="false" customHeight="false" outlineLevel="0" collapsed="false">
      <c r="A25" s="4" t="s">
        <v>86</v>
      </c>
      <c r="B25" s="4" t="s">
        <v>87</v>
      </c>
      <c r="C25" s="4" t="s">
        <v>31</v>
      </c>
      <c r="D25" s="5" t="n">
        <v>1036.42</v>
      </c>
      <c r="E25" s="5" t="n">
        <v>367.51</v>
      </c>
      <c r="F25" s="6" t="n">
        <v>45673</v>
      </c>
      <c r="G25" s="7" t="b">
        <f aca="false">TRUE()</f>
        <v>1</v>
      </c>
    </row>
    <row r="26" customFormat="false" ht="15" hidden="false" customHeight="false" outlineLevel="0" collapsed="false">
      <c r="A26" s="4" t="s">
        <v>88</v>
      </c>
      <c r="B26" s="4" t="s">
        <v>89</v>
      </c>
      <c r="C26" s="4" t="s">
        <v>31</v>
      </c>
      <c r="D26" s="5" t="n">
        <v>907.28</v>
      </c>
      <c r="E26" s="5" t="n">
        <v>596.48</v>
      </c>
      <c r="F26" s="6" t="n">
        <v>44893</v>
      </c>
      <c r="G26" s="7" t="b">
        <f aca="false">TRUE()</f>
        <v>1</v>
      </c>
    </row>
    <row r="27" customFormat="false" ht="15" hidden="false" customHeight="false" outlineLevel="0" collapsed="false">
      <c r="A27" s="4" t="s">
        <v>90</v>
      </c>
      <c r="B27" s="4" t="s">
        <v>91</v>
      </c>
      <c r="C27" s="4" t="s">
        <v>20</v>
      </c>
      <c r="D27" s="5" t="n">
        <v>535.85</v>
      </c>
      <c r="E27" s="5" t="n">
        <v>284.8</v>
      </c>
      <c r="F27" s="6" t="n">
        <v>45675</v>
      </c>
      <c r="G27" s="7" t="b">
        <f aca="false">TRUE()</f>
        <v>1</v>
      </c>
    </row>
    <row r="28" customFormat="false" ht="15" hidden="false" customHeight="false" outlineLevel="0" collapsed="false">
      <c r="A28" s="4" t="s">
        <v>92</v>
      </c>
      <c r="B28" s="4" t="s">
        <v>93</v>
      </c>
      <c r="C28" s="4" t="s">
        <v>31</v>
      </c>
      <c r="D28" s="5" t="n">
        <v>920.31</v>
      </c>
      <c r="E28" s="5" t="n">
        <v>509</v>
      </c>
      <c r="F28" s="6" t="n">
        <v>44414</v>
      </c>
      <c r="G28" s="7" t="b">
        <f aca="false">TRUE()</f>
        <v>1</v>
      </c>
    </row>
    <row r="29" customFormat="false" ht="15" hidden="false" customHeight="false" outlineLevel="0" collapsed="false">
      <c r="A29" s="4" t="s">
        <v>94</v>
      </c>
      <c r="B29" s="4" t="s">
        <v>95</v>
      </c>
      <c r="C29" s="4" t="s">
        <v>31</v>
      </c>
      <c r="D29" s="5" t="n">
        <v>740.54</v>
      </c>
      <c r="E29" s="5" t="n">
        <v>304.46</v>
      </c>
      <c r="F29" s="6" t="n">
        <v>45758</v>
      </c>
      <c r="G29" s="7" t="b">
        <f aca="false">TRUE()</f>
        <v>1</v>
      </c>
    </row>
    <row r="30" customFormat="false" ht="15" hidden="false" customHeight="false" outlineLevel="0" collapsed="false">
      <c r="A30" s="4" t="s">
        <v>96</v>
      </c>
      <c r="B30" s="4" t="s">
        <v>97</v>
      </c>
      <c r="C30" s="4" t="s">
        <v>31</v>
      </c>
      <c r="D30" s="5" t="n">
        <v>1145.36</v>
      </c>
      <c r="E30" s="5" t="n">
        <v>823.48</v>
      </c>
      <c r="F30" s="6" t="n">
        <v>44198</v>
      </c>
      <c r="G30" s="7" t="b">
        <f aca="false">TRUE()</f>
        <v>1</v>
      </c>
    </row>
    <row r="31" customFormat="false" ht="15" hidden="false" customHeight="false" outlineLevel="0" collapsed="false">
      <c r="A31" s="4" t="s">
        <v>98</v>
      </c>
      <c r="B31" s="4" t="s">
        <v>99</v>
      </c>
      <c r="C31" s="4" t="s">
        <v>26</v>
      </c>
      <c r="D31" s="5" t="n">
        <v>47.89</v>
      </c>
      <c r="E31" s="5" t="n">
        <v>34.56</v>
      </c>
      <c r="F31" s="6" t="n">
        <v>45996</v>
      </c>
      <c r="G31" s="7" t="b">
        <f aca="false">TRUE()</f>
        <v>1</v>
      </c>
    </row>
    <row r="32" customFormat="false" ht="15" hidden="false" customHeight="false" outlineLevel="0" collapsed="false">
      <c r="A32" s="4" t="s">
        <v>100</v>
      </c>
      <c r="B32" s="4" t="s">
        <v>101</v>
      </c>
      <c r="C32" s="4" t="s">
        <v>14</v>
      </c>
      <c r="D32" s="5" t="n">
        <v>93.06</v>
      </c>
      <c r="E32" s="5" t="n">
        <v>65.25</v>
      </c>
      <c r="F32" s="6" t="n">
        <v>44358</v>
      </c>
      <c r="G32" s="7" t="b">
        <f aca="false">TRUE()</f>
        <v>1</v>
      </c>
    </row>
    <row r="33" customFormat="false" ht="15" hidden="false" customHeight="false" outlineLevel="0" collapsed="false">
      <c r="A33" s="4" t="s">
        <v>102</v>
      </c>
      <c r="B33" s="4" t="s">
        <v>103</v>
      </c>
      <c r="C33" s="4" t="s">
        <v>26</v>
      </c>
      <c r="D33" s="5" t="n">
        <v>983.83</v>
      </c>
      <c r="E33" s="5" t="n">
        <v>729.21</v>
      </c>
      <c r="F33" s="6" t="n">
        <v>45287</v>
      </c>
      <c r="G33" s="7" t="b">
        <f aca="false">TRUE()</f>
        <v>1</v>
      </c>
    </row>
    <row r="34" customFormat="false" ht="15" hidden="false" customHeight="false" outlineLevel="0" collapsed="false">
      <c r="A34" s="4" t="s">
        <v>104</v>
      </c>
      <c r="B34" s="4" t="s">
        <v>105</v>
      </c>
      <c r="C34" s="4" t="s">
        <v>14</v>
      </c>
      <c r="D34" s="5" t="n">
        <v>800.21</v>
      </c>
      <c r="E34" s="5" t="n">
        <v>583.14</v>
      </c>
      <c r="F34" s="6" t="n">
        <v>44535</v>
      </c>
      <c r="G34" s="7" t="b">
        <f aca="false">TRUE()</f>
        <v>1</v>
      </c>
    </row>
    <row r="35" customFormat="false" ht="15" hidden="false" customHeight="false" outlineLevel="0" collapsed="false">
      <c r="A35" s="4" t="s">
        <v>106</v>
      </c>
      <c r="B35" s="4" t="s">
        <v>107</v>
      </c>
      <c r="C35" s="4" t="s">
        <v>31</v>
      </c>
      <c r="D35" s="5" t="n">
        <v>1050.11</v>
      </c>
      <c r="E35" s="5" t="n">
        <v>545.28</v>
      </c>
      <c r="F35" s="6" t="n">
        <v>44630</v>
      </c>
      <c r="G35" s="7" t="b">
        <f aca="false">TRUE()</f>
        <v>1</v>
      </c>
    </row>
    <row r="36" customFormat="false" ht="15" hidden="false" customHeight="false" outlineLevel="0" collapsed="false">
      <c r="A36" s="4" t="s">
        <v>108</v>
      </c>
      <c r="B36" s="4" t="s">
        <v>109</v>
      </c>
      <c r="C36" s="4" t="s">
        <v>20</v>
      </c>
      <c r="D36" s="5" t="n">
        <v>493.82</v>
      </c>
      <c r="E36" s="5" t="n">
        <v>305.51</v>
      </c>
      <c r="F36" s="6" t="n">
        <v>44961</v>
      </c>
      <c r="G36" s="7" t="b">
        <f aca="false">FALSE()</f>
        <v>0</v>
      </c>
    </row>
    <row r="37" customFormat="false" ht="15" hidden="false" customHeight="false" outlineLevel="0" collapsed="false">
      <c r="A37" s="4" t="s">
        <v>110</v>
      </c>
      <c r="B37" s="4" t="s">
        <v>111</v>
      </c>
      <c r="C37" s="4" t="s">
        <v>31</v>
      </c>
      <c r="D37" s="5" t="n">
        <v>555.5</v>
      </c>
      <c r="E37" s="5" t="n">
        <v>249.51</v>
      </c>
      <c r="F37" s="6" t="n">
        <v>44328</v>
      </c>
      <c r="G37" s="7" t="b">
        <f aca="false">TRUE()</f>
        <v>1</v>
      </c>
    </row>
    <row r="38" customFormat="false" ht="15" hidden="false" customHeight="false" outlineLevel="0" collapsed="false">
      <c r="A38" s="4" t="s">
        <v>112</v>
      </c>
      <c r="B38" s="4" t="s">
        <v>113</v>
      </c>
      <c r="C38" s="4" t="s">
        <v>8</v>
      </c>
      <c r="D38" s="5" t="n">
        <v>716.26</v>
      </c>
      <c r="E38" s="5" t="n">
        <v>316.62</v>
      </c>
      <c r="F38" s="6" t="n">
        <v>44648</v>
      </c>
      <c r="G38" s="7" t="b">
        <f aca="false">TRUE()</f>
        <v>1</v>
      </c>
    </row>
    <row r="39" customFormat="false" ht="15" hidden="false" customHeight="false" outlineLevel="0" collapsed="false">
      <c r="A39" s="4" t="s">
        <v>114</v>
      </c>
      <c r="B39" s="4" t="s">
        <v>115</v>
      </c>
      <c r="C39" s="4" t="s">
        <v>8</v>
      </c>
      <c r="D39" s="5" t="n">
        <v>856.71</v>
      </c>
      <c r="E39" s="5" t="n">
        <v>320.02</v>
      </c>
      <c r="F39" s="6" t="n">
        <v>44335</v>
      </c>
      <c r="G39" s="7" t="b">
        <f aca="false">TRUE()</f>
        <v>1</v>
      </c>
    </row>
    <row r="40" customFormat="false" ht="15" hidden="false" customHeight="false" outlineLevel="0" collapsed="false">
      <c r="A40" s="4" t="s">
        <v>116</v>
      </c>
      <c r="B40" s="4" t="s">
        <v>117</v>
      </c>
      <c r="C40" s="4" t="s">
        <v>20</v>
      </c>
      <c r="D40" s="5" t="n">
        <v>108.26</v>
      </c>
      <c r="E40" s="5" t="n">
        <v>48.2</v>
      </c>
      <c r="F40" s="6" t="n">
        <v>45567</v>
      </c>
      <c r="G40" s="7" t="b">
        <f aca="false">FALSE()</f>
        <v>0</v>
      </c>
    </row>
    <row r="41" customFormat="false" ht="15" hidden="false" customHeight="false" outlineLevel="0" collapsed="false">
      <c r="A41" s="4" t="s">
        <v>118</v>
      </c>
      <c r="B41" s="4" t="s">
        <v>119</v>
      </c>
      <c r="C41" s="4" t="s">
        <v>14</v>
      </c>
      <c r="D41" s="5" t="n">
        <v>658.6</v>
      </c>
      <c r="E41" s="5" t="n">
        <v>421.07</v>
      </c>
      <c r="F41" s="6" t="n">
        <v>45366</v>
      </c>
      <c r="G41" s="7" t="b">
        <f aca="false">FALSE()</f>
        <v>0</v>
      </c>
    </row>
    <row r="42" customFormat="false" ht="15" hidden="false" customHeight="false" outlineLevel="0" collapsed="false">
      <c r="A42" s="4" t="s">
        <v>120</v>
      </c>
      <c r="B42" s="4" t="s">
        <v>121</v>
      </c>
      <c r="C42" s="4" t="s">
        <v>14</v>
      </c>
      <c r="D42" s="5" t="n">
        <v>946.93</v>
      </c>
      <c r="E42" s="5" t="n">
        <v>637.28</v>
      </c>
      <c r="F42" s="6" t="n">
        <v>44586</v>
      </c>
      <c r="G42" s="7" t="b">
        <f aca="false">TRUE()</f>
        <v>1</v>
      </c>
    </row>
    <row r="43" customFormat="false" ht="15" hidden="false" customHeight="false" outlineLevel="0" collapsed="false">
      <c r="A43" s="4" t="s">
        <v>122</v>
      </c>
      <c r="B43" s="4" t="s">
        <v>123</v>
      </c>
      <c r="C43" s="4" t="s">
        <v>8</v>
      </c>
      <c r="D43" s="5" t="n">
        <v>799.3</v>
      </c>
      <c r="E43" s="5" t="n">
        <v>393.03</v>
      </c>
      <c r="F43" s="6" t="n">
        <v>45038</v>
      </c>
      <c r="G43" s="7" t="b">
        <f aca="false">FALSE()</f>
        <v>0</v>
      </c>
    </row>
    <row r="44" customFormat="false" ht="15" hidden="false" customHeight="false" outlineLevel="0" collapsed="false">
      <c r="A44" s="4" t="s">
        <v>124</v>
      </c>
      <c r="B44" s="4" t="s">
        <v>125</v>
      </c>
      <c r="C44" s="4" t="s">
        <v>8</v>
      </c>
      <c r="D44" s="5" t="n">
        <v>816.2</v>
      </c>
      <c r="E44" s="5" t="n">
        <v>606.98</v>
      </c>
      <c r="F44" s="6" t="n">
        <v>44398</v>
      </c>
      <c r="G44" s="7" t="b">
        <f aca="false">TRUE()</f>
        <v>1</v>
      </c>
    </row>
    <row r="45" customFormat="false" ht="15" hidden="false" customHeight="false" outlineLevel="0" collapsed="false">
      <c r="A45" s="4" t="s">
        <v>126</v>
      </c>
      <c r="B45" s="4" t="s">
        <v>127</v>
      </c>
      <c r="C45" s="4" t="s">
        <v>26</v>
      </c>
      <c r="D45" s="5" t="n">
        <v>880.65</v>
      </c>
      <c r="E45" s="5" t="n">
        <v>590.24</v>
      </c>
      <c r="F45" s="6" t="n">
        <v>44420</v>
      </c>
      <c r="G45" s="7" t="b">
        <f aca="false">TRUE()</f>
        <v>1</v>
      </c>
    </row>
    <row r="46" customFormat="false" ht="15" hidden="false" customHeight="false" outlineLevel="0" collapsed="false">
      <c r="A46" s="4" t="s">
        <v>128</v>
      </c>
      <c r="B46" s="4" t="s">
        <v>129</v>
      </c>
      <c r="C46" s="4" t="s">
        <v>14</v>
      </c>
      <c r="D46" s="5" t="n">
        <v>248.5</v>
      </c>
      <c r="E46" s="5" t="n">
        <v>131.57</v>
      </c>
      <c r="F46" s="6" t="n">
        <v>45061</v>
      </c>
      <c r="G46" s="7" t="b">
        <f aca="false">TRUE()</f>
        <v>1</v>
      </c>
    </row>
    <row r="47" customFormat="false" ht="15" hidden="false" customHeight="false" outlineLevel="0" collapsed="false">
      <c r="A47" s="4" t="s">
        <v>130</v>
      </c>
      <c r="B47" s="4" t="s">
        <v>131</v>
      </c>
      <c r="C47" s="4" t="s">
        <v>20</v>
      </c>
      <c r="D47" s="5" t="n">
        <v>568.59</v>
      </c>
      <c r="E47" s="5" t="n">
        <v>397.9</v>
      </c>
      <c r="F47" s="6" t="n">
        <v>44351</v>
      </c>
      <c r="G47" s="7" t="b">
        <f aca="false">FALSE()</f>
        <v>0</v>
      </c>
    </row>
    <row r="48" customFormat="false" ht="15" hidden="false" customHeight="false" outlineLevel="0" collapsed="false">
      <c r="A48" s="4" t="s">
        <v>132</v>
      </c>
      <c r="B48" s="4" t="s">
        <v>133</v>
      </c>
      <c r="C48" s="4" t="s">
        <v>31</v>
      </c>
      <c r="D48" s="5" t="n">
        <v>140.04</v>
      </c>
      <c r="E48" s="5" t="n">
        <v>85.54</v>
      </c>
      <c r="F48" s="6" t="n">
        <v>45304</v>
      </c>
      <c r="G48" s="7" t="b">
        <f aca="false">TRUE()</f>
        <v>1</v>
      </c>
    </row>
    <row r="49" customFormat="false" ht="15" hidden="false" customHeight="false" outlineLevel="0" collapsed="false">
      <c r="A49" s="4" t="s">
        <v>134</v>
      </c>
      <c r="B49" s="4" t="s">
        <v>135</v>
      </c>
      <c r="C49" s="4" t="s">
        <v>8</v>
      </c>
      <c r="D49" s="5" t="n">
        <v>1113.48</v>
      </c>
      <c r="E49" s="5" t="n">
        <v>767.72</v>
      </c>
      <c r="F49" s="6" t="n">
        <v>44537</v>
      </c>
      <c r="G49" s="7" t="b">
        <f aca="false">FALSE()</f>
        <v>0</v>
      </c>
    </row>
    <row r="50" customFormat="false" ht="15" hidden="false" customHeight="false" outlineLevel="0" collapsed="false">
      <c r="A50" s="4" t="s">
        <v>136</v>
      </c>
      <c r="B50" s="4" t="s">
        <v>137</v>
      </c>
      <c r="C50" s="4" t="s">
        <v>26</v>
      </c>
      <c r="D50" s="5" t="n">
        <v>590.6</v>
      </c>
      <c r="E50" s="5" t="n">
        <v>410.98</v>
      </c>
      <c r="F50" s="6" t="n">
        <v>44317</v>
      </c>
      <c r="G50" s="7" t="b">
        <f aca="false">TRUE()</f>
        <v>1</v>
      </c>
    </row>
    <row r="51" customFormat="false" ht="15" hidden="false" customHeight="false" outlineLevel="0" collapsed="false">
      <c r="A51" s="4" t="s">
        <v>138</v>
      </c>
      <c r="B51" s="4" t="s">
        <v>139</v>
      </c>
      <c r="C51" s="4" t="s">
        <v>26</v>
      </c>
      <c r="D51" s="5" t="n">
        <v>27.53</v>
      </c>
      <c r="E51" s="5" t="n">
        <v>13.93</v>
      </c>
      <c r="F51" s="6" t="n">
        <v>45802</v>
      </c>
      <c r="G51" s="7" t="b">
        <f aca="false">FALSE()</f>
        <v>0</v>
      </c>
    </row>
    <row r="52" customFormat="false" ht="15" hidden="false" customHeight="false" outlineLevel="0" collapsed="false">
      <c r="A52" s="4" t="s">
        <v>140</v>
      </c>
      <c r="B52" s="4" t="s">
        <v>141</v>
      </c>
      <c r="C52" s="4" t="s">
        <v>20</v>
      </c>
      <c r="D52" s="5" t="n">
        <v>522.03</v>
      </c>
      <c r="E52" s="5" t="n">
        <v>382.61</v>
      </c>
      <c r="F52" s="6" t="n">
        <v>45801</v>
      </c>
      <c r="G52" s="7" t="b">
        <f aca="false">FALSE()</f>
        <v>0</v>
      </c>
    </row>
    <row r="53" customFormat="false" ht="15" hidden="false" customHeight="false" outlineLevel="0" collapsed="false">
      <c r="A53" s="4" t="s">
        <v>142</v>
      </c>
      <c r="B53" s="4" t="s">
        <v>143</v>
      </c>
      <c r="C53" s="4" t="s">
        <v>14</v>
      </c>
      <c r="D53" s="5" t="n">
        <v>248.13</v>
      </c>
      <c r="E53" s="5" t="n">
        <v>108.45</v>
      </c>
      <c r="F53" s="6" t="n">
        <v>44316</v>
      </c>
      <c r="G53" s="7" t="b">
        <f aca="false">TRUE()</f>
        <v>1</v>
      </c>
    </row>
    <row r="54" customFormat="false" ht="15" hidden="false" customHeight="false" outlineLevel="0" collapsed="false">
      <c r="A54" s="4" t="s">
        <v>144</v>
      </c>
      <c r="B54" s="4" t="s">
        <v>145</v>
      </c>
      <c r="C54" s="4" t="s">
        <v>20</v>
      </c>
      <c r="D54" s="5" t="n">
        <v>92.17</v>
      </c>
      <c r="E54" s="5" t="n">
        <v>53.8</v>
      </c>
      <c r="F54" s="6" t="n">
        <v>45226</v>
      </c>
      <c r="G54" s="7" t="b">
        <f aca="false">TRUE()</f>
        <v>1</v>
      </c>
    </row>
    <row r="55" customFormat="false" ht="15" hidden="false" customHeight="false" outlineLevel="0" collapsed="false">
      <c r="A55" s="4" t="s">
        <v>146</v>
      </c>
      <c r="B55" s="4" t="s">
        <v>147</v>
      </c>
      <c r="C55" s="4" t="s">
        <v>8</v>
      </c>
      <c r="D55" s="5" t="n">
        <v>1153.92</v>
      </c>
      <c r="E55" s="5" t="n">
        <v>440.85</v>
      </c>
      <c r="F55" s="6" t="n">
        <v>44577</v>
      </c>
      <c r="G55" s="7" t="b">
        <f aca="false">TRUE()</f>
        <v>1</v>
      </c>
    </row>
    <row r="56" customFormat="false" ht="15" hidden="false" customHeight="false" outlineLevel="0" collapsed="false">
      <c r="A56" s="4" t="s">
        <v>148</v>
      </c>
      <c r="B56" s="4" t="s">
        <v>149</v>
      </c>
      <c r="C56" s="4" t="s">
        <v>31</v>
      </c>
      <c r="D56" s="5" t="n">
        <v>104.85</v>
      </c>
      <c r="E56" s="5" t="n">
        <v>72.84</v>
      </c>
      <c r="F56" s="6" t="n">
        <v>45023</v>
      </c>
      <c r="G56" s="7" t="b">
        <f aca="false">TRUE()</f>
        <v>1</v>
      </c>
    </row>
    <row r="57" customFormat="false" ht="15" hidden="false" customHeight="false" outlineLevel="0" collapsed="false">
      <c r="A57" s="4" t="s">
        <v>150</v>
      </c>
      <c r="B57" s="4" t="s">
        <v>151</v>
      </c>
      <c r="C57" s="4" t="s">
        <v>31</v>
      </c>
      <c r="D57" s="5" t="n">
        <v>314.3</v>
      </c>
      <c r="E57" s="5" t="n">
        <v>184.75</v>
      </c>
      <c r="F57" s="6" t="n">
        <v>45465</v>
      </c>
      <c r="G57" s="7" t="b">
        <f aca="false">TRUE()</f>
        <v>1</v>
      </c>
    </row>
    <row r="58" customFormat="false" ht="15" hidden="false" customHeight="false" outlineLevel="0" collapsed="false">
      <c r="A58" s="4" t="s">
        <v>152</v>
      </c>
      <c r="B58" s="4" t="s">
        <v>153</v>
      </c>
      <c r="C58" s="4" t="s">
        <v>26</v>
      </c>
      <c r="D58" s="5" t="n">
        <v>797.41</v>
      </c>
      <c r="E58" s="5" t="n">
        <v>459.38</v>
      </c>
      <c r="F58" s="6" t="n">
        <v>44844</v>
      </c>
      <c r="G58" s="7" t="b">
        <f aca="false">TRUE()</f>
        <v>1</v>
      </c>
    </row>
    <row r="59" customFormat="false" ht="15" hidden="false" customHeight="false" outlineLevel="0" collapsed="false">
      <c r="A59" s="4" t="s">
        <v>154</v>
      </c>
      <c r="B59" s="4" t="s">
        <v>155</v>
      </c>
      <c r="C59" s="4" t="s">
        <v>14</v>
      </c>
      <c r="D59" s="5" t="n">
        <v>811.93</v>
      </c>
      <c r="E59" s="5" t="n">
        <v>386.21</v>
      </c>
      <c r="F59" s="6" t="n">
        <v>44740</v>
      </c>
      <c r="G59" s="7" t="b">
        <f aca="false">FALSE()</f>
        <v>0</v>
      </c>
    </row>
    <row r="60" customFormat="false" ht="15" hidden="false" customHeight="false" outlineLevel="0" collapsed="false">
      <c r="A60" s="4" t="s">
        <v>156</v>
      </c>
      <c r="B60" s="4" t="s">
        <v>157</v>
      </c>
      <c r="C60" s="4" t="s">
        <v>14</v>
      </c>
      <c r="D60" s="5" t="n">
        <v>814.24</v>
      </c>
      <c r="E60" s="5" t="n">
        <v>382.69</v>
      </c>
      <c r="F60" s="6" t="n">
        <v>44844</v>
      </c>
      <c r="G60" s="7" t="b">
        <f aca="false">TRUE()</f>
        <v>1</v>
      </c>
    </row>
    <row r="61" customFormat="false" ht="15" hidden="false" customHeight="false" outlineLevel="0" collapsed="false">
      <c r="A61" s="4" t="s">
        <v>158</v>
      </c>
      <c r="B61" s="4" t="s">
        <v>159</v>
      </c>
      <c r="C61" s="4" t="s">
        <v>8</v>
      </c>
      <c r="D61" s="5" t="n">
        <v>563.49</v>
      </c>
      <c r="E61" s="5" t="n">
        <v>422.27</v>
      </c>
      <c r="F61" s="6" t="n">
        <v>44401</v>
      </c>
      <c r="G61" s="7" t="b">
        <f aca="false">TRUE()</f>
        <v>1</v>
      </c>
    </row>
    <row r="62" customFormat="false" ht="15" hidden="false" customHeight="false" outlineLevel="0" collapsed="false">
      <c r="A62" s="4" t="s">
        <v>160</v>
      </c>
      <c r="B62" s="4" t="s">
        <v>161</v>
      </c>
      <c r="C62" s="4" t="s">
        <v>31</v>
      </c>
      <c r="D62" s="5" t="n">
        <v>275.46</v>
      </c>
      <c r="E62" s="5" t="n">
        <v>125.63</v>
      </c>
      <c r="F62" s="6" t="n">
        <v>44911</v>
      </c>
      <c r="G62" s="7" t="b">
        <f aca="false">TRUE()</f>
        <v>1</v>
      </c>
    </row>
    <row r="63" customFormat="false" ht="15" hidden="false" customHeight="false" outlineLevel="0" collapsed="false">
      <c r="A63" s="4" t="s">
        <v>162</v>
      </c>
      <c r="B63" s="4" t="s">
        <v>163</v>
      </c>
      <c r="C63" s="4" t="s">
        <v>14</v>
      </c>
      <c r="D63" s="5" t="n">
        <v>459.19</v>
      </c>
      <c r="E63" s="5" t="n">
        <v>189.69</v>
      </c>
      <c r="F63" s="6" t="n">
        <v>45904</v>
      </c>
      <c r="G63" s="7" t="b">
        <f aca="false">TRUE()</f>
        <v>1</v>
      </c>
    </row>
    <row r="64" customFormat="false" ht="15" hidden="false" customHeight="false" outlineLevel="0" collapsed="false">
      <c r="A64" s="4" t="s">
        <v>164</v>
      </c>
      <c r="B64" s="4" t="s">
        <v>165</v>
      </c>
      <c r="C64" s="4" t="s">
        <v>31</v>
      </c>
      <c r="D64" s="5" t="n">
        <v>1181.03</v>
      </c>
      <c r="E64" s="5" t="n">
        <v>794.64</v>
      </c>
      <c r="F64" s="6" t="n">
        <v>45280</v>
      </c>
      <c r="G64" s="7" t="b">
        <f aca="false">TRUE()</f>
        <v>1</v>
      </c>
    </row>
    <row r="65" customFormat="false" ht="15" hidden="false" customHeight="false" outlineLevel="0" collapsed="false">
      <c r="A65" s="4" t="s">
        <v>166</v>
      </c>
      <c r="B65" s="4" t="s">
        <v>167</v>
      </c>
      <c r="C65" s="4" t="s">
        <v>31</v>
      </c>
      <c r="D65" s="5" t="n">
        <v>376.77</v>
      </c>
      <c r="E65" s="5" t="n">
        <v>231.85</v>
      </c>
      <c r="F65" s="6" t="n">
        <v>45995</v>
      </c>
      <c r="G65" s="7" t="b">
        <f aca="false">TRUE()</f>
        <v>1</v>
      </c>
    </row>
    <row r="66" customFormat="false" ht="15" hidden="false" customHeight="false" outlineLevel="0" collapsed="false">
      <c r="A66" s="4" t="s">
        <v>168</v>
      </c>
      <c r="B66" s="4" t="s">
        <v>169</v>
      </c>
      <c r="C66" s="4" t="s">
        <v>20</v>
      </c>
      <c r="D66" s="5" t="n">
        <v>160.63</v>
      </c>
      <c r="E66" s="5" t="n">
        <v>63.1</v>
      </c>
      <c r="F66" s="6" t="n">
        <v>45330</v>
      </c>
      <c r="G66" s="7" t="b">
        <f aca="false">TRUE()</f>
        <v>1</v>
      </c>
    </row>
    <row r="67" customFormat="false" ht="15" hidden="false" customHeight="false" outlineLevel="0" collapsed="false">
      <c r="A67" s="4" t="s">
        <v>170</v>
      </c>
      <c r="B67" s="4" t="s">
        <v>171</v>
      </c>
      <c r="C67" s="4" t="s">
        <v>20</v>
      </c>
      <c r="D67" s="5" t="n">
        <v>356.06</v>
      </c>
      <c r="E67" s="5" t="n">
        <v>154.62</v>
      </c>
      <c r="F67" s="6" t="n">
        <v>44899</v>
      </c>
      <c r="G67" s="7" t="b">
        <f aca="false">TRUE()</f>
        <v>1</v>
      </c>
    </row>
    <row r="68" customFormat="false" ht="15" hidden="false" customHeight="false" outlineLevel="0" collapsed="false">
      <c r="A68" s="4" t="s">
        <v>172</v>
      </c>
      <c r="B68" s="4" t="s">
        <v>173</v>
      </c>
      <c r="C68" s="4" t="s">
        <v>20</v>
      </c>
      <c r="D68" s="5" t="n">
        <v>618.86</v>
      </c>
      <c r="E68" s="5" t="n">
        <v>278.76</v>
      </c>
      <c r="F68" s="6" t="n">
        <v>45929</v>
      </c>
      <c r="G68" s="7" t="b">
        <f aca="false">TRUE()</f>
        <v>1</v>
      </c>
    </row>
    <row r="69" customFormat="false" ht="15" hidden="false" customHeight="false" outlineLevel="0" collapsed="false">
      <c r="A69" s="4" t="s">
        <v>174</v>
      </c>
      <c r="B69" s="4" t="s">
        <v>175</v>
      </c>
      <c r="C69" s="4" t="s">
        <v>8</v>
      </c>
      <c r="D69" s="5" t="n">
        <v>770.28</v>
      </c>
      <c r="E69" s="5" t="n">
        <v>525.13</v>
      </c>
      <c r="F69" s="6" t="n">
        <v>44287</v>
      </c>
      <c r="G69" s="7" t="b">
        <f aca="false">TRUE()</f>
        <v>1</v>
      </c>
    </row>
    <row r="70" customFormat="false" ht="15" hidden="false" customHeight="false" outlineLevel="0" collapsed="false">
      <c r="A70" s="4" t="s">
        <v>176</v>
      </c>
      <c r="B70" s="4" t="s">
        <v>177</v>
      </c>
      <c r="C70" s="4" t="s">
        <v>20</v>
      </c>
      <c r="D70" s="5" t="n">
        <v>931.07</v>
      </c>
      <c r="E70" s="5" t="n">
        <v>563.15</v>
      </c>
      <c r="F70" s="6" t="n">
        <v>44733</v>
      </c>
      <c r="G70" s="7" t="b">
        <f aca="false">TRUE()</f>
        <v>1</v>
      </c>
    </row>
    <row r="71" customFormat="false" ht="15" hidden="false" customHeight="false" outlineLevel="0" collapsed="false">
      <c r="A71" s="4" t="s">
        <v>178</v>
      </c>
      <c r="B71" s="4" t="s">
        <v>179</v>
      </c>
      <c r="C71" s="4" t="s">
        <v>26</v>
      </c>
      <c r="D71" s="5" t="n">
        <v>673.22</v>
      </c>
      <c r="E71" s="5" t="n">
        <v>350.8</v>
      </c>
      <c r="F71" s="6" t="n">
        <v>44216</v>
      </c>
      <c r="G71" s="7" t="b">
        <f aca="false">TRUE()</f>
        <v>1</v>
      </c>
    </row>
    <row r="72" customFormat="false" ht="15" hidden="false" customHeight="false" outlineLevel="0" collapsed="false">
      <c r="A72" s="4" t="s">
        <v>180</v>
      </c>
      <c r="B72" s="4" t="s">
        <v>181</v>
      </c>
      <c r="C72" s="4" t="s">
        <v>8</v>
      </c>
      <c r="D72" s="5" t="n">
        <v>1135.43</v>
      </c>
      <c r="E72" s="5" t="n">
        <v>711.24</v>
      </c>
      <c r="F72" s="6" t="n">
        <v>44502</v>
      </c>
      <c r="G72" s="7" t="b">
        <f aca="false">TRUE()</f>
        <v>1</v>
      </c>
    </row>
    <row r="73" customFormat="false" ht="15" hidden="false" customHeight="false" outlineLevel="0" collapsed="false">
      <c r="A73" s="4" t="s">
        <v>182</v>
      </c>
      <c r="B73" s="4" t="s">
        <v>183</v>
      </c>
      <c r="C73" s="4" t="s">
        <v>20</v>
      </c>
      <c r="D73" s="5" t="n">
        <v>709.45</v>
      </c>
      <c r="E73" s="5" t="n">
        <v>290.33</v>
      </c>
      <c r="F73" s="6" t="n">
        <v>44458</v>
      </c>
      <c r="G73" s="7" t="b">
        <f aca="false">TRUE()</f>
        <v>1</v>
      </c>
    </row>
    <row r="74" customFormat="false" ht="15" hidden="false" customHeight="false" outlineLevel="0" collapsed="false">
      <c r="A74" s="4" t="s">
        <v>184</v>
      </c>
      <c r="B74" s="4" t="s">
        <v>185</v>
      </c>
      <c r="C74" s="4" t="s">
        <v>20</v>
      </c>
      <c r="D74" s="5" t="n">
        <v>453.47</v>
      </c>
      <c r="E74" s="5" t="n">
        <v>327.97</v>
      </c>
      <c r="F74" s="6" t="n">
        <v>45959</v>
      </c>
      <c r="G74" s="7" t="b">
        <f aca="false">TRUE()</f>
        <v>1</v>
      </c>
    </row>
    <row r="75" customFormat="false" ht="15" hidden="false" customHeight="false" outlineLevel="0" collapsed="false">
      <c r="A75" s="4" t="s">
        <v>186</v>
      </c>
      <c r="B75" s="4" t="s">
        <v>187</v>
      </c>
      <c r="C75" s="4" t="s">
        <v>20</v>
      </c>
      <c r="D75" s="5" t="n">
        <v>271.84</v>
      </c>
      <c r="E75" s="5" t="n">
        <v>122.28</v>
      </c>
      <c r="F75" s="6" t="n">
        <v>44407</v>
      </c>
      <c r="G75" s="7" t="b">
        <f aca="false">TRUE()</f>
        <v>1</v>
      </c>
    </row>
    <row r="76" customFormat="false" ht="15" hidden="false" customHeight="false" outlineLevel="0" collapsed="false">
      <c r="A76" s="4" t="s">
        <v>188</v>
      </c>
      <c r="B76" s="4" t="s">
        <v>189</v>
      </c>
      <c r="C76" s="4" t="s">
        <v>31</v>
      </c>
      <c r="D76" s="5" t="n">
        <v>1063.86</v>
      </c>
      <c r="E76" s="5" t="n">
        <v>545.28</v>
      </c>
      <c r="F76" s="6" t="n">
        <v>45468</v>
      </c>
      <c r="G76" s="7" t="b">
        <f aca="false">TRUE()</f>
        <v>1</v>
      </c>
    </row>
    <row r="77" customFormat="false" ht="15" hidden="false" customHeight="false" outlineLevel="0" collapsed="false">
      <c r="A77" s="4" t="s">
        <v>190</v>
      </c>
      <c r="B77" s="4" t="s">
        <v>191</v>
      </c>
      <c r="C77" s="4" t="s">
        <v>14</v>
      </c>
      <c r="D77" s="5" t="n">
        <v>1040.91</v>
      </c>
      <c r="E77" s="5" t="n">
        <v>770.78</v>
      </c>
      <c r="F77" s="6" t="n">
        <v>45857</v>
      </c>
      <c r="G77" s="7" t="b">
        <f aca="false">TRUE()</f>
        <v>1</v>
      </c>
    </row>
    <row r="78" customFormat="false" ht="15" hidden="false" customHeight="false" outlineLevel="0" collapsed="false">
      <c r="A78" s="4" t="s">
        <v>192</v>
      </c>
      <c r="B78" s="4" t="s">
        <v>193</v>
      </c>
      <c r="C78" s="4" t="s">
        <v>26</v>
      </c>
      <c r="D78" s="5" t="n">
        <v>54.12</v>
      </c>
      <c r="E78" s="5" t="n">
        <v>34.89</v>
      </c>
      <c r="F78" s="6" t="n">
        <v>44877</v>
      </c>
      <c r="G78" s="7" t="b">
        <f aca="false">FALSE()</f>
        <v>0</v>
      </c>
    </row>
    <row r="79" customFormat="false" ht="15" hidden="false" customHeight="false" outlineLevel="0" collapsed="false">
      <c r="A79" s="4" t="s">
        <v>194</v>
      </c>
      <c r="B79" s="4" t="s">
        <v>195</v>
      </c>
      <c r="C79" s="4" t="s">
        <v>14</v>
      </c>
      <c r="D79" s="5" t="n">
        <v>338.5</v>
      </c>
      <c r="E79" s="5" t="n">
        <v>225.09</v>
      </c>
      <c r="F79" s="6" t="n">
        <v>44418</v>
      </c>
      <c r="G79" s="7" t="b">
        <f aca="false">FALSE()</f>
        <v>0</v>
      </c>
    </row>
    <row r="80" customFormat="false" ht="15" hidden="false" customHeight="false" outlineLevel="0" collapsed="false">
      <c r="A80" s="4" t="s">
        <v>196</v>
      </c>
      <c r="B80" s="4" t="s">
        <v>197</v>
      </c>
      <c r="C80" s="4" t="s">
        <v>8</v>
      </c>
      <c r="D80" s="5" t="n">
        <v>1033.85</v>
      </c>
      <c r="E80" s="5" t="n">
        <v>453.83</v>
      </c>
      <c r="F80" s="6" t="n">
        <v>45869</v>
      </c>
      <c r="G80" s="7" t="b">
        <f aca="false">FALSE()</f>
        <v>0</v>
      </c>
    </row>
    <row r="81" customFormat="false" ht="15" hidden="false" customHeight="false" outlineLevel="0" collapsed="false">
      <c r="A81" s="4" t="s">
        <v>198</v>
      </c>
      <c r="B81" s="4" t="s">
        <v>199</v>
      </c>
      <c r="C81" s="4" t="s">
        <v>20</v>
      </c>
      <c r="D81" s="5" t="n">
        <v>383.6</v>
      </c>
      <c r="E81" s="5" t="n">
        <v>256.3</v>
      </c>
      <c r="F81" s="6" t="n">
        <v>44663</v>
      </c>
      <c r="G81" s="7" t="b">
        <f aca="false">TRUE()</f>
        <v>1</v>
      </c>
    </row>
    <row r="82" customFormat="false" ht="15" hidden="false" customHeight="false" outlineLevel="0" collapsed="false">
      <c r="A82" s="4" t="s">
        <v>200</v>
      </c>
      <c r="B82" s="4" t="s">
        <v>201</v>
      </c>
      <c r="C82" s="4" t="s">
        <v>8</v>
      </c>
      <c r="D82" s="5" t="n">
        <v>800.54</v>
      </c>
      <c r="E82" s="5" t="n">
        <v>407.78</v>
      </c>
      <c r="F82" s="6" t="n">
        <v>44767</v>
      </c>
      <c r="G82" s="7" t="b">
        <f aca="false">TRUE()</f>
        <v>1</v>
      </c>
    </row>
    <row r="83" customFormat="false" ht="15" hidden="false" customHeight="false" outlineLevel="0" collapsed="false">
      <c r="A83" s="4" t="s">
        <v>202</v>
      </c>
      <c r="B83" s="4" t="s">
        <v>203</v>
      </c>
      <c r="C83" s="4" t="s">
        <v>20</v>
      </c>
      <c r="D83" s="5" t="n">
        <v>437.6</v>
      </c>
      <c r="E83" s="5" t="n">
        <v>242.33</v>
      </c>
      <c r="F83" s="6" t="n">
        <v>45588</v>
      </c>
      <c r="G83" s="7" t="b">
        <f aca="false">TRUE()</f>
        <v>1</v>
      </c>
    </row>
    <row r="84" customFormat="false" ht="15" hidden="false" customHeight="false" outlineLevel="0" collapsed="false">
      <c r="A84" s="4" t="s">
        <v>204</v>
      </c>
      <c r="B84" s="4" t="s">
        <v>205</v>
      </c>
      <c r="C84" s="4" t="s">
        <v>8</v>
      </c>
      <c r="D84" s="5" t="n">
        <v>160.53</v>
      </c>
      <c r="E84" s="5" t="n">
        <v>118.5</v>
      </c>
      <c r="F84" s="6" t="n">
        <v>44562</v>
      </c>
      <c r="G84" s="7" t="b">
        <f aca="false">TRUE()</f>
        <v>1</v>
      </c>
    </row>
    <row r="85" customFormat="false" ht="15" hidden="false" customHeight="false" outlineLevel="0" collapsed="false">
      <c r="A85" s="4" t="s">
        <v>206</v>
      </c>
      <c r="B85" s="4" t="s">
        <v>207</v>
      </c>
      <c r="C85" s="4" t="s">
        <v>8</v>
      </c>
      <c r="D85" s="5" t="n">
        <v>152.37</v>
      </c>
      <c r="E85" s="5" t="n">
        <v>79.82</v>
      </c>
      <c r="F85" s="6" t="n">
        <v>45689</v>
      </c>
      <c r="G85" s="7" t="b">
        <f aca="false">TRUE()</f>
        <v>1</v>
      </c>
    </row>
    <row r="86" customFormat="false" ht="15" hidden="false" customHeight="false" outlineLevel="0" collapsed="false">
      <c r="A86" s="4" t="s">
        <v>208</v>
      </c>
      <c r="B86" s="4" t="s">
        <v>209</v>
      </c>
      <c r="C86" s="4" t="s">
        <v>26</v>
      </c>
      <c r="D86" s="5" t="n">
        <v>737.3</v>
      </c>
      <c r="E86" s="5" t="n">
        <v>408.88</v>
      </c>
      <c r="F86" s="6" t="n">
        <v>44985</v>
      </c>
      <c r="G86" s="7" t="b">
        <f aca="false">TRUE()</f>
        <v>1</v>
      </c>
    </row>
    <row r="87" customFormat="false" ht="15" hidden="false" customHeight="false" outlineLevel="0" collapsed="false">
      <c r="A87" s="4" t="s">
        <v>210</v>
      </c>
      <c r="B87" s="4" t="s">
        <v>211</v>
      </c>
      <c r="C87" s="4" t="s">
        <v>20</v>
      </c>
      <c r="D87" s="5" t="n">
        <v>77.15</v>
      </c>
      <c r="E87" s="5" t="n">
        <v>40.46</v>
      </c>
      <c r="F87" s="6" t="n">
        <v>45261</v>
      </c>
      <c r="G87" s="7" t="b">
        <f aca="false">TRUE()</f>
        <v>1</v>
      </c>
    </row>
    <row r="88" customFormat="false" ht="15" hidden="false" customHeight="false" outlineLevel="0" collapsed="false">
      <c r="A88" s="4" t="s">
        <v>212</v>
      </c>
      <c r="B88" s="4" t="s">
        <v>213</v>
      </c>
      <c r="C88" s="4" t="s">
        <v>20</v>
      </c>
      <c r="D88" s="5" t="n">
        <v>531.77</v>
      </c>
      <c r="E88" s="5" t="n">
        <v>387.95</v>
      </c>
      <c r="F88" s="6" t="n">
        <v>44873</v>
      </c>
      <c r="G88" s="7" t="b">
        <f aca="false">TRUE()</f>
        <v>1</v>
      </c>
    </row>
    <row r="89" customFormat="false" ht="15" hidden="false" customHeight="false" outlineLevel="0" collapsed="false">
      <c r="A89" s="4" t="s">
        <v>214</v>
      </c>
      <c r="B89" s="4" t="s">
        <v>215</v>
      </c>
      <c r="C89" s="4" t="s">
        <v>8</v>
      </c>
      <c r="D89" s="5" t="n">
        <v>870.71</v>
      </c>
      <c r="E89" s="5" t="n">
        <v>409.35</v>
      </c>
      <c r="F89" s="6" t="n">
        <v>44830</v>
      </c>
      <c r="G89" s="7" t="b">
        <f aca="false">FALSE()</f>
        <v>0</v>
      </c>
    </row>
    <row r="90" customFormat="false" ht="15" hidden="false" customHeight="false" outlineLevel="0" collapsed="false">
      <c r="A90" s="4" t="s">
        <v>216</v>
      </c>
      <c r="B90" s="4" t="s">
        <v>217</v>
      </c>
      <c r="C90" s="4" t="s">
        <v>20</v>
      </c>
      <c r="D90" s="5" t="n">
        <v>497.82</v>
      </c>
      <c r="E90" s="5" t="n">
        <v>233.11</v>
      </c>
      <c r="F90" s="6" t="n">
        <v>44457</v>
      </c>
      <c r="G90" s="7" t="b">
        <f aca="false">TRUE()</f>
        <v>1</v>
      </c>
    </row>
    <row r="91" customFormat="false" ht="15" hidden="false" customHeight="false" outlineLevel="0" collapsed="false">
      <c r="A91" s="4" t="s">
        <v>218</v>
      </c>
      <c r="B91" s="4" t="s">
        <v>219</v>
      </c>
      <c r="C91" s="4" t="s">
        <v>26</v>
      </c>
      <c r="D91" s="5" t="n">
        <v>806.29</v>
      </c>
      <c r="E91" s="5" t="n">
        <v>404.48</v>
      </c>
      <c r="F91" s="6" t="n">
        <v>45729</v>
      </c>
      <c r="G91" s="7" t="b">
        <f aca="false">TRUE()</f>
        <v>1</v>
      </c>
    </row>
    <row r="92" customFormat="false" ht="15" hidden="false" customHeight="false" outlineLevel="0" collapsed="false">
      <c r="A92" s="4" t="s">
        <v>220</v>
      </c>
      <c r="B92" s="4" t="s">
        <v>221</v>
      </c>
      <c r="C92" s="4" t="s">
        <v>31</v>
      </c>
      <c r="D92" s="5" t="n">
        <v>693.7</v>
      </c>
      <c r="E92" s="5" t="n">
        <v>355.47</v>
      </c>
      <c r="F92" s="6" t="n">
        <v>45904</v>
      </c>
      <c r="G92" s="7" t="b">
        <f aca="false">TRUE()</f>
        <v>1</v>
      </c>
    </row>
    <row r="93" customFormat="false" ht="15" hidden="false" customHeight="false" outlineLevel="0" collapsed="false">
      <c r="A93" s="4" t="s">
        <v>222</v>
      </c>
      <c r="B93" s="4" t="s">
        <v>223</v>
      </c>
      <c r="C93" s="4" t="s">
        <v>20</v>
      </c>
      <c r="D93" s="5" t="n">
        <v>362.12</v>
      </c>
      <c r="E93" s="5" t="n">
        <v>189.01</v>
      </c>
      <c r="F93" s="6" t="n">
        <v>45384</v>
      </c>
      <c r="G93" s="7" t="b">
        <f aca="false">TRUE()</f>
        <v>1</v>
      </c>
    </row>
    <row r="94" customFormat="false" ht="15" hidden="false" customHeight="false" outlineLevel="0" collapsed="false">
      <c r="A94" s="4" t="s">
        <v>224</v>
      </c>
      <c r="B94" s="4" t="s">
        <v>225</v>
      </c>
      <c r="C94" s="4" t="s">
        <v>26</v>
      </c>
      <c r="D94" s="5" t="n">
        <v>544.1</v>
      </c>
      <c r="E94" s="5" t="n">
        <v>337.48</v>
      </c>
      <c r="F94" s="6" t="n">
        <v>45243</v>
      </c>
      <c r="G94" s="7" t="b">
        <f aca="false">FALSE()</f>
        <v>0</v>
      </c>
    </row>
    <row r="95" customFormat="false" ht="15" hidden="false" customHeight="false" outlineLevel="0" collapsed="false">
      <c r="A95" s="4" t="s">
        <v>226</v>
      </c>
      <c r="B95" s="4" t="s">
        <v>227</v>
      </c>
      <c r="C95" s="4" t="s">
        <v>14</v>
      </c>
      <c r="D95" s="5" t="n">
        <v>799.15</v>
      </c>
      <c r="E95" s="5" t="n">
        <v>370.42</v>
      </c>
      <c r="F95" s="6" t="n">
        <v>45556</v>
      </c>
      <c r="G95" s="7" t="b">
        <f aca="false">TRUE()</f>
        <v>1</v>
      </c>
    </row>
    <row r="96" customFormat="false" ht="15" hidden="false" customHeight="false" outlineLevel="0" collapsed="false">
      <c r="A96" s="4" t="s">
        <v>228</v>
      </c>
      <c r="B96" s="4" t="s">
        <v>229</v>
      </c>
      <c r="C96" s="4" t="s">
        <v>8</v>
      </c>
      <c r="D96" s="5" t="n">
        <v>986.65</v>
      </c>
      <c r="E96" s="5" t="n">
        <v>641.77</v>
      </c>
      <c r="F96" s="6" t="n">
        <v>45574</v>
      </c>
      <c r="G96" s="7" t="b">
        <f aca="false">TRUE()</f>
        <v>1</v>
      </c>
    </row>
    <row r="97" customFormat="false" ht="15" hidden="false" customHeight="false" outlineLevel="0" collapsed="false">
      <c r="A97" s="4" t="s">
        <v>230</v>
      </c>
      <c r="B97" s="4" t="s">
        <v>231</v>
      </c>
      <c r="C97" s="4" t="s">
        <v>14</v>
      </c>
      <c r="D97" s="5" t="n">
        <v>972.71</v>
      </c>
      <c r="E97" s="5" t="n">
        <v>397.78</v>
      </c>
      <c r="F97" s="6" t="n">
        <v>44291</v>
      </c>
      <c r="G97" s="7" t="b">
        <f aca="false">TRUE()</f>
        <v>1</v>
      </c>
    </row>
    <row r="98" customFormat="false" ht="15" hidden="false" customHeight="false" outlineLevel="0" collapsed="false">
      <c r="A98" s="4" t="s">
        <v>232</v>
      </c>
      <c r="B98" s="4" t="s">
        <v>233</v>
      </c>
      <c r="C98" s="4" t="s">
        <v>26</v>
      </c>
      <c r="D98" s="5" t="n">
        <v>743.25</v>
      </c>
      <c r="E98" s="5" t="n">
        <v>488.61</v>
      </c>
      <c r="F98" s="6" t="n">
        <v>45129</v>
      </c>
      <c r="G98" s="7" t="b">
        <f aca="false">FALSE()</f>
        <v>0</v>
      </c>
    </row>
    <row r="99" customFormat="false" ht="15" hidden="false" customHeight="false" outlineLevel="0" collapsed="false">
      <c r="A99" s="4" t="s">
        <v>234</v>
      </c>
      <c r="B99" s="4" t="s">
        <v>235</v>
      </c>
      <c r="C99" s="4" t="s">
        <v>31</v>
      </c>
      <c r="D99" s="5" t="n">
        <v>253.46</v>
      </c>
      <c r="E99" s="5" t="n">
        <v>159.31</v>
      </c>
      <c r="F99" s="6" t="n">
        <v>45209</v>
      </c>
      <c r="G99" s="7" t="b">
        <f aca="false">FALSE()</f>
        <v>0</v>
      </c>
    </row>
    <row r="100" customFormat="false" ht="15" hidden="false" customHeight="false" outlineLevel="0" collapsed="false">
      <c r="A100" s="4" t="s">
        <v>236</v>
      </c>
      <c r="B100" s="4" t="s">
        <v>237</v>
      </c>
      <c r="C100" s="4" t="s">
        <v>14</v>
      </c>
      <c r="D100" s="5" t="n">
        <v>198.4</v>
      </c>
      <c r="E100" s="5" t="n">
        <v>124.01</v>
      </c>
      <c r="F100" s="6" t="n">
        <v>45734</v>
      </c>
      <c r="G100" s="7" t="b">
        <f aca="false">TRUE()</f>
        <v>1</v>
      </c>
    </row>
    <row r="101" customFormat="false" ht="15" hidden="false" customHeight="false" outlineLevel="0" collapsed="false">
      <c r="A101" s="4" t="s">
        <v>238</v>
      </c>
      <c r="B101" s="4" t="s">
        <v>239</v>
      </c>
      <c r="C101" s="4" t="s">
        <v>26</v>
      </c>
      <c r="D101" s="5" t="n">
        <v>282.14</v>
      </c>
      <c r="E101" s="5" t="n">
        <v>189.5</v>
      </c>
      <c r="F101" s="6" t="n">
        <v>45622</v>
      </c>
      <c r="G101" s="7" t="b">
        <f aca="false">FALSE()</f>
        <v>0</v>
      </c>
    </row>
    <row r="102" customFormat="false" ht="15" hidden="false" customHeight="false" outlineLevel="0" collapsed="false">
      <c r="A102" s="4" t="s">
        <v>240</v>
      </c>
      <c r="B102" s="4" t="s">
        <v>241</v>
      </c>
      <c r="C102" s="4" t="s">
        <v>8</v>
      </c>
      <c r="D102" s="5" t="n">
        <v>679.95</v>
      </c>
      <c r="E102" s="5" t="n">
        <v>487.52</v>
      </c>
      <c r="F102" s="6" t="n">
        <v>44445</v>
      </c>
      <c r="G102" s="7" t="b">
        <f aca="false">FALSE()</f>
        <v>0</v>
      </c>
    </row>
    <row r="103" customFormat="false" ht="15" hidden="false" customHeight="false" outlineLevel="0" collapsed="false">
      <c r="A103" s="4" t="s">
        <v>242</v>
      </c>
      <c r="B103" s="4" t="s">
        <v>243</v>
      </c>
      <c r="C103" s="4" t="s">
        <v>14</v>
      </c>
      <c r="D103" s="5" t="n">
        <v>966.66</v>
      </c>
      <c r="E103" s="5" t="n">
        <v>596.46</v>
      </c>
      <c r="F103" s="6" t="n">
        <v>45341</v>
      </c>
      <c r="G103" s="7" t="b">
        <f aca="false">TRUE()</f>
        <v>1</v>
      </c>
    </row>
    <row r="104" customFormat="false" ht="15" hidden="false" customHeight="false" outlineLevel="0" collapsed="false">
      <c r="A104" s="4" t="s">
        <v>244</v>
      </c>
      <c r="B104" s="4" t="s">
        <v>245</v>
      </c>
      <c r="C104" s="4" t="s">
        <v>26</v>
      </c>
      <c r="D104" s="5" t="n">
        <v>744.87</v>
      </c>
      <c r="E104" s="5" t="n">
        <v>475.01</v>
      </c>
      <c r="F104" s="6" t="n">
        <v>45230</v>
      </c>
      <c r="G104" s="7" t="b">
        <f aca="false">FALSE()</f>
        <v>0</v>
      </c>
    </row>
    <row r="105" customFormat="false" ht="15" hidden="false" customHeight="false" outlineLevel="0" collapsed="false">
      <c r="A105" s="4" t="s">
        <v>246</v>
      </c>
      <c r="B105" s="4" t="s">
        <v>247</v>
      </c>
      <c r="C105" s="4" t="s">
        <v>31</v>
      </c>
      <c r="D105" s="5" t="n">
        <v>548.95</v>
      </c>
      <c r="E105" s="5" t="n">
        <v>227.08</v>
      </c>
      <c r="F105" s="6" t="n">
        <v>45961</v>
      </c>
      <c r="G105" s="7" t="b">
        <f aca="false">FALSE()</f>
        <v>0</v>
      </c>
    </row>
    <row r="106" customFormat="false" ht="15" hidden="false" customHeight="false" outlineLevel="0" collapsed="false">
      <c r="A106" s="4" t="s">
        <v>248</v>
      </c>
      <c r="B106" s="4" t="s">
        <v>249</v>
      </c>
      <c r="C106" s="4" t="s">
        <v>26</v>
      </c>
      <c r="D106" s="5" t="n">
        <v>329.55</v>
      </c>
      <c r="E106" s="5" t="n">
        <v>147.93</v>
      </c>
      <c r="F106" s="6" t="n">
        <v>45502</v>
      </c>
      <c r="G106" s="7" t="b">
        <f aca="false">TRUE()</f>
        <v>1</v>
      </c>
    </row>
    <row r="107" customFormat="false" ht="15" hidden="false" customHeight="false" outlineLevel="0" collapsed="false">
      <c r="A107" s="4" t="s">
        <v>250</v>
      </c>
      <c r="B107" s="4" t="s">
        <v>251</v>
      </c>
      <c r="C107" s="4" t="s">
        <v>31</v>
      </c>
      <c r="D107" s="5" t="n">
        <v>594.4</v>
      </c>
      <c r="E107" s="5" t="n">
        <v>264.92</v>
      </c>
      <c r="F107" s="6" t="n">
        <v>45097</v>
      </c>
      <c r="G107" s="7" t="b">
        <f aca="false">TRUE()</f>
        <v>1</v>
      </c>
    </row>
    <row r="108" customFormat="false" ht="15" hidden="false" customHeight="false" outlineLevel="0" collapsed="false">
      <c r="A108" s="4" t="s">
        <v>252</v>
      </c>
      <c r="B108" s="4" t="s">
        <v>253</v>
      </c>
      <c r="C108" s="4" t="s">
        <v>20</v>
      </c>
      <c r="D108" s="5" t="n">
        <v>300.53</v>
      </c>
      <c r="E108" s="5" t="n">
        <v>145.56</v>
      </c>
      <c r="F108" s="6" t="n">
        <v>45303</v>
      </c>
      <c r="G108" s="7" t="b">
        <f aca="false">TRUE()</f>
        <v>1</v>
      </c>
    </row>
    <row r="109" customFormat="false" ht="15" hidden="false" customHeight="false" outlineLevel="0" collapsed="false">
      <c r="A109" s="4" t="s">
        <v>254</v>
      </c>
      <c r="B109" s="4" t="s">
        <v>255</v>
      </c>
      <c r="C109" s="4" t="s">
        <v>14</v>
      </c>
      <c r="D109" s="5" t="n">
        <v>202.23</v>
      </c>
      <c r="E109" s="5" t="n">
        <v>101.76</v>
      </c>
      <c r="F109" s="6" t="n">
        <v>44509</v>
      </c>
      <c r="G109" s="7" t="b">
        <f aca="false">TRUE()</f>
        <v>1</v>
      </c>
    </row>
    <row r="110" customFormat="false" ht="15" hidden="false" customHeight="false" outlineLevel="0" collapsed="false">
      <c r="A110" s="4" t="s">
        <v>256</v>
      </c>
      <c r="B110" s="4" t="s">
        <v>257</v>
      </c>
      <c r="C110" s="4" t="s">
        <v>8</v>
      </c>
      <c r="D110" s="5" t="n">
        <v>512.47</v>
      </c>
      <c r="E110" s="5" t="n">
        <v>247.19</v>
      </c>
      <c r="F110" s="6" t="n">
        <v>45151</v>
      </c>
      <c r="G110" s="7" t="b">
        <f aca="false">FALSE()</f>
        <v>0</v>
      </c>
    </row>
    <row r="111" customFormat="false" ht="15" hidden="false" customHeight="false" outlineLevel="0" collapsed="false">
      <c r="A111" s="4" t="s">
        <v>258</v>
      </c>
      <c r="B111" s="4" t="s">
        <v>259</v>
      </c>
      <c r="C111" s="4" t="s">
        <v>8</v>
      </c>
      <c r="D111" s="5" t="n">
        <v>268.03</v>
      </c>
      <c r="E111" s="5" t="n">
        <v>138.85</v>
      </c>
      <c r="F111" s="6" t="n">
        <v>45773</v>
      </c>
      <c r="G111" s="7" t="b">
        <f aca="false">TRUE()</f>
        <v>1</v>
      </c>
    </row>
    <row r="112" customFormat="false" ht="15" hidden="false" customHeight="false" outlineLevel="0" collapsed="false">
      <c r="A112" s="4" t="s">
        <v>260</v>
      </c>
      <c r="B112" s="4" t="s">
        <v>261</v>
      </c>
      <c r="C112" s="4" t="s">
        <v>31</v>
      </c>
      <c r="D112" s="5" t="n">
        <v>471.95</v>
      </c>
      <c r="E112" s="5" t="n">
        <v>166.3</v>
      </c>
      <c r="F112" s="6" t="n">
        <v>44917</v>
      </c>
      <c r="G112" s="7" t="b">
        <f aca="false">TRUE()</f>
        <v>1</v>
      </c>
    </row>
    <row r="113" customFormat="false" ht="15" hidden="false" customHeight="false" outlineLevel="0" collapsed="false">
      <c r="A113" s="4" t="s">
        <v>262</v>
      </c>
      <c r="B113" s="4" t="s">
        <v>263</v>
      </c>
      <c r="C113" s="4" t="s">
        <v>26</v>
      </c>
      <c r="D113" s="5" t="n">
        <v>1027.8</v>
      </c>
      <c r="E113" s="5" t="n">
        <v>751.7</v>
      </c>
      <c r="F113" s="6" t="n">
        <v>45055</v>
      </c>
      <c r="G113" s="7" t="b">
        <f aca="false">TRUE()</f>
        <v>1</v>
      </c>
    </row>
    <row r="114" customFormat="false" ht="15" hidden="false" customHeight="false" outlineLevel="0" collapsed="false">
      <c r="A114" s="4" t="s">
        <v>264</v>
      </c>
      <c r="B114" s="4" t="s">
        <v>265</v>
      </c>
      <c r="C114" s="4" t="s">
        <v>26</v>
      </c>
      <c r="D114" s="5" t="n">
        <v>282.82</v>
      </c>
      <c r="E114" s="5" t="n">
        <v>148.29</v>
      </c>
      <c r="F114" s="6" t="n">
        <v>44256</v>
      </c>
      <c r="G114" s="7" t="b">
        <f aca="false">FALSE()</f>
        <v>0</v>
      </c>
    </row>
    <row r="115" customFormat="false" ht="15" hidden="false" customHeight="false" outlineLevel="0" collapsed="false">
      <c r="A115" s="4" t="s">
        <v>266</v>
      </c>
      <c r="B115" s="4" t="s">
        <v>267</v>
      </c>
      <c r="C115" s="4" t="s">
        <v>20</v>
      </c>
      <c r="D115" s="5" t="n">
        <v>810.93</v>
      </c>
      <c r="E115" s="5" t="n">
        <v>542.72</v>
      </c>
      <c r="F115" s="6" t="n">
        <v>45680</v>
      </c>
      <c r="G115" s="7" t="b">
        <f aca="false">TRUE()</f>
        <v>1</v>
      </c>
    </row>
    <row r="116" customFormat="false" ht="15" hidden="false" customHeight="false" outlineLevel="0" collapsed="false">
      <c r="A116" s="4" t="s">
        <v>268</v>
      </c>
      <c r="B116" s="4" t="s">
        <v>269</v>
      </c>
      <c r="C116" s="4" t="s">
        <v>26</v>
      </c>
      <c r="D116" s="5" t="n">
        <v>1105.46</v>
      </c>
      <c r="E116" s="5" t="n">
        <v>820.57</v>
      </c>
      <c r="F116" s="6" t="n">
        <v>45290</v>
      </c>
      <c r="G116" s="7" t="b">
        <f aca="false">TRUE()</f>
        <v>1</v>
      </c>
    </row>
    <row r="117" customFormat="false" ht="15" hidden="false" customHeight="false" outlineLevel="0" collapsed="false">
      <c r="A117" s="4" t="s">
        <v>270</v>
      </c>
      <c r="B117" s="4" t="s">
        <v>271</v>
      </c>
      <c r="C117" s="4" t="s">
        <v>26</v>
      </c>
      <c r="D117" s="5" t="n">
        <v>720.47</v>
      </c>
      <c r="E117" s="5" t="n">
        <v>443.23</v>
      </c>
      <c r="F117" s="6" t="n">
        <v>44368</v>
      </c>
      <c r="G117" s="7" t="b">
        <f aca="false">FALSE()</f>
        <v>0</v>
      </c>
    </row>
    <row r="118" customFormat="false" ht="15" hidden="false" customHeight="false" outlineLevel="0" collapsed="false">
      <c r="A118" s="4" t="s">
        <v>272</v>
      </c>
      <c r="B118" s="4" t="s">
        <v>273</v>
      </c>
      <c r="C118" s="4" t="s">
        <v>14</v>
      </c>
      <c r="D118" s="5" t="n">
        <v>1043.55</v>
      </c>
      <c r="E118" s="5" t="n">
        <v>441.1</v>
      </c>
      <c r="F118" s="6" t="n">
        <v>44729</v>
      </c>
      <c r="G118" s="7" t="b">
        <f aca="false">FALSE()</f>
        <v>0</v>
      </c>
    </row>
    <row r="119" customFormat="false" ht="15" hidden="false" customHeight="false" outlineLevel="0" collapsed="false">
      <c r="A119" s="4" t="s">
        <v>274</v>
      </c>
      <c r="B119" s="4" t="s">
        <v>275</v>
      </c>
      <c r="C119" s="4" t="s">
        <v>20</v>
      </c>
      <c r="D119" s="5" t="n">
        <v>273.7</v>
      </c>
      <c r="E119" s="5" t="n">
        <v>131.58</v>
      </c>
      <c r="F119" s="6" t="n">
        <v>45755</v>
      </c>
      <c r="G119" s="7" t="b">
        <f aca="false">FALSE()</f>
        <v>0</v>
      </c>
    </row>
    <row r="120" customFormat="false" ht="15" hidden="false" customHeight="false" outlineLevel="0" collapsed="false">
      <c r="A120" s="4" t="s">
        <v>276</v>
      </c>
      <c r="B120" s="4" t="s">
        <v>277</v>
      </c>
      <c r="C120" s="4" t="s">
        <v>20</v>
      </c>
      <c r="D120" s="5" t="n">
        <v>908.61</v>
      </c>
      <c r="E120" s="5" t="n">
        <v>620.37</v>
      </c>
      <c r="F120" s="6" t="n">
        <v>44713</v>
      </c>
      <c r="G120" s="7" t="b">
        <f aca="false">TRUE()</f>
        <v>1</v>
      </c>
    </row>
    <row r="121" customFormat="false" ht="15" hidden="false" customHeight="false" outlineLevel="0" collapsed="false">
      <c r="A121" s="4" t="s">
        <v>278</v>
      </c>
      <c r="B121" s="4" t="s">
        <v>279</v>
      </c>
      <c r="C121" s="4" t="s">
        <v>26</v>
      </c>
      <c r="D121" s="5" t="n">
        <v>47.78</v>
      </c>
      <c r="E121" s="5" t="n">
        <v>27.03</v>
      </c>
      <c r="F121" s="6" t="n">
        <v>44913</v>
      </c>
      <c r="G121" s="7" t="b">
        <f aca="false">TRUE()</f>
        <v>1</v>
      </c>
    </row>
    <row r="122" customFormat="false" ht="15" hidden="false" customHeight="false" outlineLevel="0" collapsed="false">
      <c r="A122" s="4" t="s">
        <v>280</v>
      </c>
      <c r="B122" s="4" t="s">
        <v>281</v>
      </c>
      <c r="C122" s="4" t="s">
        <v>8</v>
      </c>
      <c r="D122" s="5" t="n">
        <v>942.95</v>
      </c>
      <c r="E122" s="5" t="n">
        <v>575.86</v>
      </c>
      <c r="F122" s="6" t="n">
        <v>45741</v>
      </c>
      <c r="G122" s="7" t="b">
        <f aca="false">TRUE()</f>
        <v>1</v>
      </c>
    </row>
    <row r="123" customFormat="false" ht="15" hidden="false" customHeight="false" outlineLevel="0" collapsed="false">
      <c r="A123" s="4" t="s">
        <v>282</v>
      </c>
      <c r="B123" s="4" t="s">
        <v>283</v>
      </c>
      <c r="C123" s="4" t="s">
        <v>14</v>
      </c>
      <c r="D123" s="5" t="n">
        <v>259.25</v>
      </c>
      <c r="E123" s="5" t="n">
        <v>92.85</v>
      </c>
      <c r="F123" s="6" t="n">
        <v>44509</v>
      </c>
      <c r="G123" s="7" t="b">
        <f aca="false">TRUE()</f>
        <v>1</v>
      </c>
    </row>
    <row r="124" customFormat="false" ht="15" hidden="false" customHeight="false" outlineLevel="0" collapsed="false">
      <c r="A124" s="4" t="s">
        <v>284</v>
      </c>
      <c r="B124" s="4" t="s">
        <v>285</v>
      </c>
      <c r="C124" s="4" t="s">
        <v>14</v>
      </c>
      <c r="D124" s="5" t="n">
        <v>581.43</v>
      </c>
      <c r="E124" s="5" t="n">
        <v>230.1</v>
      </c>
      <c r="F124" s="6" t="n">
        <v>44643</v>
      </c>
      <c r="G124" s="7" t="b">
        <f aca="false">FALSE()</f>
        <v>0</v>
      </c>
    </row>
    <row r="125" customFormat="false" ht="15" hidden="false" customHeight="false" outlineLevel="0" collapsed="false">
      <c r="A125" s="4" t="s">
        <v>286</v>
      </c>
      <c r="B125" s="4" t="s">
        <v>287</v>
      </c>
      <c r="C125" s="4" t="s">
        <v>20</v>
      </c>
      <c r="D125" s="5" t="n">
        <v>926.11</v>
      </c>
      <c r="E125" s="5" t="n">
        <v>386.29</v>
      </c>
      <c r="F125" s="6" t="n">
        <v>45440</v>
      </c>
      <c r="G125" s="7" t="b">
        <f aca="false">TRUE()</f>
        <v>1</v>
      </c>
    </row>
    <row r="126" customFormat="false" ht="15" hidden="false" customHeight="false" outlineLevel="0" collapsed="false">
      <c r="A126" s="4" t="s">
        <v>288</v>
      </c>
      <c r="B126" s="4" t="s">
        <v>289</v>
      </c>
      <c r="C126" s="4" t="s">
        <v>14</v>
      </c>
      <c r="D126" s="5" t="n">
        <v>1158.55</v>
      </c>
      <c r="E126" s="5" t="n">
        <v>455.59</v>
      </c>
      <c r="F126" s="6" t="n">
        <v>44249</v>
      </c>
      <c r="G126" s="7" t="b">
        <f aca="false">TRUE()</f>
        <v>1</v>
      </c>
    </row>
    <row r="127" customFormat="false" ht="15" hidden="false" customHeight="false" outlineLevel="0" collapsed="false">
      <c r="A127" s="4" t="s">
        <v>290</v>
      </c>
      <c r="B127" s="4" t="s">
        <v>291</v>
      </c>
      <c r="C127" s="4" t="s">
        <v>31</v>
      </c>
      <c r="D127" s="5" t="n">
        <v>820.88</v>
      </c>
      <c r="E127" s="5" t="n">
        <v>601.93</v>
      </c>
      <c r="F127" s="6" t="n">
        <v>45009</v>
      </c>
      <c r="G127" s="7" t="b">
        <f aca="false">TRUE()</f>
        <v>1</v>
      </c>
    </row>
    <row r="128" customFormat="false" ht="15" hidden="false" customHeight="false" outlineLevel="0" collapsed="false">
      <c r="A128" s="4" t="s">
        <v>292</v>
      </c>
      <c r="B128" s="4" t="s">
        <v>293</v>
      </c>
      <c r="C128" s="4" t="s">
        <v>8</v>
      </c>
      <c r="D128" s="5" t="n">
        <v>720.71</v>
      </c>
      <c r="E128" s="5" t="n">
        <v>491.69</v>
      </c>
      <c r="F128" s="6" t="n">
        <v>44694</v>
      </c>
      <c r="G128" s="7" t="b">
        <f aca="false">TRUE()</f>
        <v>1</v>
      </c>
    </row>
    <row r="129" customFormat="false" ht="15" hidden="false" customHeight="false" outlineLevel="0" collapsed="false">
      <c r="A129" s="4" t="s">
        <v>294</v>
      </c>
      <c r="B129" s="4" t="s">
        <v>295</v>
      </c>
      <c r="C129" s="4" t="s">
        <v>20</v>
      </c>
      <c r="D129" s="5" t="n">
        <v>1024.09</v>
      </c>
      <c r="E129" s="5" t="n">
        <v>604.38</v>
      </c>
      <c r="F129" s="6" t="n">
        <v>44444</v>
      </c>
      <c r="G129" s="7" t="b">
        <f aca="false">TRUE()</f>
        <v>1</v>
      </c>
    </row>
    <row r="130" customFormat="false" ht="15" hidden="false" customHeight="false" outlineLevel="0" collapsed="false">
      <c r="A130" s="4" t="s">
        <v>296</v>
      </c>
      <c r="B130" s="4" t="s">
        <v>297</v>
      </c>
      <c r="C130" s="4" t="s">
        <v>20</v>
      </c>
      <c r="D130" s="5" t="n">
        <v>650.98</v>
      </c>
      <c r="E130" s="5" t="n">
        <v>400.1</v>
      </c>
      <c r="F130" s="6" t="n">
        <v>44338</v>
      </c>
      <c r="G130" s="7" t="b">
        <f aca="false">TRUE()</f>
        <v>1</v>
      </c>
    </row>
    <row r="131" customFormat="false" ht="15" hidden="false" customHeight="false" outlineLevel="0" collapsed="false">
      <c r="A131" s="4" t="s">
        <v>298</v>
      </c>
      <c r="B131" s="4" t="s">
        <v>299</v>
      </c>
      <c r="C131" s="4" t="s">
        <v>8</v>
      </c>
      <c r="D131" s="5" t="n">
        <v>1023.25</v>
      </c>
      <c r="E131" s="5" t="n">
        <v>694.72</v>
      </c>
      <c r="F131" s="6" t="n">
        <v>44413</v>
      </c>
      <c r="G131" s="7" t="b">
        <f aca="false">FALSE()</f>
        <v>0</v>
      </c>
    </row>
    <row r="132" customFormat="false" ht="15" hidden="false" customHeight="false" outlineLevel="0" collapsed="false">
      <c r="A132" s="4" t="s">
        <v>300</v>
      </c>
      <c r="B132" s="4" t="s">
        <v>301</v>
      </c>
      <c r="C132" s="4" t="s">
        <v>20</v>
      </c>
      <c r="D132" s="5" t="n">
        <v>771.81</v>
      </c>
      <c r="E132" s="5" t="n">
        <v>525.98</v>
      </c>
      <c r="F132" s="6" t="n">
        <v>45645</v>
      </c>
      <c r="G132" s="7" t="b">
        <f aca="false">TRUE()</f>
        <v>1</v>
      </c>
    </row>
    <row r="133" customFormat="false" ht="15" hidden="false" customHeight="false" outlineLevel="0" collapsed="false">
      <c r="A133" s="4" t="s">
        <v>302</v>
      </c>
      <c r="B133" s="4" t="s">
        <v>303</v>
      </c>
      <c r="C133" s="4" t="s">
        <v>26</v>
      </c>
      <c r="D133" s="5" t="n">
        <v>231.96</v>
      </c>
      <c r="E133" s="5" t="n">
        <v>129.6</v>
      </c>
      <c r="F133" s="6" t="n">
        <v>45529</v>
      </c>
      <c r="G133" s="7" t="b">
        <f aca="false">TRUE()</f>
        <v>1</v>
      </c>
    </row>
    <row r="134" customFormat="false" ht="15" hidden="false" customHeight="false" outlineLevel="0" collapsed="false">
      <c r="A134" s="4" t="s">
        <v>304</v>
      </c>
      <c r="B134" s="4" t="s">
        <v>305</v>
      </c>
      <c r="C134" s="4" t="s">
        <v>31</v>
      </c>
      <c r="D134" s="5" t="n">
        <v>974.63</v>
      </c>
      <c r="E134" s="5" t="n">
        <v>550.93</v>
      </c>
      <c r="F134" s="6" t="n">
        <v>45187</v>
      </c>
      <c r="G134" s="7" t="b">
        <f aca="false">FALSE()</f>
        <v>0</v>
      </c>
    </row>
    <row r="135" customFormat="false" ht="15" hidden="false" customHeight="false" outlineLevel="0" collapsed="false">
      <c r="A135" s="4" t="s">
        <v>306</v>
      </c>
      <c r="B135" s="4" t="s">
        <v>307</v>
      </c>
      <c r="C135" s="4" t="s">
        <v>26</v>
      </c>
      <c r="D135" s="5" t="n">
        <v>995.24</v>
      </c>
      <c r="E135" s="5" t="n">
        <v>584.2</v>
      </c>
      <c r="F135" s="6" t="n">
        <v>44857</v>
      </c>
      <c r="G135" s="7" t="b">
        <f aca="false">TRUE()</f>
        <v>1</v>
      </c>
    </row>
    <row r="136" customFormat="false" ht="15" hidden="false" customHeight="false" outlineLevel="0" collapsed="false">
      <c r="A136" s="4" t="s">
        <v>308</v>
      </c>
      <c r="B136" s="4" t="s">
        <v>309</v>
      </c>
      <c r="C136" s="4" t="s">
        <v>8</v>
      </c>
      <c r="D136" s="5" t="n">
        <v>352.74</v>
      </c>
      <c r="E136" s="5" t="n">
        <v>187.07</v>
      </c>
      <c r="F136" s="6" t="n">
        <v>45733</v>
      </c>
      <c r="G136" s="7" t="b">
        <f aca="false">FALSE()</f>
        <v>0</v>
      </c>
    </row>
    <row r="137" customFormat="false" ht="15" hidden="false" customHeight="false" outlineLevel="0" collapsed="false">
      <c r="A137" s="4" t="s">
        <v>310</v>
      </c>
      <c r="B137" s="4" t="s">
        <v>311</v>
      </c>
      <c r="C137" s="4" t="s">
        <v>31</v>
      </c>
      <c r="D137" s="5" t="n">
        <v>742.14</v>
      </c>
      <c r="E137" s="5" t="n">
        <v>372.25</v>
      </c>
      <c r="F137" s="6" t="n">
        <v>44255</v>
      </c>
      <c r="G137" s="7" t="b">
        <f aca="false">FALSE()</f>
        <v>0</v>
      </c>
    </row>
    <row r="138" customFormat="false" ht="15" hidden="false" customHeight="false" outlineLevel="0" collapsed="false">
      <c r="A138" s="4" t="s">
        <v>312</v>
      </c>
      <c r="B138" s="4" t="s">
        <v>313</v>
      </c>
      <c r="C138" s="4" t="s">
        <v>20</v>
      </c>
      <c r="D138" s="5" t="n">
        <v>238.66</v>
      </c>
      <c r="E138" s="5" t="n">
        <v>103.78</v>
      </c>
      <c r="F138" s="6" t="n">
        <v>45830</v>
      </c>
      <c r="G138" s="7" t="b">
        <f aca="false">TRUE()</f>
        <v>1</v>
      </c>
    </row>
    <row r="139" customFormat="false" ht="15" hidden="false" customHeight="false" outlineLevel="0" collapsed="false">
      <c r="A139" s="4" t="s">
        <v>314</v>
      </c>
      <c r="B139" s="4" t="s">
        <v>315</v>
      </c>
      <c r="C139" s="4" t="s">
        <v>20</v>
      </c>
      <c r="D139" s="5" t="n">
        <v>353.6</v>
      </c>
      <c r="E139" s="5" t="n">
        <v>208.08</v>
      </c>
      <c r="F139" s="6" t="n">
        <v>44762</v>
      </c>
      <c r="G139" s="7" t="b">
        <f aca="false">TRUE()</f>
        <v>1</v>
      </c>
    </row>
    <row r="140" customFormat="false" ht="15" hidden="false" customHeight="false" outlineLevel="0" collapsed="false">
      <c r="A140" s="4" t="s">
        <v>316</v>
      </c>
      <c r="B140" s="4" t="s">
        <v>317</v>
      </c>
      <c r="C140" s="4" t="s">
        <v>31</v>
      </c>
      <c r="D140" s="5" t="n">
        <v>1138.97</v>
      </c>
      <c r="E140" s="5" t="n">
        <v>437.64</v>
      </c>
      <c r="F140" s="6" t="n">
        <v>45671</v>
      </c>
      <c r="G140" s="7" t="b">
        <f aca="false">FALSE()</f>
        <v>0</v>
      </c>
    </row>
    <row r="141" customFormat="false" ht="15" hidden="false" customHeight="false" outlineLevel="0" collapsed="false">
      <c r="A141" s="4" t="s">
        <v>318</v>
      </c>
      <c r="B141" s="4" t="s">
        <v>319</v>
      </c>
      <c r="C141" s="4" t="s">
        <v>26</v>
      </c>
      <c r="D141" s="5" t="n">
        <v>677.33</v>
      </c>
      <c r="E141" s="5" t="n">
        <v>302.18</v>
      </c>
      <c r="F141" s="6" t="n">
        <v>45172</v>
      </c>
      <c r="G141" s="7" t="b">
        <f aca="false">FALSE()</f>
        <v>0</v>
      </c>
    </row>
    <row r="142" customFormat="false" ht="15" hidden="false" customHeight="false" outlineLevel="0" collapsed="false">
      <c r="A142" s="4" t="s">
        <v>320</v>
      </c>
      <c r="B142" s="4" t="s">
        <v>321</v>
      </c>
      <c r="C142" s="4" t="s">
        <v>26</v>
      </c>
      <c r="D142" s="5" t="n">
        <v>956.7</v>
      </c>
      <c r="E142" s="5" t="n">
        <v>370.45</v>
      </c>
      <c r="F142" s="6" t="n">
        <v>44650</v>
      </c>
      <c r="G142" s="7" t="b">
        <f aca="false">FALSE()</f>
        <v>0</v>
      </c>
    </row>
    <row r="143" customFormat="false" ht="15" hidden="false" customHeight="false" outlineLevel="0" collapsed="false">
      <c r="A143" s="4" t="s">
        <v>322</v>
      </c>
      <c r="B143" s="4" t="s">
        <v>323</v>
      </c>
      <c r="C143" s="4" t="s">
        <v>14</v>
      </c>
      <c r="D143" s="5" t="n">
        <v>384.79</v>
      </c>
      <c r="E143" s="5" t="n">
        <v>224.19</v>
      </c>
      <c r="F143" s="6" t="n">
        <v>45166</v>
      </c>
      <c r="G143" s="7" t="b">
        <f aca="false">TRUE()</f>
        <v>1</v>
      </c>
    </row>
    <row r="144" customFormat="false" ht="15" hidden="false" customHeight="false" outlineLevel="0" collapsed="false">
      <c r="A144" s="4" t="s">
        <v>324</v>
      </c>
      <c r="B144" s="4" t="s">
        <v>325</v>
      </c>
      <c r="C144" s="4" t="s">
        <v>26</v>
      </c>
      <c r="D144" s="5" t="n">
        <v>1196.04</v>
      </c>
      <c r="E144" s="5" t="n">
        <v>681.93</v>
      </c>
      <c r="F144" s="6" t="n">
        <v>44917</v>
      </c>
      <c r="G144" s="7" t="b">
        <f aca="false">FALSE()</f>
        <v>0</v>
      </c>
    </row>
    <row r="145" customFormat="false" ht="15" hidden="false" customHeight="false" outlineLevel="0" collapsed="false">
      <c r="A145" s="4" t="s">
        <v>326</v>
      </c>
      <c r="B145" s="4" t="s">
        <v>327</v>
      </c>
      <c r="C145" s="4" t="s">
        <v>20</v>
      </c>
      <c r="D145" s="5" t="n">
        <v>385.28</v>
      </c>
      <c r="E145" s="5" t="n">
        <v>170.38</v>
      </c>
      <c r="F145" s="6" t="n">
        <v>45674</v>
      </c>
      <c r="G145" s="7" t="b">
        <f aca="false">TRUE()</f>
        <v>1</v>
      </c>
    </row>
    <row r="146" customFormat="false" ht="15" hidden="false" customHeight="false" outlineLevel="0" collapsed="false">
      <c r="A146" s="4" t="s">
        <v>328</v>
      </c>
      <c r="B146" s="4" t="s">
        <v>329</v>
      </c>
      <c r="C146" s="4" t="s">
        <v>20</v>
      </c>
      <c r="D146" s="5" t="n">
        <v>165.48</v>
      </c>
      <c r="E146" s="5" t="n">
        <v>93.39</v>
      </c>
      <c r="F146" s="6" t="n">
        <v>45757</v>
      </c>
      <c r="G146" s="7" t="b">
        <f aca="false">TRUE()</f>
        <v>1</v>
      </c>
    </row>
    <row r="147" customFormat="false" ht="15" hidden="false" customHeight="false" outlineLevel="0" collapsed="false">
      <c r="A147" s="4" t="s">
        <v>330</v>
      </c>
      <c r="B147" s="4" t="s">
        <v>331</v>
      </c>
      <c r="C147" s="4" t="s">
        <v>14</v>
      </c>
      <c r="D147" s="5" t="n">
        <v>279.25</v>
      </c>
      <c r="E147" s="5" t="n">
        <v>151.82</v>
      </c>
      <c r="F147" s="6" t="n">
        <v>45680</v>
      </c>
      <c r="G147" s="7" t="b">
        <f aca="false">TRUE()</f>
        <v>1</v>
      </c>
    </row>
    <row r="148" customFormat="false" ht="15" hidden="false" customHeight="false" outlineLevel="0" collapsed="false">
      <c r="A148" s="4" t="s">
        <v>332</v>
      </c>
      <c r="B148" s="4" t="s">
        <v>333</v>
      </c>
      <c r="C148" s="4" t="s">
        <v>8</v>
      </c>
      <c r="D148" s="5" t="n">
        <v>1003.34</v>
      </c>
      <c r="E148" s="5" t="n">
        <v>470.06</v>
      </c>
      <c r="F148" s="6" t="n">
        <v>44936</v>
      </c>
      <c r="G148" s="7" t="b">
        <f aca="false">TRUE()</f>
        <v>1</v>
      </c>
    </row>
    <row r="149" customFormat="false" ht="15" hidden="false" customHeight="false" outlineLevel="0" collapsed="false">
      <c r="A149" s="4" t="s">
        <v>334</v>
      </c>
      <c r="B149" s="4" t="s">
        <v>335</v>
      </c>
      <c r="C149" s="4" t="s">
        <v>20</v>
      </c>
      <c r="D149" s="5" t="n">
        <v>41.62</v>
      </c>
      <c r="E149" s="5" t="n">
        <v>23.46</v>
      </c>
      <c r="F149" s="6" t="n">
        <v>44758</v>
      </c>
      <c r="G149" s="7" t="b">
        <f aca="false">TRUE()</f>
        <v>1</v>
      </c>
    </row>
    <row r="150" customFormat="false" ht="15" hidden="false" customHeight="false" outlineLevel="0" collapsed="false">
      <c r="A150" s="4" t="s">
        <v>336</v>
      </c>
      <c r="B150" s="4" t="s">
        <v>337</v>
      </c>
      <c r="C150" s="4" t="s">
        <v>8</v>
      </c>
      <c r="D150" s="5" t="n">
        <v>675.2</v>
      </c>
      <c r="E150" s="5" t="n">
        <v>424.68</v>
      </c>
      <c r="F150" s="6" t="n">
        <v>44455</v>
      </c>
      <c r="G150" s="7" t="b">
        <f aca="false">FALSE()</f>
        <v>0</v>
      </c>
    </row>
    <row r="151" customFormat="false" ht="15" hidden="false" customHeight="false" outlineLevel="0" collapsed="false">
      <c r="A151" s="4" t="s">
        <v>338</v>
      </c>
      <c r="B151" s="4" t="s">
        <v>339</v>
      </c>
      <c r="C151" s="4" t="s">
        <v>8</v>
      </c>
      <c r="D151" s="5" t="n">
        <v>1050.45</v>
      </c>
      <c r="E151" s="5" t="n">
        <v>608.87</v>
      </c>
      <c r="F151" s="6" t="n">
        <v>45158</v>
      </c>
      <c r="G151" s="7" t="b">
        <f aca="false">FALSE()</f>
        <v>0</v>
      </c>
    </row>
    <row r="152" customFormat="false" ht="15" hidden="false" customHeight="false" outlineLevel="0" collapsed="false">
      <c r="A152" s="4" t="s">
        <v>340</v>
      </c>
      <c r="B152" s="4" t="s">
        <v>341</v>
      </c>
      <c r="C152" s="4" t="s">
        <v>26</v>
      </c>
      <c r="D152" s="5" t="n">
        <v>425.33</v>
      </c>
      <c r="E152" s="5" t="n">
        <v>313.13</v>
      </c>
      <c r="F152" s="6" t="n">
        <v>44714</v>
      </c>
      <c r="G152" s="7" t="b">
        <f aca="false">FALSE()</f>
        <v>0</v>
      </c>
    </row>
    <row r="153" customFormat="false" ht="15" hidden="false" customHeight="false" outlineLevel="0" collapsed="false">
      <c r="A153" s="4" t="s">
        <v>342</v>
      </c>
      <c r="B153" s="4" t="s">
        <v>343</v>
      </c>
      <c r="C153" s="4" t="s">
        <v>8</v>
      </c>
      <c r="D153" s="5" t="n">
        <v>990.99</v>
      </c>
      <c r="E153" s="5" t="n">
        <v>505.69</v>
      </c>
      <c r="F153" s="6" t="n">
        <v>44348</v>
      </c>
      <c r="G153" s="7" t="b">
        <f aca="false">TRUE()</f>
        <v>1</v>
      </c>
    </row>
    <row r="154" customFormat="false" ht="15" hidden="false" customHeight="false" outlineLevel="0" collapsed="false">
      <c r="A154" s="4" t="s">
        <v>344</v>
      </c>
      <c r="B154" s="4" t="s">
        <v>345</v>
      </c>
      <c r="C154" s="4" t="s">
        <v>14</v>
      </c>
      <c r="D154" s="5" t="n">
        <v>200.31</v>
      </c>
      <c r="E154" s="5" t="n">
        <v>115.21</v>
      </c>
      <c r="F154" s="6" t="n">
        <v>44819</v>
      </c>
      <c r="G154" s="7" t="b">
        <f aca="false">TRUE()</f>
        <v>1</v>
      </c>
    </row>
    <row r="155" customFormat="false" ht="15" hidden="false" customHeight="false" outlineLevel="0" collapsed="false">
      <c r="A155" s="4" t="s">
        <v>346</v>
      </c>
      <c r="B155" s="4" t="s">
        <v>347</v>
      </c>
      <c r="C155" s="4" t="s">
        <v>14</v>
      </c>
      <c r="D155" s="5" t="n">
        <v>164.18</v>
      </c>
      <c r="E155" s="5" t="n">
        <v>107.67</v>
      </c>
      <c r="F155" s="6" t="n">
        <v>45438</v>
      </c>
      <c r="G155" s="7" t="b">
        <f aca="false">TRUE()</f>
        <v>1</v>
      </c>
    </row>
    <row r="156" customFormat="false" ht="15" hidden="false" customHeight="false" outlineLevel="0" collapsed="false">
      <c r="A156" s="4" t="s">
        <v>348</v>
      </c>
      <c r="B156" s="4" t="s">
        <v>349</v>
      </c>
      <c r="C156" s="4" t="s">
        <v>31</v>
      </c>
      <c r="D156" s="5" t="n">
        <v>471.94</v>
      </c>
      <c r="E156" s="5" t="n">
        <v>336.68</v>
      </c>
      <c r="F156" s="6" t="n">
        <v>44805</v>
      </c>
      <c r="G156" s="7" t="b">
        <f aca="false">FALSE()</f>
        <v>0</v>
      </c>
    </row>
    <row r="157" customFormat="false" ht="15" hidden="false" customHeight="false" outlineLevel="0" collapsed="false">
      <c r="A157" s="4" t="s">
        <v>350</v>
      </c>
      <c r="B157" s="4" t="s">
        <v>351</v>
      </c>
      <c r="C157" s="4" t="s">
        <v>20</v>
      </c>
      <c r="D157" s="5" t="n">
        <v>693.14</v>
      </c>
      <c r="E157" s="5" t="n">
        <v>259.3</v>
      </c>
      <c r="F157" s="6" t="n">
        <v>45712</v>
      </c>
      <c r="G157" s="7" t="b">
        <f aca="false">TRUE()</f>
        <v>1</v>
      </c>
    </row>
    <row r="158" customFormat="false" ht="15" hidden="false" customHeight="false" outlineLevel="0" collapsed="false">
      <c r="A158" s="4" t="s">
        <v>352</v>
      </c>
      <c r="B158" s="4" t="s">
        <v>353</v>
      </c>
      <c r="C158" s="4" t="s">
        <v>14</v>
      </c>
      <c r="D158" s="5" t="n">
        <v>759.98</v>
      </c>
      <c r="E158" s="5" t="n">
        <v>346.44</v>
      </c>
      <c r="F158" s="6" t="n">
        <v>44363</v>
      </c>
      <c r="G158" s="7" t="b">
        <f aca="false">TRUE()</f>
        <v>1</v>
      </c>
    </row>
    <row r="159" customFormat="false" ht="15" hidden="false" customHeight="false" outlineLevel="0" collapsed="false">
      <c r="A159" s="4" t="s">
        <v>354</v>
      </c>
      <c r="B159" s="4" t="s">
        <v>355</v>
      </c>
      <c r="C159" s="4" t="s">
        <v>14</v>
      </c>
      <c r="D159" s="5" t="n">
        <v>229.23</v>
      </c>
      <c r="E159" s="5" t="n">
        <v>87.11</v>
      </c>
      <c r="F159" s="6" t="n">
        <v>44202</v>
      </c>
      <c r="G159" s="7" t="b">
        <f aca="false">FALSE()</f>
        <v>0</v>
      </c>
    </row>
    <row r="160" customFormat="false" ht="15" hidden="false" customHeight="false" outlineLevel="0" collapsed="false">
      <c r="A160" s="4" t="s">
        <v>356</v>
      </c>
      <c r="B160" s="4" t="s">
        <v>357</v>
      </c>
      <c r="C160" s="4" t="s">
        <v>26</v>
      </c>
      <c r="D160" s="5" t="n">
        <v>835.01</v>
      </c>
      <c r="E160" s="5" t="n">
        <v>449.21</v>
      </c>
      <c r="F160" s="6" t="n">
        <v>44263</v>
      </c>
      <c r="G160" s="7" t="b">
        <f aca="false">TRUE()</f>
        <v>1</v>
      </c>
    </row>
    <row r="161" customFormat="false" ht="15" hidden="false" customHeight="false" outlineLevel="0" collapsed="false">
      <c r="A161" s="4" t="s">
        <v>358</v>
      </c>
      <c r="B161" s="4" t="s">
        <v>359</v>
      </c>
      <c r="C161" s="4" t="s">
        <v>20</v>
      </c>
      <c r="D161" s="5" t="n">
        <v>855.67</v>
      </c>
      <c r="E161" s="5" t="n">
        <v>540.09</v>
      </c>
      <c r="F161" s="6" t="n">
        <v>45126</v>
      </c>
      <c r="G161" s="7" t="b">
        <f aca="false">TRUE()</f>
        <v>1</v>
      </c>
    </row>
    <row r="162" customFormat="false" ht="15" hidden="false" customHeight="false" outlineLevel="0" collapsed="false">
      <c r="A162" s="4" t="s">
        <v>360</v>
      </c>
      <c r="B162" s="4" t="s">
        <v>361</v>
      </c>
      <c r="C162" s="4" t="s">
        <v>14</v>
      </c>
      <c r="D162" s="5" t="n">
        <v>1110.6</v>
      </c>
      <c r="E162" s="5" t="n">
        <v>738.69</v>
      </c>
      <c r="F162" s="6" t="n">
        <v>45477</v>
      </c>
      <c r="G162" s="7" t="b">
        <f aca="false">TRUE()</f>
        <v>1</v>
      </c>
    </row>
    <row r="163" customFormat="false" ht="15" hidden="false" customHeight="false" outlineLevel="0" collapsed="false">
      <c r="A163" s="4" t="s">
        <v>362</v>
      </c>
      <c r="B163" s="4" t="s">
        <v>363</v>
      </c>
      <c r="C163" s="4" t="s">
        <v>26</v>
      </c>
      <c r="D163" s="5" t="n">
        <v>159.86</v>
      </c>
      <c r="E163" s="5" t="n">
        <v>70.33</v>
      </c>
      <c r="F163" s="6" t="n">
        <v>44502</v>
      </c>
      <c r="G163" s="7" t="b">
        <f aca="false">TRUE()</f>
        <v>1</v>
      </c>
    </row>
    <row r="164" customFormat="false" ht="15" hidden="false" customHeight="false" outlineLevel="0" collapsed="false">
      <c r="A164" s="4" t="s">
        <v>364</v>
      </c>
      <c r="B164" s="4" t="s">
        <v>365</v>
      </c>
      <c r="C164" s="4" t="s">
        <v>14</v>
      </c>
      <c r="D164" s="5" t="n">
        <v>108.91</v>
      </c>
      <c r="E164" s="5" t="n">
        <v>45.35</v>
      </c>
      <c r="F164" s="6" t="n">
        <v>44826</v>
      </c>
      <c r="G164" s="7" t="b">
        <f aca="false">TRUE()</f>
        <v>1</v>
      </c>
    </row>
    <row r="165" customFormat="false" ht="15" hidden="false" customHeight="false" outlineLevel="0" collapsed="false">
      <c r="A165" s="4" t="s">
        <v>366</v>
      </c>
      <c r="B165" s="4" t="s">
        <v>367</v>
      </c>
      <c r="C165" s="4" t="s">
        <v>26</v>
      </c>
      <c r="D165" s="5" t="n">
        <v>171.12</v>
      </c>
      <c r="E165" s="5" t="n">
        <v>107.03</v>
      </c>
      <c r="F165" s="6" t="n">
        <v>45630</v>
      </c>
      <c r="G165" s="7" t="b">
        <f aca="false">FALSE()</f>
        <v>0</v>
      </c>
    </row>
    <row r="166" customFormat="false" ht="15" hidden="false" customHeight="false" outlineLevel="0" collapsed="false">
      <c r="A166" s="4" t="s">
        <v>368</v>
      </c>
      <c r="B166" s="4" t="s">
        <v>369</v>
      </c>
      <c r="C166" s="4" t="s">
        <v>20</v>
      </c>
      <c r="D166" s="5" t="n">
        <v>613.05</v>
      </c>
      <c r="E166" s="5" t="n">
        <v>335.66</v>
      </c>
      <c r="F166" s="6" t="n">
        <v>44361</v>
      </c>
      <c r="G166" s="7" t="b">
        <f aca="false">TRUE()</f>
        <v>1</v>
      </c>
    </row>
    <row r="167" customFormat="false" ht="15" hidden="false" customHeight="false" outlineLevel="0" collapsed="false">
      <c r="A167" s="4" t="s">
        <v>370</v>
      </c>
      <c r="B167" s="4" t="s">
        <v>371</v>
      </c>
      <c r="C167" s="4" t="s">
        <v>26</v>
      </c>
      <c r="D167" s="5" t="n">
        <v>888.08</v>
      </c>
      <c r="E167" s="5" t="n">
        <v>525.29</v>
      </c>
      <c r="F167" s="6" t="n">
        <v>44249</v>
      </c>
      <c r="G167" s="7" t="b">
        <f aca="false">TRUE()</f>
        <v>1</v>
      </c>
    </row>
    <row r="168" customFormat="false" ht="15" hidden="false" customHeight="false" outlineLevel="0" collapsed="false">
      <c r="A168" s="4" t="s">
        <v>372</v>
      </c>
      <c r="B168" s="4" t="s">
        <v>373</v>
      </c>
      <c r="C168" s="4" t="s">
        <v>14</v>
      </c>
      <c r="D168" s="5" t="n">
        <v>1155.25</v>
      </c>
      <c r="E168" s="5" t="n">
        <v>790.63</v>
      </c>
      <c r="F168" s="6" t="n">
        <v>45375</v>
      </c>
      <c r="G168" s="7" t="b">
        <f aca="false">TRUE()</f>
        <v>1</v>
      </c>
    </row>
    <row r="169" customFormat="false" ht="15" hidden="false" customHeight="false" outlineLevel="0" collapsed="false">
      <c r="A169" s="4" t="s">
        <v>374</v>
      </c>
      <c r="B169" s="4" t="s">
        <v>375</v>
      </c>
      <c r="C169" s="4" t="s">
        <v>20</v>
      </c>
      <c r="D169" s="5" t="n">
        <v>702.09</v>
      </c>
      <c r="E169" s="5" t="n">
        <v>460.04</v>
      </c>
      <c r="F169" s="6" t="n">
        <v>44555</v>
      </c>
      <c r="G169" s="7" t="b">
        <f aca="false">FALSE()</f>
        <v>0</v>
      </c>
    </row>
    <row r="170" customFormat="false" ht="15" hidden="false" customHeight="false" outlineLevel="0" collapsed="false">
      <c r="A170" s="4" t="s">
        <v>376</v>
      </c>
      <c r="B170" s="4" t="s">
        <v>377</v>
      </c>
      <c r="C170" s="4" t="s">
        <v>31</v>
      </c>
      <c r="D170" s="5" t="n">
        <v>790.52</v>
      </c>
      <c r="E170" s="5" t="n">
        <v>566.35</v>
      </c>
      <c r="F170" s="6" t="n">
        <v>44568</v>
      </c>
      <c r="G170" s="7" t="b">
        <f aca="false">FALSE()</f>
        <v>0</v>
      </c>
    </row>
    <row r="171" customFormat="false" ht="15" hidden="false" customHeight="false" outlineLevel="0" collapsed="false">
      <c r="A171" s="4" t="s">
        <v>378</v>
      </c>
      <c r="B171" s="4" t="s">
        <v>379</v>
      </c>
      <c r="C171" s="4" t="s">
        <v>26</v>
      </c>
      <c r="D171" s="5" t="n">
        <v>1163.64</v>
      </c>
      <c r="E171" s="5" t="n">
        <v>626.04</v>
      </c>
      <c r="F171" s="6" t="n">
        <v>45033</v>
      </c>
      <c r="G171" s="7" t="b">
        <f aca="false">TRUE()</f>
        <v>1</v>
      </c>
    </row>
    <row r="172" customFormat="false" ht="15" hidden="false" customHeight="false" outlineLevel="0" collapsed="false">
      <c r="A172" s="4" t="s">
        <v>380</v>
      </c>
      <c r="B172" s="4" t="s">
        <v>381</v>
      </c>
      <c r="C172" s="4" t="s">
        <v>20</v>
      </c>
      <c r="D172" s="5" t="n">
        <v>812.41</v>
      </c>
      <c r="E172" s="5" t="n">
        <v>563.08</v>
      </c>
      <c r="F172" s="6" t="n">
        <v>44872</v>
      </c>
      <c r="G172" s="7" t="b">
        <f aca="false">FALSE()</f>
        <v>0</v>
      </c>
    </row>
    <row r="173" customFormat="false" ht="15" hidden="false" customHeight="false" outlineLevel="0" collapsed="false">
      <c r="A173" s="4" t="s">
        <v>382</v>
      </c>
      <c r="B173" s="4" t="s">
        <v>383</v>
      </c>
      <c r="C173" s="4" t="s">
        <v>26</v>
      </c>
      <c r="D173" s="5" t="n">
        <v>363.66</v>
      </c>
      <c r="E173" s="5" t="n">
        <v>264.77</v>
      </c>
      <c r="F173" s="6" t="n">
        <v>45863</v>
      </c>
      <c r="G173" s="7" t="b">
        <f aca="false">TRUE()</f>
        <v>1</v>
      </c>
    </row>
    <row r="174" customFormat="false" ht="15" hidden="false" customHeight="false" outlineLevel="0" collapsed="false">
      <c r="A174" s="4" t="s">
        <v>384</v>
      </c>
      <c r="B174" s="4" t="s">
        <v>385</v>
      </c>
      <c r="C174" s="4" t="s">
        <v>26</v>
      </c>
      <c r="D174" s="5" t="n">
        <v>128.47</v>
      </c>
      <c r="E174" s="5" t="n">
        <v>57.93</v>
      </c>
      <c r="F174" s="6" t="n">
        <v>44434</v>
      </c>
      <c r="G174" s="7" t="b">
        <f aca="false">FALSE()</f>
        <v>0</v>
      </c>
    </row>
    <row r="175" customFormat="false" ht="15" hidden="false" customHeight="false" outlineLevel="0" collapsed="false">
      <c r="A175" s="4" t="s">
        <v>386</v>
      </c>
      <c r="B175" s="4" t="s">
        <v>387</v>
      </c>
      <c r="C175" s="4" t="s">
        <v>31</v>
      </c>
      <c r="D175" s="5" t="n">
        <v>994.29</v>
      </c>
      <c r="E175" s="5" t="n">
        <v>348.46</v>
      </c>
      <c r="F175" s="6" t="n">
        <v>45977</v>
      </c>
      <c r="G175" s="7" t="b">
        <f aca="false">FALSE()</f>
        <v>0</v>
      </c>
    </row>
    <row r="176" customFormat="false" ht="15" hidden="false" customHeight="false" outlineLevel="0" collapsed="false">
      <c r="A176" s="4" t="s">
        <v>388</v>
      </c>
      <c r="B176" s="4" t="s">
        <v>389</v>
      </c>
      <c r="C176" s="4" t="s">
        <v>26</v>
      </c>
      <c r="D176" s="5" t="n">
        <v>88.69</v>
      </c>
      <c r="E176" s="5" t="n">
        <v>49.43</v>
      </c>
      <c r="F176" s="6" t="n">
        <v>45472</v>
      </c>
      <c r="G176" s="7" t="b">
        <f aca="false">FALSE()</f>
        <v>0</v>
      </c>
    </row>
    <row r="177" customFormat="false" ht="15" hidden="false" customHeight="false" outlineLevel="0" collapsed="false">
      <c r="A177" s="4" t="s">
        <v>390</v>
      </c>
      <c r="B177" s="4" t="s">
        <v>391</v>
      </c>
      <c r="C177" s="4" t="s">
        <v>26</v>
      </c>
      <c r="D177" s="5" t="n">
        <v>917.99</v>
      </c>
      <c r="E177" s="5" t="n">
        <v>396.04</v>
      </c>
      <c r="F177" s="6" t="n">
        <v>45321</v>
      </c>
      <c r="G177" s="7" t="b">
        <f aca="false">TRUE()</f>
        <v>1</v>
      </c>
    </row>
    <row r="178" customFormat="false" ht="15" hidden="false" customHeight="false" outlineLevel="0" collapsed="false">
      <c r="A178" s="4" t="s">
        <v>392</v>
      </c>
      <c r="B178" s="4" t="s">
        <v>393</v>
      </c>
      <c r="C178" s="4" t="s">
        <v>20</v>
      </c>
      <c r="D178" s="5" t="n">
        <v>539.79</v>
      </c>
      <c r="E178" s="5" t="n">
        <v>339.69</v>
      </c>
      <c r="F178" s="6" t="n">
        <v>44445</v>
      </c>
      <c r="G178" s="7" t="b">
        <f aca="false">TRUE()</f>
        <v>1</v>
      </c>
    </row>
    <row r="179" customFormat="false" ht="15" hidden="false" customHeight="false" outlineLevel="0" collapsed="false">
      <c r="A179" s="4" t="s">
        <v>394</v>
      </c>
      <c r="B179" s="4" t="s">
        <v>395</v>
      </c>
      <c r="C179" s="4" t="s">
        <v>31</v>
      </c>
      <c r="D179" s="5" t="n">
        <v>964.19</v>
      </c>
      <c r="E179" s="5" t="n">
        <v>611.21</v>
      </c>
      <c r="F179" s="6" t="n">
        <v>44833</v>
      </c>
      <c r="G179" s="7" t="b">
        <f aca="false">TRUE()</f>
        <v>1</v>
      </c>
    </row>
    <row r="180" customFormat="false" ht="15" hidden="false" customHeight="false" outlineLevel="0" collapsed="false">
      <c r="A180" s="4" t="s">
        <v>396</v>
      </c>
      <c r="B180" s="4" t="s">
        <v>397</v>
      </c>
      <c r="C180" s="4" t="s">
        <v>31</v>
      </c>
      <c r="D180" s="5" t="n">
        <v>504.39</v>
      </c>
      <c r="E180" s="5" t="n">
        <v>221.87</v>
      </c>
      <c r="F180" s="6" t="n">
        <v>45920</v>
      </c>
      <c r="G180" s="7" t="b">
        <f aca="false">TRUE()</f>
        <v>1</v>
      </c>
    </row>
    <row r="181" customFormat="false" ht="15" hidden="false" customHeight="false" outlineLevel="0" collapsed="false">
      <c r="A181" s="4" t="s">
        <v>398</v>
      </c>
      <c r="B181" s="4" t="s">
        <v>399</v>
      </c>
      <c r="C181" s="4" t="s">
        <v>26</v>
      </c>
      <c r="D181" s="5" t="n">
        <v>1137.8</v>
      </c>
      <c r="E181" s="5" t="n">
        <v>693.02</v>
      </c>
      <c r="F181" s="6" t="n">
        <v>44512</v>
      </c>
      <c r="G181" s="7" t="b">
        <f aca="false">FALSE()</f>
        <v>0</v>
      </c>
    </row>
    <row r="182" customFormat="false" ht="15" hidden="false" customHeight="false" outlineLevel="0" collapsed="false">
      <c r="A182" s="4" t="s">
        <v>400</v>
      </c>
      <c r="B182" s="4" t="s">
        <v>401</v>
      </c>
      <c r="C182" s="4" t="s">
        <v>20</v>
      </c>
      <c r="D182" s="5" t="n">
        <v>622.92</v>
      </c>
      <c r="E182" s="5" t="n">
        <v>286.15</v>
      </c>
      <c r="F182" s="6" t="n">
        <v>45906</v>
      </c>
      <c r="G182" s="7" t="b">
        <f aca="false">FALSE()</f>
        <v>0</v>
      </c>
    </row>
    <row r="183" customFormat="false" ht="15" hidden="false" customHeight="false" outlineLevel="0" collapsed="false">
      <c r="A183" s="4" t="s">
        <v>402</v>
      </c>
      <c r="B183" s="4" t="s">
        <v>403</v>
      </c>
      <c r="C183" s="4" t="s">
        <v>26</v>
      </c>
      <c r="D183" s="5" t="n">
        <v>311.38</v>
      </c>
      <c r="E183" s="5" t="n">
        <v>177.64</v>
      </c>
      <c r="F183" s="6" t="n">
        <v>44982</v>
      </c>
      <c r="G183" s="7" t="b">
        <f aca="false">TRUE()</f>
        <v>1</v>
      </c>
    </row>
    <row r="184" customFormat="false" ht="15" hidden="false" customHeight="false" outlineLevel="0" collapsed="false">
      <c r="A184" s="4" t="s">
        <v>404</v>
      </c>
      <c r="B184" s="4" t="s">
        <v>405</v>
      </c>
      <c r="C184" s="4" t="s">
        <v>31</v>
      </c>
      <c r="D184" s="5" t="n">
        <v>622.18</v>
      </c>
      <c r="E184" s="5" t="n">
        <v>436.6</v>
      </c>
      <c r="F184" s="6" t="n">
        <v>45966</v>
      </c>
      <c r="G184" s="7" t="b">
        <f aca="false">TRUE()</f>
        <v>1</v>
      </c>
    </row>
    <row r="185" customFormat="false" ht="15" hidden="false" customHeight="false" outlineLevel="0" collapsed="false">
      <c r="A185" s="4" t="s">
        <v>406</v>
      </c>
      <c r="B185" s="4" t="s">
        <v>407</v>
      </c>
      <c r="C185" s="4" t="s">
        <v>20</v>
      </c>
      <c r="D185" s="5" t="n">
        <v>932.89</v>
      </c>
      <c r="E185" s="5" t="n">
        <v>645.34</v>
      </c>
      <c r="F185" s="6" t="n">
        <v>44893</v>
      </c>
      <c r="G185" s="7" t="b">
        <f aca="false">TRUE()</f>
        <v>1</v>
      </c>
    </row>
    <row r="186" customFormat="false" ht="15" hidden="false" customHeight="false" outlineLevel="0" collapsed="false">
      <c r="A186" s="4" t="s">
        <v>408</v>
      </c>
      <c r="B186" s="4" t="s">
        <v>409</v>
      </c>
      <c r="C186" s="4" t="s">
        <v>8</v>
      </c>
      <c r="D186" s="5" t="n">
        <v>357.34</v>
      </c>
      <c r="E186" s="5" t="n">
        <v>167.74</v>
      </c>
      <c r="F186" s="6" t="n">
        <v>45399</v>
      </c>
      <c r="G186" s="7" t="b">
        <f aca="false">FALSE()</f>
        <v>0</v>
      </c>
    </row>
    <row r="187" customFormat="false" ht="15" hidden="false" customHeight="false" outlineLevel="0" collapsed="false">
      <c r="A187" s="4" t="s">
        <v>410</v>
      </c>
      <c r="B187" s="4" t="s">
        <v>411</v>
      </c>
      <c r="C187" s="4" t="s">
        <v>14</v>
      </c>
      <c r="D187" s="5" t="n">
        <v>549.69</v>
      </c>
      <c r="E187" s="5" t="n">
        <v>298.89</v>
      </c>
      <c r="F187" s="6" t="n">
        <v>44877</v>
      </c>
      <c r="G187" s="7" t="b">
        <f aca="false">FALSE()</f>
        <v>0</v>
      </c>
    </row>
    <row r="188" customFormat="false" ht="15" hidden="false" customHeight="false" outlineLevel="0" collapsed="false">
      <c r="A188" s="4" t="s">
        <v>412</v>
      </c>
      <c r="B188" s="4" t="s">
        <v>413</v>
      </c>
      <c r="C188" s="4" t="s">
        <v>26</v>
      </c>
      <c r="D188" s="5" t="n">
        <v>1121.1</v>
      </c>
      <c r="E188" s="5" t="n">
        <v>782.35</v>
      </c>
      <c r="F188" s="6" t="n">
        <v>45625</v>
      </c>
      <c r="G188" s="7" t="b">
        <f aca="false">TRUE()</f>
        <v>1</v>
      </c>
    </row>
    <row r="189" customFormat="false" ht="15" hidden="false" customHeight="false" outlineLevel="0" collapsed="false">
      <c r="A189" s="4" t="s">
        <v>414</v>
      </c>
      <c r="B189" s="4" t="s">
        <v>415</v>
      </c>
      <c r="C189" s="4" t="s">
        <v>31</v>
      </c>
      <c r="D189" s="5" t="n">
        <v>474.99</v>
      </c>
      <c r="E189" s="5" t="n">
        <v>328.89</v>
      </c>
      <c r="F189" s="6" t="n">
        <v>45038</v>
      </c>
      <c r="G189" s="7" t="b">
        <f aca="false">TRUE()</f>
        <v>1</v>
      </c>
    </row>
    <row r="190" customFormat="false" ht="15" hidden="false" customHeight="false" outlineLevel="0" collapsed="false">
      <c r="A190" s="4" t="s">
        <v>416</v>
      </c>
      <c r="B190" s="4" t="s">
        <v>417</v>
      </c>
      <c r="C190" s="4" t="s">
        <v>20</v>
      </c>
      <c r="D190" s="5" t="n">
        <v>900.03</v>
      </c>
      <c r="E190" s="5" t="n">
        <v>568.9</v>
      </c>
      <c r="F190" s="6" t="n">
        <v>45858</v>
      </c>
      <c r="G190" s="7" t="b">
        <f aca="false">FALSE()</f>
        <v>0</v>
      </c>
    </row>
    <row r="191" customFormat="false" ht="15" hidden="false" customHeight="false" outlineLevel="0" collapsed="false">
      <c r="A191" s="4" t="s">
        <v>418</v>
      </c>
      <c r="B191" s="4" t="s">
        <v>419</v>
      </c>
      <c r="C191" s="4" t="s">
        <v>26</v>
      </c>
      <c r="D191" s="5" t="n">
        <v>1186.39</v>
      </c>
      <c r="E191" s="5" t="n">
        <v>791.27</v>
      </c>
      <c r="F191" s="6" t="n">
        <v>45532</v>
      </c>
      <c r="G191" s="7" t="b">
        <f aca="false">TRUE()</f>
        <v>1</v>
      </c>
    </row>
    <row r="192" customFormat="false" ht="15" hidden="false" customHeight="false" outlineLevel="0" collapsed="false">
      <c r="A192" s="4" t="s">
        <v>420</v>
      </c>
      <c r="B192" s="4" t="s">
        <v>421</v>
      </c>
      <c r="C192" s="4" t="s">
        <v>26</v>
      </c>
      <c r="D192" s="5" t="n">
        <v>1158.67</v>
      </c>
      <c r="E192" s="5" t="n">
        <v>464.05</v>
      </c>
      <c r="F192" s="6" t="n">
        <v>45405</v>
      </c>
      <c r="G192" s="7" t="b">
        <f aca="false">TRUE()</f>
        <v>1</v>
      </c>
    </row>
    <row r="193" customFormat="false" ht="15" hidden="false" customHeight="false" outlineLevel="0" collapsed="false">
      <c r="A193" s="4" t="s">
        <v>422</v>
      </c>
      <c r="B193" s="4" t="s">
        <v>423</v>
      </c>
      <c r="C193" s="4" t="s">
        <v>8</v>
      </c>
      <c r="D193" s="5" t="n">
        <v>1052.17</v>
      </c>
      <c r="E193" s="5" t="n">
        <v>553.57</v>
      </c>
      <c r="F193" s="6" t="n">
        <v>45274</v>
      </c>
      <c r="G193" s="7" t="b">
        <f aca="false">FALSE()</f>
        <v>0</v>
      </c>
    </row>
    <row r="194" customFormat="false" ht="15" hidden="false" customHeight="false" outlineLevel="0" collapsed="false">
      <c r="A194" s="4" t="s">
        <v>424</v>
      </c>
      <c r="B194" s="4" t="s">
        <v>425</v>
      </c>
      <c r="C194" s="4" t="s">
        <v>8</v>
      </c>
      <c r="D194" s="5" t="n">
        <v>873.87</v>
      </c>
      <c r="E194" s="5" t="n">
        <v>449.16</v>
      </c>
      <c r="F194" s="6" t="n">
        <v>45537</v>
      </c>
      <c r="G194" s="7" t="b">
        <f aca="false">TRUE()</f>
        <v>1</v>
      </c>
    </row>
    <row r="195" customFormat="false" ht="15" hidden="false" customHeight="false" outlineLevel="0" collapsed="false">
      <c r="A195" s="4" t="s">
        <v>426</v>
      </c>
      <c r="B195" s="4" t="s">
        <v>427</v>
      </c>
      <c r="C195" s="4" t="s">
        <v>8</v>
      </c>
      <c r="D195" s="5" t="n">
        <v>576.65</v>
      </c>
      <c r="E195" s="5" t="n">
        <v>425.38</v>
      </c>
      <c r="F195" s="6" t="n">
        <v>44890</v>
      </c>
      <c r="G195" s="7" t="b">
        <f aca="false">FALSE()</f>
        <v>0</v>
      </c>
    </row>
    <row r="196" customFormat="false" ht="15" hidden="false" customHeight="false" outlineLevel="0" collapsed="false">
      <c r="A196" s="4" t="s">
        <v>428</v>
      </c>
      <c r="B196" s="4" t="s">
        <v>429</v>
      </c>
      <c r="C196" s="4" t="s">
        <v>8</v>
      </c>
      <c r="D196" s="5" t="n">
        <v>1025.82</v>
      </c>
      <c r="E196" s="5" t="n">
        <v>708.78</v>
      </c>
      <c r="F196" s="6" t="n">
        <v>45956</v>
      </c>
      <c r="G196" s="7" t="b">
        <f aca="false">FALSE()</f>
        <v>0</v>
      </c>
    </row>
    <row r="197" customFormat="false" ht="15" hidden="false" customHeight="false" outlineLevel="0" collapsed="false">
      <c r="A197" s="4" t="s">
        <v>430</v>
      </c>
      <c r="B197" s="4" t="s">
        <v>431</v>
      </c>
      <c r="C197" s="4" t="s">
        <v>20</v>
      </c>
      <c r="D197" s="5" t="n">
        <v>761.49</v>
      </c>
      <c r="E197" s="5" t="n">
        <v>536.83</v>
      </c>
      <c r="F197" s="6" t="n">
        <v>45196</v>
      </c>
      <c r="G197" s="7" t="b">
        <f aca="false">TRUE()</f>
        <v>1</v>
      </c>
    </row>
    <row r="198" customFormat="false" ht="15" hidden="false" customHeight="false" outlineLevel="0" collapsed="false">
      <c r="A198" s="4" t="s">
        <v>432</v>
      </c>
      <c r="B198" s="4" t="s">
        <v>433</v>
      </c>
      <c r="C198" s="4" t="s">
        <v>31</v>
      </c>
      <c r="D198" s="5" t="n">
        <v>105.39</v>
      </c>
      <c r="E198" s="5" t="n">
        <v>63.49</v>
      </c>
      <c r="F198" s="6" t="n">
        <v>44785</v>
      </c>
      <c r="G198" s="7" t="b">
        <f aca="false">TRUE()</f>
        <v>1</v>
      </c>
    </row>
    <row r="199" customFormat="false" ht="15" hidden="false" customHeight="false" outlineLevel="0" collapsed="false">
      <c r="A199" s="4" t="s">
        <v>434</v>
      </c>
      <c r="B199" s="4" t="s">
        <v>435</v>
      </c>
      <c r="C199" s="4" t="s">
        <v>8</v>
      </c>
      <c r="D199" s="5" t="n">
        <v>534.92</v>
      </c>
      <c r="E199" s="5" t="n">
        <v>208.29</v>
      </c>
      <c r="F199" s="6" t="n">
        <v>45494</v>
      </c>
      <c r="G199" s="7" t="b">
        <f aca="false">TRUE()</f>
        <v>1</v>
      </c>
    </row>
    <row r="200" customFormat="false" ht="15" hidden="false" customHeight="false" outlineLevel="0" collapsed="false">
      <c r="A200" s="4" t="s">
        <v>436</v>
      </c>
      <c r="B200" s="4" t="s">
        <v>437</v>
      </c>
      <c r="C200" s="4" t="s">
        <v>26</v>
      </c>
      <c r="D200" s="5" t="n">
        <v>220.48</v>
      </c>
      <c r="E200" s="5" t="n">
        <v>103.58</v>
      </c>
      <c r="F200" s="6" t="n">
        <v>44256</v>
      </c>
      <c r="G200" s="7" t="b">
        <f aca="false">TRUE()</f>
        <v>1</v>
      </c>
    </row>
    <row r="201" customFormat="false" ht="15" hidden="false" customHeight="false" outlineLevel="0" collapsed="false">
      <c r="A201" s="4" t="s">
        <v>438</v>
      </c>
      <c r="B201" s="4" t="s">
        <v>439</v>
      </c>
      <c r="C201" s="4" t="s">
        <v>20</v>
      </c>
      <c r="D201" s="5" t="n">
        <v>960.47</v>
      </c>
      <c r="E201" s="5" t="n">
        <v>448.87</v>
      </c>
      <c r="F201" s="6" t="n">
        <v>44964</v>
      </c>
      <c r="G201" s="7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1.35"/>
    <col collapsed="false" customWidth="true" hidden="false" outlineLevel="0" max="2" min="2" style="1" width="24.98"/>
    <col collapsed="false" customWidth="true" hidden="false" outlineLevel="0" max="3" min="3" style="1" width="6.68"/>
    <col collapsed="false" customWidth="true" hidden="false" outlineLevel="0" max="4" min="4" style="1" width="11.64"/>
    <col collapsed="false" customWidth="true" hidden="false" outlineLevel="0" max="5" min="5" style="1" width="10.93"/>
    <col collapsed="false" customWidth="true" hidden="false" outlineLevel="0" max="6" min="6" style="1" width="20.43"/>
    <col collapsed="false" customWidth="true" hidden="false" outlineLevel="0" max="7" min="7" style="1" width="9.37"/>
  </cols>
  <sheetData>
    <row r="1" customFormat="false" ht="28" hidden="false" customHeight="true" outlineLevel="0" collapsed="false">
      <c r="A1" s="3" t="s">
        <v>440</v>
      </c>
      <c r="B1" s="3" t="s">
        <v>441</v>
      </c>
      <c r="C1" s="3" t="s">
        <v>0</v>
      </c>
      <c r="D1" s="3" t="s">
        <v>442</v>
      </c>
      <c r="E1" s="3" t="s">
        <v>443</v>
      </c>
      <c r="F1" s="3" t="s">
        <v>444</v>
      </c>
      <c r="G1" s="3" t="s">
        <v>445</v>
      </c>
    </row>
    <row r="2" customFormat="false" ht="15" hidden="false" customHeight="false" outlineLevel="0" collapsed="false">
      <c r="A2" s="4" t="s">
        <v>446</v>
      </c>
      <c r="B2" s="4" t="s">
        <v>447</v>
      </c>
      <c r="C2" s="4" t="s">
        <v>12</v>
      </c>
      <c r="D2" s="4" t="s">
        <v>448</v>
      </c>
      <c r="E2" s="6" t="n">
        <v>46006</v>
      </c>
      <c r="F2" s="4" t="s">
        <v>449</v>
      </c>
      <c r="G2" s="8" t="n">
        <v>57</v>
      </c>
    </row>
    <row r="3" customFormat="false" ht="15" hidden="false" customHeight="false" outlineLevel="0" collapsed="false">
      <c r="A3" s="4" t="s">
        <v>450</v>
      </c>
      <c r="B3" s="4" t="s">
        <v>451</v>
      </c>
      <c r="C3" s="4" t="s">
        <v>12</v>
      </c>
      <c r="D3" s="4" t="s">
        <v>448</v>
      </c>
      <c r="E3" s="6" t="n">
        <v>44548</v>
      </c>
      <c r="F3" s="4" t="s">
        <v>452</v>
      </c>
      <c r="G3" s="8" t="n">
        <v>61.3</v>
      </c>
    </row>
    <row r="4" customFormat="false" ht="15" hidden="false" customHeight="false" outlineLevel="0" collapsed="false">
      <c r="A4" s="4" t="s">
        <v>453</v>
      </c>
      <c r="B4" s="4" t="s">
        <v>454</v>
      </c>
      <c r="C4" s="4" t="s">
        <v>24</v>
      </c>
      <c r="D4" s="4" t="s">
        <v>448</v>
      </c>
      <c r="E4" s="6" t="n">
        <v>45869</v>
      </c>
      <c r="F4" s="4" t="s">
        <v>455</v>
      </c>
      <c r="G4" s="8" t="n">
        <v>58.7</v>
      </c>
    </row>
    <row r="5" customFormat="false" ht="15" hidden="false" customHeight="false" outlineLevel="0" collapsed="false">
      <c r="A5" s="4" t="s">
        <v>456</v>
      </c>
      <c r="B5" s="4" t="s">
        <v>457</v>
      </c>
      <c r="C5" s="4" t="s">
        <v>12</v>
      </c>
      <c r="D5" s="4" t="s">
        <v>458</v>
      </c>
      <c r="E5" s="6" t="n">
        <v>44871</v>
      </c>
      <c r="F5" s="4" t="s">
        <v>459</v>
      </c>
      <c r="G5" s="8" t="n">
        <v>26.3</v>
      </c>
    </row>
    <row r="6" customFormat="false" ht="15" hidden="false" customHeight="false" outlineLevel="0" collapsed="false">
      <c r="A6" s="4" t="s">
        <v>460</v>
      </c>
      <c r="B6" s="4" t="s">
        <v>461</v>
      </c>
      <c r="C6" s="4" t="s">
        <v>6</v>
      </c>
      <c r="D6" s="4" t="s">
        <v>458</v>
      </c>
      <c r="E6" s="6" t="n">
        <v>45009</v>
      </c>
      <c r="F6" s="4" t="s">
        <v>462</v>
      </c>
      <c r="G6" s="8" t="n">
        <v>55.1</v>
      </c>
    </row>
    <row r="7" customFormat="false" ht="15" hidden="false" customHeight="false" outlineLevel="0" collapsed="false">
      <c r="A7" s="4" t="s">
        <v>463</v>
      </c>
      <c r="B7" s="4" t="s">
        <v>464</v>
      </c>
      <c r="C7" s="4" t="s">
        <v>6</v>
      </c>
      <c r="D7" s="4" t="s">
        <v>458</v>
      </c>
      <c r="E7" s="6" t="n">
        <v>45246</v>
      </c>
      <c r="F7" s="4" t="s">
        <v>465</v>
      </c>
      <c r="G7" s="8" t="n">
        <v>30.6</v>
      </c>
    </row>
    <row r="8" customFormat="false" ht="15" hidden="false" customHeight="false" outlineLevel="0" collapsed="false">
      <c r="A8" s="4" t="s">
        <v>466</v>
      </c>
      <c r="B8" s="4" t="s">
        <v>467</v>
      </c>
      <c r="C8" s="4" t="s">
        <v>24</v>
      </c>
      <c r="D8" s="4" t="s">
        <v>468</v>
      </c>
      <c r="E8" s="6" t="n">
        <v>45702</v>
      </c>
      <c r="F8" s="4" t="s">
        <v>469</v>
      </c>
      <c r="G8" s="8" t="n">
        <v>30.9</v>
      </c>
    </row>
    <row r="9" customFormat="false" ht="15" hidden="false" customHeight="false" outlineLevel="0" collapsed="false">
      <c r="A9" s="4" t="s">
        <v>470</v>
      </c>
      <c r="B9" s="4" t="s">
        <v>471</v>
      </c>
      <c r="C9" s="4" t="s">
        <v>24</v>
      </c>
      <c r="D9" s="4" t="s">
        <v>458</v>
      </c>
      <c r="E9" s="6" t="n">
        <v>44267</v>
      </c>
      <c r="F9" s="4" t="s">
        <v>472</v>
      </c>
      <c r="G9" s="8" t="n">
        <v>38.8</v>
      </c>
    </row>
    <row r="10" customFormat="false" ht="15" hidden="false" customHeight="false" outlineLevel="0" collapsed="false">
      <c r="A10" s="4" t="s">
        <v>473</v>
      </c>
      <c r="B10" s="4" t="s">
        <v>474</v>
      </c>
      <c r="C10" s="4" t="s">
        <v>18</v>
      </c>
      <c r="D10" s="4" t="s">
        <v>468</v>
      </c>
      <c r="E10" s="6" t="n">
        <v>45040</v>
      </c>
      <c r="F10" s="4" t="s">
        <v>475</v>
      </c>
      <c r="G10" s="8" t="n">
        <v>97.8</v>
      </c>
    </row>
    <row r="11" customFormat="false" ht="15" hidden="false" customHeight="false" outlineLevel="0" collapsed="false">
      <c r="A11" s="4" t="s">
        <v>476</v>
      </c>
      <c r="B11" s="4" t="s">
        <v>477</v>
      </c>
      <c r="C11" s="4" t="s">
        <v>24</v>
      </c>
      <c r="D11" s="4" t="s">
        <v>468</v>
      </c>
      <c r="E11" s="6" t="n">
        <v>43864</v>
      </c>
      <c r="F11" s="4" t="s">
        <v>465</v>
      </c>
      <c r="G11" s="8" t="n">
        <v>86.6</v>
      </c>
    </row>
    <row r="12" customFormat="false" ht="15" hidden="false" customHeight="false" outlineLevel="0" collapsed="false">
      <c r="A12" s="4" t="s">
        <v>478</v>
      </c>
      <c r="B12" s="4" t="s">
        <v>479</v>
      </c>
      <c r="C12" s="4" t="s">
        <v>6</v>
      </c>
      <c r="D12" s="4" t="s">
        <v>458</v>
      </c>
      <c r="E12" s="6" t="n">
        <v>45003</v>
      </c>
      <c r="F12" s="4" t="s">
        <v>480</v>
      </c>
      <c r="G12" s="8" t="n">
        <v>80.1</v>
      </c>
    </row>
    <row r="13" customFormat="false" ht="15" hidden="false" customHeight="false" outlineLevel="0" collapsed="false">
      <c r="A13" s="4" t="s">
        <v>481</v>
      </c>
      <c r="B13" s="4" t="s">
        <v>482</v>
      </c>
      <c r="C13" s="4" t="s">
        <v>30</v>
      </c>
      <c r="D13" s="4" t="s">
        <v>468</v>
      </c>
      <c r="E13" s="6" t="n">
        <v>44728</v>
      </c>
      <c r="F13" s="4" t="s">
        <v>462</v>
      </c>
      <c r="G13" s="8" t="n">
        <v>19.8</v>
      </c>
    </row>
    <row r="14" customFormat="false" ht="15" hidden="false" customHeight="false" outlineLevel="0" collapsed="false">
      <c r="A14" s="4" t="s">
        <v>483</v>
      </c>
      <c r="B14" s="4" t="s">
        <v>484</v>
      </c>
      <c r="C14" s="4" t="s">
        <v>18</v>
      </c>
      <c r="D14" s="4" t="s">
        <v>448</v>
      </c>
      <c r="E14" s="6" t="n">
        <v>44228</v>
      </c>
      <c r="F14" s="4" t="s">
        <v>455</v>
      </c>
      <c r="G14" s="8" t="n">
        <v>63.1</v>
      </c>
    </row>
    <row r="15" customFormat="false" ht="15" hidden="false" customHeight="false" outlineLevel="0" collapsed="false">
      <c r="A15" s="4" t="s">
        <v>485</v>
      </c>
      <c r="B15" s="4" t="s">
        <v>486</v>
      </c>
      <c r="C15" s="4" t="s">
        <v>6</v>
      </c>
      <c r="D15" s="4" t="s">
        <v>468</v>
      </c>
      <c r="E15" s="6" t="n">
        <v>45636</v>
      </c>
      <c r="F15" s="4" t="s">
        <v>475</v>
      </c>
      <c r="G15" s="8" t="n">
        <v>58.4</v>
      </c>
    </row>
    <row r="16" customFormat="false" ht="15" hidden="false" customHeight="false" outlineLevel="0" collapsed="false">
      <c r="A16" s="4" t="s">
        <v>487</v>
      </c>
      <c r="B16" s="4" t="s">
        <v>488</v>
      </c>
      <c r="C16" s="4" t="s">
        <v>12</v>
      </c>
      <c r="D16" s="4" t="s">
        <v>489</v>
      </c>
      <c r="E16" s="6" t="n">
        <v>45039</v>
      </c>
      <c r="F16" s="4" t="s">
        <v>490</v>
      </c>
      <c r="G16" s="8" t="n">
        <v>75</v>
      </c>
    </row>
    <row r="17" customFormat="false" ht="15" hidden="false" customHeight="false" outlineLevel="0" collapsed="false">
      <c r="A17" s="4" t="s">
        <v>491</v>
      </c>
      <c r="B17" s="4" t="s">
        <v>492</v>
      </c>
      <c r="C17" s="4" t="s">
        <v>12</v>
      </c>
      <c r="D17" s="4" t="s">
        <v>448</v>
      </c>
      <c r="E17" s="6" t="n">
        <v>44372</v>
      </c>
      <c r="F17" s="4" t="s">
        <v>480</v>
      </c>
      <c r="G17" s="8" t="n">
        <v>54.4</v>
      </c>
    </row>
    <row r="18" customFormat="false" ht="15" hidden="false" customHeight="false" outlineLevel="0" collapsed="false">
      <c r="A18" s="4" t="s">
        <v>493</v>
      </c>
      <c r="B18" s="4" t="s">
        <v>494</v>
      </c>
      <c r="C18" s="4" t="s">
        <v>18</v>
      </c>
      <c r="D18" s="4" t="s">
        <v>468</v>
      </c>
      <c r="E18" s="6" t="n">
        <v>44504</v>
      </c>
      <c r="F18" s="4" t="s">
        <v>495</v>
      </c>
      <c r="G18" s="8" t="n">
        <v>91.5</v>
      </c>
    </row>
    <row r="19" customFormat="false" ht="15" hidden="false" customHeight="false" outlineLevel="0" collapsed="false">
      <c r="A19" s="4" t="s">
        <v>496</v>
      </c>
      <c r="B19" s="4" t="s">
        <v>497</v>
      </c>
      <c r="C19" s="4" t="s">
        <v>24</v>
      </c>
      <c r="D19" s="4" t="s">
        <v>468</v>
      </c>
      <c r="E19" s="6" t="n">
        <v>45218</v>
      </c>
      <c r="F19" s="4" t="s">
        <v>480</v>
      </c>
      <c r="G19" s="8" t="n">
        <v>12.4</v>
      </c>
    </row>
    <row r="20" customFormat="false" ht="15" hidden="false" customHeight="false" outlineLevel="0" collapsed="false">
      <c r="A20" s="4" t="s">
        <v>498</v>
      </c>
      <c r="B20" s="4" t="s">
        <v>499</v>
      </c>
      <c r="C20" s="4" t="s">
        <v>6</v>
      </c>
      <c r="D20" s="4" t="s">
        <v>448</v>
      </c>
      <c r="E20" s="6" t="n">
        <v>44755</v>
      </c>
      <c r="F20" s="4" t="s">
        <v>469</v>
      </c>
      <c r="G20" s="8" t="n">
        <v>68</v>
      </c>
    </row>
    <row r="21" customFormat="false" ht="15" hidden="false" customHeight="false" outlineLevel="0" collapsed="false">
      <c r="A21" s="4" t="s">
        <v>500</v>
      </c>
      <c r="B21" s="4" t="s">
        <v>501</v>
      </c>
      <c r="C21" s="4" t="s">
        <v>24</v>
      </c>
      <c r="D21" s="4" t="s">
        <v>468</v>
      </c>
      <c r="E21" s="6" t="n">
        <v>44200</v>
      </c>
      <c r="F21" s="4" t="s">
        <v>480</v>
      </c>
      <c r="G21" s="8" t="n">
        <v>40.1</v>
      </c>
    </row>
    <row r="22" customFormat="false" ht="15" hidden="false" customHeight="false" outlineLevel="0" collapsed="false">
      <c r="A22" s="4" t="s">
        <v>502</v>
      </c>
      <c r="B22" s="4" t="s">
        <v>503</v>
      </c>
      <c r="C22" s="4" t="s">
        <v>18</v>
      </c>
      <c r="D22" s="4" t="s">
        <v>489</v>
      </c>
      <c r="E22" s="6" t="n">
        <v>45693</v>
      </c>
      <c r="F22" s="4" t="s">
        <v>490</v>
      </c>
      <c r="G22" s="8" t="n">
        <v>67.6</v>
      </c>
    </row>
    <row r="23" customFormat="false" ht="15" hidden="false" customHeight="false" outlineLevel="0" collapsed="false">
      <c r="A23" s="4" t="s">
        <v>504</v>
      </c>
      <c r="B23" s="4" t="s">
        <v>505</v>
      </c>
      <c r="C23" s="4" t="s">
        <v>18</v>
      </c>
      <c r="D23" s="4" t="s">
        <v>458</v>
      </c>
      <c r="E23" s="6" t="n">
        <v>45352</v>
      </c>
      <c r="F23" s="4" t="s">
        <v>452</v>
      </c>
      <c r="G23" s="8" t="n">
        <v>67.8</v>
      </c>
    </row>
    <row r="24" customFormat="false" ht="15" hidden="false" customHeight="false" outlineLevel="0" collapsed="false">
      <c r="A24" s="4" t="s">
        <v>506</v>
      </c>
      <c r="B24" s="4" t="s">
        <v>507</v>
      </c>
      <c r="C24" s="4" t="s">
        <v>24</v>
      </c>
      <c r="D24" s="4" t="s">
        <v>489</v>
      </c>
      <c r="E24" s="6" t="n">
        <v>46130</v>
      </c>
      <c r="F24" s="4" t="s">
        <v>490</v>
      </c>
      <c r="G24" s="8" t="n">
        <v>91.6</v>
      </c>
    </row>
    <row r="25" customFormat="false" ht="15" hidden="false" customHeight="false" outlineLevel="0" collapsed="false">
      <c r="A25" s="4" t="s">
        <v>508</v>
      </c>
      <c r="B25" s="4" t="s">
        <v>509</v>
      </c>
      <c r="C25" s="4" t="s">
        <v>12</v>
      </c>
      <c r="D25" s="4" t="s">
        <v>489</v>
      </c>
      <c r="E25" s="6" t="n">
        <v>45732</v>
      </c>
      <c r="F25" s="4" t="s">
        <v>455</v>
      </c>
      <c r="G25" s="8" t="n">
        <v>70.4</v>
      </c>
    </row>
    <row r="26" customFormat="false" ht="15" hidden="false" customHeight="false" outlineLevel="0" collapsed="false">
      <c r="A26" s="4" t="s">
        <v>510</v>
      </c>
      <c r="B26" s="4" t="s">
        <v>511</v>
      </c>
      <c r="C26" s="4" t="s">
        <v>24</v>
      </c>
      <c r="D26" s="4" t="s">
        <v>489</v>
      </c>
      <c r="E26" s="6" t="n">
        <v>44403</v>
      </c>
      <c r="F26" s="4" t="s">
        <v>475</v>
      </c>
      <c r="G26" s="8" t="n">
        <v>94.7</v>
      </c>
    </row>
    <row r="27" customFormat="false" ht="15" hidden="false" customHeight="false" outlineLevel="0" collapsed="false">
      <c r="A27" s="4" t="s">
        <v>512</v>
      </c>
      <c r="B27" s="4" t="s">
        <v>513</v>
      </c>
      <c r="C27" s="4" t="s">
        <v>18</v>
      </c>
      <c r="D27" s="4" t="s">
        <v>458</v>
      </c>
      <c r="E27" s="6" t="n">
        <v>44306</v>
      </c>
      <c r="F27" s="4" t="s">
        <v>452</v>
      </c>
      <c r="G27" s="8" t="n">
        <v>24.2</v>
      </c>
    </row>
    <row r="28" customFormat="false" ht="15" hidden="false" customHeight="false" outlineLevel="0" collapsed="false">
      <c r="A28" s="4" t="s">
        <v>514</v>
      </c>
      <c r="B28" s="4" t="s">
        <v>515</v>
      </c>
      <c r="C28" s="4" t="s">
        <v>30</v>
      </c>
      <c r="D28" s="4" t="s">
        <v>448</v>
      </c>
      <c r="E28" s="6" t="n">
        <v>45422</v>
      </c>
      <c r="F28" s="4" t="s">
        <v>459</v>
      </c>
      <c r="G28" s="8" t="n">
        <v>37.7</v>
      </c>
    </row>
    <row r="29" customFormat="false" ht="15" hidden="false" customHeight="false" outlineLevel="0" collapsed="false">
      <c r="A29" s="4" t="s">
        <v>516</v>
      </c>
      <c r="B29" s="4" t="s">
        <v>517</v>
      </c>
      <c r="C29" s="4" t="s">
        <v>30</v>
      </c>
      <c r="D29" s="4" t="s">
        <v>458</v>
      </c>
      <c r="E29" s="6" t="n">
        <v>44463</v>
      </c>
      <c r="F29" s="4" t="s">
        <v>455</v>
      </c>
      <c r="G29" s="8" t="n">
        <v>42.1</v>
      </c>
    </row>
    <row r="30" customFormat="false" ht="15" hidden="false" customHeight="false" outlineLevel="0" collapsed="false">
      <c r="A30" s="4" t="s">
        <v>518</v>
      </c>
      <c r="B30" s="4" t="s">
        <v>519</v>
      </c>
      <c r="C30" s="4" t="s">
        <v>6</v>
      </c>
      <c r="D30" s="4" t="s">
        <v>458</v>
      </c>
      <c r="E30" s="6" t="n">
        <v>45502</v>
      </c>
      <c r="F30" s="4" t="s">
        <v>495</v>
      </c>
      <c r="G30" s="8" t="n">
        <v>4.2</v>
      </c>
    </row>
    <row r="31" customFormat="false" ht="15" hidden="false" customHeight="false" outlineLevel="0" collapsed="false">
      <c r="A31" s="4" t="s">
        <v>520</v>
      </c>
      <c r="B31" s="4" t="s">
        <v>521</v>
      </c>
      <c r="C31" s="4" t="s">
        <v>18</v>
      </c>
      <c r="D31" s="4" t="s">
        <v>448</v>
      </c>
      <c r="E31" s="6" t="n">
        <v>45647</v>
      </c>
      <c r="F31" s="4" t="s">
        <v>459</v>
      </c>
      <c r="G31" s="8" t="n">
        <v>95.1</v>
      </c>
    </row>
    <row r="32" customFormat="false" ht="15" hidden="false" customHeight="false" outlineLevel="0" collapsed="false">
      <c r="A32" s="4" t="s">
        <v>522</v>
      </c>
      <c r="B32" s="4" t="s">
        <v>523</v>
      </c>
      <c r="C32" s="4" t="s">
        <v>18</v>
      </c>
      <c r="D32" s="4" t="s">
        <v>489</v>
      </c>
      <c r="E32" s="6" t="n">
        <v>45335</v>
      </c>
      <c r="F32" s="4" t="s">
        <v>524</v>
      </c>
      <c r="G32" s="8" t="n">
        <v>90.3</v>
      </c>
    </row>
    <row r="33" customFormat="false" ht="15" hidden="false" customHeight="false" outlineLevel="0" collapsed="false">
      <c r="A33" s="4" t="s">
        <v>525</v>
      </c>
      <c r="B33" s="4" t="s">
        <v>526</v>
      </c>
      <c r="C33" s="4" t="s">
        <v>18</v>
      </c>
      <c r="D33" s="4" t="s">
        <v>489</v>
      </c>
      <c r="E33" s="6" t="n">
        <v>45461</v>
      </c>
      <c r="F33" s="4" t="s">
        <v>495</v>
      </c>
      <c r="G33" s="8" t="n">
        <v>19.8</v>
      </c>
    </row>
    <row r="34" customFormat="false" ht="15" hidden="false" customHeight="false" outlineLevel="0" collapsed="false">
      <c r="A34" s="4" t="s">
        <v>527</v>
      </c>
      <c r="B34" s="4" t="s">
        <v>528</v>
      </c>
      <c r="C34" s="4" t="s">
        <v>6</v>
      </c>
      <c r="D34" s="4" t="s">
        <v>458</v>
      </c>
      <c r="E34" s="6" t="n">
        <v>44206</v>
      </c>
      <c r="F34" s="4" t="s">
        <v>462</v>
      </c>
      <c r="G34" s="8" t="n">
        <v>22</v>
      </c>
    </row>
    <row r="35" customFormat="false" ht="15" hidden="false" customHeight="false" outlineLevel="0" collapsed="false">
      <c r="A35" s="4" t="s">
        <v>529</v>
      </c>
      <c r="B35" s="4" t="s">
        <v>530</v>
      </c>
      <c r="C35" s="4" t="s">
        <v>30</v>
      </c>
      <c r="D35" s="4" t="s">
        <v>489</v>
      </c>
      <c r="E35" s="6" t="n">
        <v>44038</v>
      </c>
      <c r="F35" s="4" t="s">
        <v>480</v>
      </c>
      <c r="G35" s="8" t="n">
        <v>34</v>
      </c>
    </row>
    <row r="36" customFormat="false" ht="15" hidden="false" customHeight="false" outlineLevel="0" collapsed="false">
      <c r="A36" s="4" t="s">
        <v>531</v>
      </c>
      <c r="B36" s="4" t="s">
        <v>532</v>
      </c>
      <c r="C36" s="4" t="s">
        <v>12</v>
      </c>
      <c r="D36" s="4" t="s">
        <v>448</v>
      </c>
      <c r="E36" s="6" t="n">
        <v>44112</v>
      </c>
      <c r="F36" s="4" t="s">
        <v>469</v>
      </c>
      <c r="G36" s="8" t="n">
        <v>76.8</v>
      </c>
    </row>
    <row r="37" customFormat="false" ht="15" hidden="false" customHeight="false" outlineLevel="0" collapsed="false">
      <c r="A37" s="4" t="s">
        <v>533</v>
      </c>
      <c r="B37" s="4" t="s">
        <v>534</v>
      </c>
      <c r="C37" s="4" t="s">
        <v>12</v>
      </c>
      <c r="D37" s="4" t="s">
        <v>448</v>
      </c>
      <c r="E37" s="6" t="n">
        <v>44785</v>
      </c>
      <c r="F37" s="4" t="s">
        <v>490</v>
      </c>
      <c r="G37" s="8" t="n">
        <v>77.7</v>
      </c>
    </row>
    <row r="38" customFormat="false" ht="15" hidden="false" customHeight="false" outlineLevel="0" collapsed="false">
      <c r="A38" s="4" t="s">
        <v>535</v>
      </c>
      <c r="B38" s="4" t="s">
        <v>536</v>
      </c>
      <c r="C38" s="4" t="s">
        <v>30</v>
      </c>
      <c r="D38" s="4" t="s">
        <v>489</v>
      </c>
      <c r="E38" s="6" t="n">
        <v>44966</v>
      </c>
      <c r="F38" s="4" t="s">
        <v>469</v>
      </c>
      <c r="G38" s="8" t="n">
        <v>98.4</v>
      </c>
    </row>
    <row r="39" customFormat="false" ht="15" hidden="false" customHeight="false" outlineLevel="0" collapsed="false">
      <c r="A39" s="4" t="s">
        <v>537</v>
      </c>
      <c r="B39" s="4" t="s">
        <v>538</v>
      </c>
      <c r="C39" s="4" t="s">
        <v>12</v>
      </c>
      <c r="D39" s="4" t="s">
        <v>468</v>
      </c>
      <c r="E39" s="6" t="n">
        <v>44545</v>
      </c>
      <c r="F39" s="4" t="s">
        <v>452</v>
      </c>
      <c r="G39" s="8" t="n">
        <v>66.4</v>
      </c>
    </row>
    <row r="40" customFormat="false" ht="15" hidden="false" customHeight="false" outlineLevel="0" collapsed="false">
      <c r="A40" s="4" t="s">
        <v>539</v>
      </c>
      <c r="B40" s="4" t="s">
        <v>540</v>
      </c>
      <c r="C40" s="4" t="s">
        <v>6</v>
      </c>
      <c r="D40" s="4" t="s">
        <v>448</v>
      </c>
      <c r="E40" s="6" t="n">
        <v>43891</v>
      </c>
      <c r="F40" s="4" t="s">
        <v>490</v>
      </c>
      <c r="G40" s="8" t="n">
        <v>79.2</v>
      </c>
    </row>
    <row r="41" customFormat="false" ht="15" hidden="false" customHeight="false" outlineLevel="0" collapsed="false">
      <c r="A41" s="4" t="s">
        <v>541</v>
      </c>
      <c r="B41" s="4" t="s">
        <v>542</v>
      </c>
      <c r="C41" s="4" t="s">
        <v>12</v>
      </c>
      <c r="D41" s="4" t="s">
        <v>468</v>
      </c>
      <c r="E41" s="6" t="n">
        <v>43895</v>
      </c>
      <c r="F41" s="4" t="s">
        <v>543</v>
      </c>
      <c r="G41" s="8" t="n">
        <v>27.3</v>
      </c>
    </row>
    <row r="42" customFormat="false" ht="15" hidden="false" customHeight="false" outlineLevel="0" collapsed="false">
      <c r="A42" s="4" t="s">
        <v>544</v>
      </c>
      <c r="B42" s="4" t="s">
        <v>545</v>
      </c>
      <c r="C42" s="4" t="s">
        <v>12</v>
      </c>
      <c r="D42" s="4" t="s">
        <v>458</v>
      </c>
      <c r="E42" s="6" t="n">
        <v>45985</v>
      </c>
      <c r="F42" s="4" t="s">
        <v>452</v>
      </c>
      <c r="G42" s="8" t="n">
        <v>74.8</v>
      </c>
    </row>
    <row r="43" customFormat="false" ht="15" hidden="false" customHeight="false" outlineLevel="0" collapsed="false">
      <c r="A43" s="4" t="s">
        <v>546</v>
      </c>
      <c r="B43" s="4" t="s">
        <v>547</v>
      </c>
      <c r="C43" s="4" t="s">
        <v>24</v>
      </c>
      <c r="D43" s="4" t="s">
        <v>458</v>
      </c>
      <c r="E43" s="6" t="n">
        <v>45313</v>
      </c>
      <c r="F43" s="4" t="s">
        <v>524</v>
      </c>
      <c r="G43" s="8" t="n">
        <v>59.8</v>
      </c>
    </row>
    <row r="44" customFormat="false" ht="15" hidden="false" customHeight="false" outlineLevel="0" collapsed="false">
      <c r="A44" s="4" t="s">
        <v>548</v>
      </c>
      <c r="B44" s="4" t="s">
        <v>549</v>
      </c>
      <c r="C44" s="4" t="s">
        <v>24</v>
      </c>
      <c r="D44" s="4" t="s">
        <v>448</v>
      </c>
      <c r="E44" s="6" t="n">
        <v>44008</v>
      </c>
      <c r="F44" s="4" t="s">
        <v>550</v>
      </c>
      <c r="G44" s="8" t="n">
        <v>78.5</v>
      </c>
    </row>
    <row r="45" customFormat="false" ht="15" hidden="false" customHeight="false" outlineLevel="0" collapsed="false">
      <c r="A45" s="4" t="s">
        <v>551</v>
      </c>
      <c r="B45" s="4" t="s">
        <v>552</v>
      </c>
      <c r="C45" s="4" t="s">
        <v>30</v>
      </c>
      <c r="D45" s="4" t="s">
        <v>468</v>
      </c>
      <c r="E45" s="6" t="n">
        <v>45707</v>
      </c>
      <c r="F45" s="4" t="s">
        <v>462</v>
      </c>
      <c r="G45" s="8" t="n">
        <v>96.4</v>
      </c>
    </row>
    <row r="46" customFormat="false" ht="15" hidden="false" customHeight="false" outlineLevel="0" collapsed="false">
      <c r="A46" s="4" t="s">
        <v>553</v>
      </c>
      <c r="B46" s="4" t="s">
        <v>554</v>
      </c>
      <c r="C46" s="4" t="s">
        <v>6</v>
      </c>
      <c r="D46" s="4" t="s">
        <v>458</v>
      </c>
      <c r="E46" s="6" t="n">
        <v>45476</v>
      </c>
      <c r="F46" s="4" t="s">
        <v>449</v>
      </c>
      <c r="G46" s="8" t="n">
        <v>68.9</v>
      </c>
    </row>
    <row r="47" customFormat="false" ht="15" hidden="false" customHeight="false" outlineLevel="0" collapsed="false">
      <c r="A47" s="4" t="s">
        <v>555</v>
      </c>
      <c r="B47" s="4" t="s">
        <v>556</v>
      </c>
      <c r="C47" s="4" t="s">
        <v>24</v>
      </c>
      <c r="D47" s="4" t="s">
        <v>458</v>
      </c>
      <c r="E47" s="6" t="n">
        <v>44132</v>
      </c>
      <c r="F47" s="4" t="s">
        <v>455</v>
      </c>
      <c r="G47" s="8" t="n">
        <v>9</v>
      </c>
    </row>
    <row r="48" customFormat="false" ht="15" hidden="false" customHeight="false" outlineLevel="0" collapsed="false">
      <c r="A48" s="4" t="s">
        <v>557</v>
      </c>
      <c r="B48" s="4" t="s">
        <v>558</v>
      </c>
      <c r="C48" s="4" t="s">
        <v>30</v>
      </c>
      <c r="D48" s="4" t="s">
        <v>448</v>
      </c>
      <c r="E48" s="6" t="n">
        <v>44100</v>
      </c>
      <c r="F48" s="4" t="s">
        <v>543</v>
      </c>
      <c r="G48" s="8" t="n">
        <v>28.2</v>
      </c>
    </row>
    <row r="49" customFormat="false" ht="15" hidden="false" customHeight="false" outlineLevel="0" collapsed="false">
      <c r="A49" s="4" t="s">
        <v>559</v>
      </c>
      <c r="B49" s="4" t="s">
        <v>560</v>
      </c>
      <c r="C49" s="4" t="s">
        <v>30</v>
      </c>
      <c r="D49" s="4" t="s">
        <v>468</v>
      </c>
      <c r="E49" s="6" t="n">
        <v>45391</v>
      </c>
      <c r="F49" s="4" t="s">
        <v>465</v>
      </c>
      <c r="G49" s="8" t="n">
        <v>53.5</v>
      </c>
    </row>
    <row r="50" customFormat="false" ht="15" hidden="false" customHeight="false" outlineLevel="0" collapsed="false">
      <c r="A50" s="4" t="s">
        <v>561</v>
      </c>
      <c r="B50" s="4" t="s">
        <v>562</v>
      </c>
      <c r="C50" s="4" t="s">
        <v>24</v>
      </c>
      <c r="D50" s="4" t="s">
        <v>458</v>
      </c>
      <c r="E50" s="6" t="n">
        <v>44237</v>
      </c>
      <c r="F50" s="4" t="s">
        <v>480</v>
      </c>
      <c r="G50" s="8" t="n">
        <v>70.5</v>
      </c>
    </row>
    <row r="51" customFormat="false" ht="15" hidden="false" customHeight="false" outlineLevel="0" collapsed="false">
      <c r="A51" s="4" t="s">
        <v>563</v>
      </c>
      <c r="B51" s="4" t="s">
        <v>564</v>
      </c>
      <c r="C51" s="4" t="s">
        <v>30</v>
      </c>
      <c r="D51" s="4" t="s">
        <v>448</v>
      </c>
      <c r="E51" s="6" t="n">
        <v>45592</v>
      </c>
      <c r="F51" s="4" t="s">
        <v>459</v>
      </c>
      <c r="G51" s="8" t="n">
        <v>88.9</v>
      </c>
    </row>
    <row r="52" customFormat="false" ht="15" hidden="false" customHeight="false" outlineLevel="0" collapsed="false">
      <c r="A52" s="4" t="s">
        <v>565</v>
      </c>
      <c r="B52" s="4" t="s">
        <v>566</v>
      </c>
      <c r="C52" s="4" t="s">
        <v>24</v>
      </c>
      <c r="D52" s="4" t="s">
        <v>468</v>
      </c>
      <c r="E52" s="6" t="n">
        <v>45688</v>
      </c>
      <c r="F52" s="4" t="s">
        <v>449</v>
      </c>
      <c r="G52" s="8" t="n">
        <v>42.2</v>
      </c>
    </row>
    <row r="53" customFormat="false" ht="15" hidden="false" customHeight="false" outlineLevel="0" collapsed="false">
      <c r="A53" s="4" t="s">
        <v>567</v>
      </c>
      <c r="B53" s="4" t="s">
        <v>568</v>
      </c>
      <c r="C53" s="4" t="s">
        <v>6</v>
      </c>
      <c r="D53" s="4" t="s">
        <v>468</v>
      </c>
      <c r="E53" s="6" t="n">
        <v>45579</v>
      </c>
      <c r="F53" s="4" t="s">
        <v>490</v>
      </c>
      <c r="G53" s="8" t="n">
        <v>66.8</v>
      </c>
    </row>
    <row r="54" customFormat="false" ht="15" hidden="false" customHeight="false" outlineLevel="0" collapsed="false">
      <c r="A54" s="4" t="s">
        <v>569</v>
      </c>
      <c r="B54" s="4" t="s">
        <v>570</v>
      </c>
      <c r="C54" s="4" t="s">
        <v>18</v>
      </c>
      <c r="D54" s="4" t="s">
        <v>448</v>
      </c>
      <c r="E54" s="6" t="n">
        <v>45773</v>
      </c>
      <c r="F54" s="4" t="s">
        <v>452</v>
      </c>
      <c r="G54" s="8" t="n">
        <v>10</v>
      </c>
    </row>
    <row r="55" customFormat="false" ht="15" hidden="false" customHeight="false" outlineLevel="0" collapsed="false">
      <c r="A55" s="4" t="s">
        <v>571</v>
      </c>
      <c r="B55" s="4" t="s">
        <v>572</v>
      </c>
      <c r="C55" s="4" t="s">
        <v>6</v>
      </c>
      <c r="D55" s="4" t="s">
        <v>489</v>
      </c>
      <c r="E55" s="6" t="n">
        <v>45599</v>
      </c>
      <c r="F55" s="4" t="s">
        <v>452</v>
      </c>
      <c r="G55" s="8" t="n">
        <v>74.7</v>
      </c>
    </row>
    <row r="56" customFormat="false" ht="15" hidden="false" customHeight="false" outlineLevel="0" collapsed="false">
      <c r="A56" s="4" t="s">
        <v>573</v>
      </c>
      <c r="B56" s="4" t="s">
        <v>574</v>
      </c>
      <c r="C56" s="4" t="s">
        <v>18</v>
      </c>
      <c r="D56" s="4" t="s">
        <v>448</v>
      </c>
      <c r="E56" s="6" t="n">
        <v>46109</v>
      </c>
      <c r="F56" s="4" t="s">
        <v>475</v>
      </c>
      <c r="G56" s="8" t="n">
        <v>59.1</v>
      </c>
    </row>
    <row r="57" customFormat="false" ht="15" hidden="false" customHeight="false" outlineLevel="0" collapsed="false">
      <c r="A57" s="4" t="s">
        <v>575</v>
      </c>
      <c r="B57" s="4" t="s">
        <v>576</v>
      </c>
      <c r="C57" s="4" t="s">
        <v>30</v>
      </c>
      <c r="D57" s="4" t="s">
        <v>468</v>
      </c>
      <c r="E57" s="6" t="n">
        <v>44331</v>
      </c>
      <c r="F57" s="4" t="s">
        <v>449</v>
      </c>
      <c r="G57" s="8" t="n">
        <v>36</v>
      </c>
    </row>
    <row r="58" customFormat="false" ht="15" hidden="false" customHeight="false" outlineLevel="0" collapsed="false">
      <c r="A58" s="4" t="s">
        <v>577</v>
      </c>
      <c r="B58" s="4" t="s">
        <v>578</v>
      </c>
      <c r="C58" s="4" t="s">
        <v>24</v>
      </c>
      <c r="D58" s="4" t="s">
        <v>489</v>
      </c>
      <c r="E58" s="6" t="n">
        <v>45009</v>
      </c>
      <c r="F58" s="4" t="s">
        <v>465</v>
      </c>
      <c r="G58" s="8" t="n">
        <v>31.9</v>
      </c>
    </row>
    <row r="59" customFormat="false" ht="15" hidden="false" customHeight="false" outlineLevel="0" collapsed="false">
      <c r="A59" s="4" t="s">
        <v>579</v>
      </c>
      <c r="B59" s="4" t="s">
        <v>580</v>
      </c>
      <c r="C59" s="4" t="s">
        <v>6</v>
      </c>
      <c r="D59" s="4" t="s">
        <v>448</v>
      </c>
      <c r="E59" s="6" t="n">
        <v>44464</v>
      </c>
      <c r="F59" s="4" t="s">
        <v>462</v>
      </c>
      <c r="G59" s="8" t="n">
        <v>48.7</v>
      </c>
    </row>
    <row r="60" customFormat="false" ht="15" hidden="false" customHeight="false" outlineLevel="0" collapsed="false">
      <c r="A60" s="4" t="s">
        <v>581</v>
      </c>
      <c r="B60" s="4" t="s">
        <v>582</v>
      </c>
      <c r="C60" s="4" t="s">
        <v>6</v>
      </c>
      <c r="D60" s="4" t="s">
        <v>468</v>
      </c>
      <c r="E60" s="6" t="n">
        <v>46109</v>
      </c>
      <c r="F60" s="4" t="s">
        <v>490</v>
      </c>
      <c r="G60" s="8" t="n">
        <v>12.4</v>
      </c>
    </row>
    <row r="61" customFormat="false" ht="15" hidden="false" customHeight="false" outlineLevel="0" collapsed="false">
      <c r="A61" s="4" t="s">
        <v>583</v>
      </c>
      <c r="B61" s="4" t="s">
        <v>584</v>
      </c>
      <c r="C61" s="4" t="s">
        <v>18</v>
      </c>
      <c r="D61" s="4" t="s">
        <v>448</v>
      </c>
      <c r="E61" s="6" t="n">
        <v>45588</v>
      </c>
      <c r="F61" s="4" t="s">
        <v>469</v>
      </c>
      <c r="G61" s="8" t="n">
        <v>56.5</v>
      </c>
    </row>
    <row r="62" customFormat="false" ht="15" hidden="false" customHeight="false" outlineLevel="0" collapsed="false">
      <c r="A62" s="4" t="s">
        <v>585</v>
      </c>
      <c r="B62" s="4" t="s">
        <v>586</v>
      </c>
      <c r="C62" s="4" t="s">
        <v>30</v>
      </c>
      <c r="D62" s="4" t="s">
        <v>489</v>
      </c>
      <c r="E62" s="6" t="n">
        <v>44926</v>
      </c>
      <c r="F62" s="4" t="s">
        <v>475</v>
      </c>
      <c r="G62" s="8" t="n">
        <v>18.9</v>
      </c>
    </row>
    <row r="63" customFormat="false" ht="15" hidden="false" customHeight="false" outlineLevel="0" collapsed="false">
      <c r="A63" s="4" t="s">
        <v>587</v>
      </c>
      <c r="B63" s="4" t="s">
        <v>588</v>
      </c>
      <c r="C63" s="4" t="s">
        <v>18</v>
      </c>
      <c r="D63" s="4" t="s">
        <v>468</v>
      </c>
      <c r="E63" s="6" t="n">
        <v>45268</v>
      </c>
      <c r="F63" s="4" t="s">
        <v>475</v>
      </c>
      <c r="G63" s="8" t="n">
        <v>19</v>
      </c>
    </row>
    <row r="64" customFormat="false" ht="15" hidden="false" customHeight="false" outlineLevel="0" collapsed="false">
      <c r="A64" s="4" t="s">
        <v>589</v>
      </c>
      <c r="B64" s="4" t="s">
        <v>590</v>
      </c>
      <c r="C64" s="4" t="s">
        <v>12</v>
      </c>
      <c r="D64" s="4" t="s">
        <v>458</v>
      </c>
      <c r="E64" s="6" t="n">
        <v>44116</v>
      </c>
      <c r="F64" s="4" t="s">
        <v>543</v>
      </c>
      <c r="G64" s="8" t="n">
        <v>74.4</v>
      </c>
    </row>
    <row r="65" customFormat="false" ht="15" hidden="false" customHeight="false" outlineLevel="0" collapsed="false">
      <c r="A65" s="4" t="s">
        <v>591</v>
      </c>
      <c r="B65" s="4" t="s">
        <v>592</v>
      </c>
      <c r="C65" s="4" t="s">
        <v>6</v>
      </c>
      <c r="D65" s="4" t="s">
        <v>489</v>
      </c>
      <c r="E65" s="6" t="n">
        <v>46003</v>
      </c>
      <c r="F65" s="4" t="s">
        <v>472</v>
      </c>
      <c r="G65" s="8" t="n">
        <v>38.2</v>
      </c>
    </row>
    <row r="66" customFormat="false" ht="15" hidden="false" customHeight="false" outlineLevel="0" collapsed="false">
      <c r="A66" s="4" t="s">
        <v>593</v>
      </c>
      <c r="B66" s="4" t="s">
        <v>594</v>
      </c>
      <c r="C66" s="4" t="s">
        <v>24</v>
      </c>
      <c r="D66" s="4" t="s">
        <v>468</v>
      </c>
      <c r="E66" s="6" t="n">
        <v>44475</v>
      </c>
      <c r="F66" s="4" t="s">
        <v>490</v>
      </c>
      <c r="G66" s="8" t="n">
        <v>31.9</v>
      </c>
    </row>
    <row r="67" customFormat="false" ht="15" hidden="false" customHeight="false" outlineLevel="0" collapsed="false">
      <c r="A67" s="4" t="s">
        <v>595</v>
      </c>
      <c r="B67" s="4" t="s">
        <v>596</v>
      </c>
      <c r="C67" s="4" t="s">
        <v>18</v>
      </c>
      <c r="D67" s="4" t="s">
        <v>489</v>
      </c>
      <c r="E67" s="6" t="n">
        <v>44046</v>
      </c>
      <c r="F67" s="4" t="s">
        <v>543</v>
      </c>
      <c r="G67" s="8" t="n">
        <v>16.6</v>
      </c>
    </row>
    <row r="68" customFormat="false" ht="15" hidden="false" customHeight="false" outlineLevel="0" collapsed="false">
      <c r="A68" s="4" t="s">
        <v>597</v>
      </c>
      <c r="B68" s="4" t="s">
        <v>598</v>
      </c>
      <c r="C68" s="4" t="s">
        <v>30</v>
      </c>
      <c r="D68" s="4" t="s">
        <v>489</v>
      </c>
      <c r="E68" s="6" t="n">
        <v>44165</v>
      </c>
      <c r="F68" s="4" t="s">
        <v>495</v>
      </c>
      <c r="G68" s="8" t="n">
        <v>44.9</v>
      </c>
    </row>
    <row r="69" customFormat="false" ht="15" hidden="false" customHeight="false" outlineLevel="0" collapsed="false">
      <c r="A69" s="4" t="s">
        <v>599</v>
      </c>
      <c r="B69" s="4" t="s">
        <v>600</v>
      </c>
      <c r="C69" s="4" t="s">
        <v>24</v>
      </c>
      <c r="D69" s="4" t="s">
        <v>458</v>
      </c>
      <c r="E69" s="6" t="n">
        <v>45641</v>
      </c>
      <c r="F69" s="4" t="s">
        <v>449</v>
      </c>
      <c r="G69" s="8" t="n">
        <v>28</v>
      </c>
    </row>
    <row r="70" customFormat="false" ht="15" hidden="false" customHeight="false" outlineLevel="0" collapsed="false">
      <c r="A70" s="4" t="s">
        <v>601</v>
      </c>
      <c r="B70" s="4" t="s">
        <v>602</v>
      </c>
      <c r="C70" s="4" t="s">
        <v>30</v>
      </c>
      <c r="D70" s="4" t="s">
        <v>489</v>
      </c>
      <c r="E70" s="6" t="n">
        <v>45244</v>
      </c>
      <c r="F70" s="4" t="s">
        <v>449</v>
      </c>
      <c r="G70" s="8" t="n">
        <v>12</v>
      </c>
    </row>
    <row r="71" customFormat="false" ht="15" hidden="false" customHeight="false" outlineLevel="0" collapsed="false">
      <c r="A71" s="4" t="s">
        <v>603</v>
      </c>
      <c r="B71" s="4" t="s">
        <v>604</v>
      </c>
      <c r="C71" s="4" t="s">
        <v>30</v>
      </c>
      <c r="D71" s="4" t="s">
        <v>458</v>
      </c>
      <c r="E71" s="6" t="n">
        <v>45989</v>
      </c>
      <c r="F71" s="4" t="s">
        <v>462</v>
      </c>
      <c r="G71" s="8" t="n">
        <v>31.5</v>
      </c>
    </row>
    <row r="72" customFormat="false" ht="15" hidden="false" customHeight="false" outlineLevel="0" collapsed="false">
      <c r="A72" s="4" t="s">
        <v>605</v>
      </c>
      <c r="B72" s="4" t="s">
        <v>606</v>
      </c>
      <c r="C72" s="4" t="s">
        <v>12</v>
      </c>
      <c r="D72" s="4" t="s">
        <v>458</v>
      </c>
      <c r="E72" s="6" t="n">
        <v>44055</v>
      </c>
      <c r="F72" s="4" t="s">
        <v>475</v>
      </c>
      <c r="G72" s="8" t="n">
        <v>21.2</v>
      </c>
    </row>
    <row r="73" customFormat="false" ht="15" hidden="false" customHeight="false" outlineLevel="0" collapsed="false">
      <c r="A73" s="4" t="s">
        <v>607</v>
      </c>
      <c r="B73" s="4" t="s">
        <v>608</v>
      </c>
      <c r="C73" s="4" t="s">
        <v>12</v>
      </c>
      <c r="D73" s="4" t="s">
        <v>448</v>
      </c>
      <c r="E73" s="6" t="n">
        <v>44877</v>
      </c>
      <c r="F73" s="4" t="s">
        <v>495</v>
      </c>
      <c r="G73" s="8" t="n">
        <v>33.5</v>
      </c>
    </row>
    <row r="74" customFormat="false" ht="15" hidden="false" customHeight="false" outlineLevel="0" collapsed="false">
      <c r="A74" s="4" t="s">
        <v>609</v>
      </c>
      <c r="B74" s="4" t="s">
        <v>610</v>
      </c>
      <c r="C74" s="4" t="s">
        <v>6</v>
      </c>
      <c r="D74" s="4" t="s">
        <v>458</v>
      </c>
      <c r="E74" s="6" t="n">
        <v>45594</v>
      </c>
      <c r="F74" s="4" t="s">
        <v>543</v>
      </c>
      <c r="G74" s="8" t="n">
        <v>13.8</v>
      </c>
    </row>
    <row r="75" customFormat="false" ht="15" hidden="false" customHeight="false" outlineLevel="0" collapsed="false">
      <c r="A75" s="4" t="s">
        <v>611</v>
      </c>
      <c r="B75" s="4" t="s">
        <v>612</v>
      </c>
      <c r="C75" s="4" t="s">
        <v>30</v>
      </c>
      <c r="D75" s="4" t="s">
        <v>448</v>
      </c>
      <c r="E75" s="6" t="n">
        <v>45880</v>
      </c>
      <c r="F75" s="4" t="s">
        <v>524</v>
      </c>
      <c r="G75" s="8" t="n">
        <v>83.5</v>
      </c>
    </row>
    <row r="76" customFormat="false" ht="15" hidden="false" customHeight="false" outlineLevel="0" collapsed="false">
      <c r="A76" s="4" t="s">
        <v>613</v>
      </c>
      <c r="B76" s="4" t="s">
        <v>614</v>
      </c>
      <c r="C76" s="4" t="s">
        <v>18</v>
      </c>
      <c r="D76" s="4" t="s">
        <v>489</v>
      </c>
      <c r="E76" s="6" t="n">
        <v>45457</v>
      </c>
      <c r="F76" s="4" t="s">
        <v>469</v>
      </c>
      <c r="G76" s="8" t="n">
        <v>74.5</v>
      </c>
    </row>
    <row r="77" customFormat="false" ht="15" hidden="false" customHeight="false" outlineLevel="0" collapsed="false">
      <c r="A77" s="4" t="s">
        <v>615</v>
      </c>
      <c r="B77" s="4" t="s">
        <v>616</v>
      </c>
      <c r="C77" s="4" t="s">
        <v>24</v>
      </c>
      <c r="D77" s="4" t="s">
        <v>489</v>
      </c>
      <c r="E77" s="6" t="n">
        <v>45714</v>
      </c>
      <c r="F77" s="4" t="s">
        <v>455</v>
      </c>
      <c r="G77" s="8" t="n">
        <v>8.7</v>
      </c>
    </row>
    <row r="78" customFormat="false" ht="15" hidden="false" customHeight="false" outlineLevel="0" collapsed="false">
      <c r="A78" s="4" t="s">
        <v>617</v>
      </c>
      <c r="B78" s="4" t="s">
        <v>618</v>
      </c>
      <c r="C78" s="4" t="s">
        <v>18</v>
      </c>
      <c r="D78" s="4" t="s">
        <v>458</v>
      </c>
      <c r="E78" s="6" t="n">
        <v>45487</v>
      </c>
      <c r="F78" s="4" t="s">
        <v>550</v>
      </c>
      <c r="G78" s="8" t="n">
        <v>64.4</v>
      </c>
    </row>
    <row r="79" customFormat="false" ht="15" hidden="false" customHeight="false" outlineLevel="0" collapsed="false">
      <c r="A79" s="4" t="s">
        <v>619</v>
      </c>
      <c r="B79" s="4" t="s">
        <v>620</v>
      </c>
      <c r="C79" s="4" t="s">
        <v>18</v>
      </c>
      <c r="D79" s="4" t="s">
        <v>489</v>
      </c>
      <c r="E79" s="6" t="n">
        <v>45490</v>
      </c>
      <c r="F79" s="4" t="s">
        <v>475</v>
      </c>
      <c r="G79" s="8" t="n">
        <v>96.7</v>
      </c>
    </row>
    <row r="80" customFormat="false" ht="15" hidden="false" customHeight="false" outlineLevel="0" collapsed="false">
      <c r="A80" s="4" t="s">
        <v>621</v>
      </c>
      <c r="B80" s="4" t="s">
        <v>622</v>
      </c>
      <c r="C80" s="4" t="s">
        <v>12</v>
      </c>
      <c r="D80" s="4" t="s">
        <v>458</v>
      </c>
      <c r="E80" s="6" t="n">
        <v>45313</v>
      </c>
      <c r="F80" s="4" t="s">
        <v>452</v>
      </c>
      <c r="G80" s="8" t="n">
        <v>44.2</v>
      </c>
    </row>
    <row r="81" customFormat="false" ht="15" hidden="false" customHeight="false" outlineLevel="0" collapsed="false">
      <c r="A81" s="4" t="s">
        <v>623</v>
      </c>
      <c r="B81" s="4" t="s">
        <v>624</v>
      </c>
      <c r="C81" s="4" t="s">
        <v>6</v>
      </c>
      <c r="D81" s="4" t="s">
        <v>448</v>
      </c>
      <c r="E81" s="6" t="n">
        <v>45615</v>
      </c>
      <c r="F81" s="4" t="s">
        <v>465</v>
      </c>
      <c r="G81" s="8" t="n">
        <v>40.6</v>
      </c>
    </row>
    <row r="82" customFormat="false" ht="15" hidden="false" customHeight="false" outlineLevel="0" collapsed="false">
      <c r="A82" s="4" t="s">
        <v>625</v>
      </c>
      <c r="B82" s="4" t="s">
        <v>626</v>
      </c>
      <c r="C82" s="4" t="s">
        <v>6</v>
      </c>
      <c r="D82" s="4" t="s">
        <v>458</v>
      </c>
      <c r="E82" s="6" t="n">
        <v>45101</v>
      </c>
      <c r="F82" s="4" t="s">
        <v>550</v>
      </c>
      <c r="G82" s="8" t="n">
        <v>34.6</v>
      </c>
    </row>
    <row r="83" customFormat="false" ht="15" hidden="false" customHeight="false" outlineLevel="0" collapsed="false">
      <c r="A83" s="4" t="s">
        <v>627</v>
      </c>
      <c r="B83" s="4" t="s">
        <v>628</v>
      </c>
      <c r="C83" s="4" t="s">
        <v>18</v>
      </c>
      <c r="D83" s="4" t="s">
        <v>448</v>
      </c>
      <c r="E83" s="6" t="n">
        <v>44143</v>
      </c>
      <c r="F83" s="4" t="s">
        <v>524</v>
      </c>
      <c r="G83" s="8" t="n">
        <v>63.7</v>
      </c>
    </row>
    <row r="84" customFormat="false" ht="15" hidden="false" customHeight="false" outlineLevel="0" collapsed="false">
      <c r="A84" s="4" t="s">
        <v>629</v>
      </c>
      <c r="B84" s="4" t="s">
        <v>630</v>
      </c>
      <c r="C84" s="4" t="s">
        <v>30</v>
      </c>
      <c r="D84" s="4" t="s">
        <v>448</v>
      </c>
      <c r="E84" s="6" t="n">
        <v>45262</v>
      </c>
      <c r="F84" s="4" t="s">
        <v>490</v>
      </c>
      <c r="G84" s="8" t="n">
        <v>73</v>
      </c>
    </row>
    <row r="85" customFormat="false" ht="15" hidden="false" customHeight="false" outlineLevel="0" collapsed="false">
      <c r="A85" s="4" t="s">
        <v>631</v>
      </c>
      <c r="B85" s="4" t="s">
        <v>632</v>
      </c>
      <c r="C85" s="4" t="s">
        <v>12</v>
      </c>
      <c r="D85" s="4" t="s">
        <v>448</v>
      </c>
      <c r="E85" s="6" t="n">
        <v>44252</v>
      </c>
      <c r="F85" s="4" t="s">
        <v>543</v>
      </c>
      <c r="G85" s="8" t="n">
        <v>26.3</v>
      </c>
    </row>
    <row r="86" customFormat="false" ht="15" hidden="false" customHeight="false" outlineLevel="0" collapsed="false">
      <c r="A86" s="4" t="s">
        <v>633</v>
      </c>
      <c r="B86" s="4" t="s">
        <v>634</v>
      </c>
      <c r="C86" s="4" t="s">
        <v>12</v>
      </c>
      <c r="D86" s="4" t="s">
        <v>448</v>
      </c>
      <c r="E86" s="6" t="n">
        <v>44139</v>
      </c>
      <c r="F86" s="4" t="s">
        <v>543</v>
      </c>
      <c r="G86" s="8" t="n">
        <v>95.2</v>
      </c>
    </row>
    <row r="87" customFormat="false" ht="15" hidden="false" customHeight="false" outlineLevel="0" collapsed="false">
      <c r="A87" s="4" t="s">
        <v>635</v>
      </c>
      <c r="B87" s="4" t="s">
        <v>636</v>
      </c>
      <c r="C87" s="4" t="s">
        <v>24</v>
      </c>
      <c r="D87" s="4" t="s">
        <v>458</v>
      </c>
      <c r="E87" s="6" t="n">
        <v>45669</v>
      </c>
      <c r="F87" s="4" t="s">
        <v>462</v>
      </c>
      <c r="G87" s="8" t="n">
        <v>92.5</v>
      </c>
    </row>
    <row r="88" customFormat="false" ht="15" hidden="false" customHeight="false" outlineLevel="0" collapsed="false">
      <c r="A88" s="4" t="s">
        <v>637</v>
      </c>
      <c r="B88" s="4" t="s">
        <v>638</v>
      </c>
      <c r="C88" s="4" t="s">
        <v>30</v>
      </c>
      <c r="D88" s="4" t="s">
        <v>468</v>
      </c>
      <c r="E88" s="6" t="n">
        <v>45125</v>
      </c>
      <c r="F88" s="4" t="s">
        <v>543</v>
      </c>
      <c r="G88" s="8" t="n">
        <v>44.5</v>
      </c>
    </row>
    <row r="89" customFormat="false" ht="15" hidden="false" customHeight="false" outlineLevel="0" collapsed="false">
      <c r="A89" s="4" t="s">
        <v>639</v>
      </c>
      <c r="B89" s="4" t="s">
        <v>640</v>
      </c>
      <c r="C89" s="4" t="s">
        <v>24</v>
      </c>
      <c r="D89" s="4" t="s">
        <v>458</v>
      </c>
      <c r="E89" s="6" t="n">
        <v>45071</v>
      </c>
      <c r="F89" s="4" t="s">
        <v>480</v>
      </c>
      <c r="G89" s="8" t="n">
        <v>28.2</v>
      </c>
    </row>
    <row r="90" customFormat="false" ht="15" hidden="false" customHeight="false" outlineLevel="0" collapsed="false">
      <c r="A90" s="4" t="s">
        <v>641</v>
      </c>
      <c r="B90" s="4" t="s">
        <v>642</v>
      </c>
      <c r="C90" s="4" t="s">
        <v>6</v>
      </c>
      <c r="D90" s="4" t="s">
        <v>468</v>
      </c>
      <c r="E90" s="6" t="n">
        <v>45909</v>
      </c>
      <c r="F90" s="4" t="s">
        <v>452</v>
      </c>
      <c r="G90" s="8" t="n">
        <v>31.7</v>
      </c>
    </row>
    <row r="91" customFormat="false" ht="15" hidden="false" customHeight="false" outlineLevel="0" collapsed="false">
      <c r="A91" s="4" t="s">
        <v>643</v>
      </c>
      <c r="B91" s="4" t="s">
        <v>644</v>
      </c>
      <c r="C91" s="4" t="s">
        <v>24</v>
      </c>
      <c r="D91" s="4" t="s">
        <v>489</v>
      </c>
      <c r="E91" s="6" t="n">
        <v>44064</v>
      </c>
      <c r="F91" s="4" t="s">
        <v>490</v>
      </c>
      <c r="G91" s="8" t="n">
        <v>83.3</v>
      </c>
    </row>
    <row r="92" customFormat="false" ht="15" hidden="false" customHeight="false" outlineLevel="0" collapsed="false">
      <c r="A92" s="4" t="s">
        <v>645</v>
      </c>
      <c r="B92" s="4" t="s">
        <v>646</v>
      </c>
      <c r="C92" s="4" t="s">
        <v>6</v>
      </c>
      <c r="D92" s="4" t="s">
        <v>489</v>
      </c>
      <c r="E92" s="6" t="n">
        <v>45907</v>
      </c>
      <c r="F92" s="4" t="s">
        <v>449</v>
      </c>
      <c r="G92" s="8" t="n">
        <v>46.8</v>
      </c>
    </row>
    <row r="93" customFormat="false" ht="15" hidden="false" customHeight="false" outlineLevel="0" collapsed="false">
      <c r="A93" s="4" t="s">
        <v>647</v>
      </c>
      <c r="B93" s="4" t="s">
        <v>648</v>
      </c>
      <c r="C93" s="4" t="s">
        <v>30</v>
      </c>
      <c r="D93" s="4" t="s">
        <v>489</v>
      </c>
      <c r="E93" s="6" t="n">
        <v>45673</v>
      </c>
      <c r="F93" s="4" t="s">
        <v>455</v>
      </c>
      <c r="G93" s="8" t="n">
        <v>81.2</v>
      </c>
    </row>
    <row r="94" customFormat="false" ht="15" hidden="false" customHeight="false" outlineLevel="0" collapsed="false">
      <c r="A94" s="4" t="s">
        <v>649</v>
      </c>
      <c r="B94" s="4" t="s">
        <v>650</v>
      </c>
      <c r="C94" s="4" t="s">
        <v>12</v>
      </c>
      <c r="D94" s="4" t="s">
        <v>468</v>
      </c>
      <c r="E94" s="6" t="n">
        <v>45779</v>
      </c>
      <c r="F94" s="4" t="s">
        <v>524</v>
      </c>
      <c r="G94" s="8" t="n">
        <v>15.9</v>
      </c>
    </row>
    <row r="95" customFormat="false" ht="15" hidden="false" customHeight="false" outlineLevel="0" collapsed="false">
      <c r="A95" s="4" t="s">
        <v>651</v>
      </c>
      <c r="B95" s="4" t="s">
        <v>652</v>
      </c>
      <c r="C95" s="4" t="s">
        <v>6</v>
      </c>
      <c r="D95" s="4" t="s">
        <v>458</v>
      </c>
      <c r="E95" s="6" t="n">
        <v>44254</v>
      </c>
      <c r="F95" s="4" t="s">
        <v>480</v>
      </c>
      <c r="G95" s="8" t="n">
        <v>90</v>
      </c>
    </row>
    <row r="96" customFormat="false" ht="15" hidden="false" customHeight="false" outlineLevel="0" collapsed="false">
      <c r="A96" s="4" t="s">
        <v>653</v>
      </c>
      <c r="B96" s="4" t="s">
        <v>654</v>
      </c>
      <c r="C96" s="4" t="s">
        <v>18</v>
      </c>
      <c r="D96" s="4" t="s">
        <v>489</v>
      </c>
      <c r="E96" s="6" t="n">
        <v>45897</v>
      </c>
      <c r="F96" s="4" t="s">
        <v>462</v>
      </c>
      <c r="G96" s="8" t="n">
        <v>18.1</v>
      </c>
    </row>
    <row r="97" customFormat="false" ht="15" hidden="false" customHeight="false" outlineLevel="0" collapsed="false">
      <c r="A97" s="4" t="s">
        <v>655</v>
      </c>
      <c r="B97" s="4" t="s">
        <v>656</v>
      </c>
      <c r="C97" s="4" t="s">
        <v>12</v>
      </c>
      <c r="D97" s="4" t="s">
        <v>458</v>
      </c>
      <c r="E97" s="6" t="n">
        <v>45630</v>
      </c>
      <c r="F97" s="4" t="s">
        <v>524</v>
      </c>
      <c r="G97" s="8" t="n">
        <v>52.8</v>
      </c>
    </row>
    <row r="98" customFormat="false" ht="15" hidden="false" customHeight="false" outlineLevel="0" collapsed="false">
      <c r="A98" s="4" t="s">
        <v>657</v>
      </c>
      <c r="B98" s="4" t="s">
        <v>658</v>
      </c>
      <c r="C98" s="4" t="s">
        <v>12</v>
      </c>
      <c r="D98" s="4" t="s">
        <v>468</v>
      </c>
      <c r="E98" s="6" t="n">
        <v>45358</v>
      </c>
      <c r="F98" s="4" t="s">
        <v>455</v>
      </c>
      <c r="G98" s="8" t="n">
        <v>29</v>
      </c>
    </row>
    <row r="99" customFormat="false" ht="15" hidden="false" customHeight="false" outlineLevel="0" collapsed="false">
      <c r="A99" s="4" t="s">
        <v>659</v>
      </c>
      <c r="B99" s="4" t="s">
        <v>660</v>
      </c>
      <c r="C99" s="4" t="s">
        <v>24</v>
      </c>
      <c r="D99" s="4" t="s">
        <v>468</v>
      </c>
      <c r="E99" s="6" t="n">
        <v>44045</v>
      </c>
      <c r="F99" s="4" t="s">
        <v>480</v>
      </c>
      <c r="G99" s="8" t="n">
        <v>63.5</v>
      </c>
    </row>
    <row r="100" customFormat="false" ht="15" hidden="false" customHeight="false" outlineLevel="0" collapsed="false">
      <c r="A100" s="4" t="s">
        <v>661</v>
      </c>
      <c r="B100" s="4" t="s">
        <v>662</v>
      </c>
      <c r="C100" s="4" t="s">
        <v>18</v>
      </c>
      <c r="D100" s="4" t="s">
        <v>489</v>
      </c>
      <c r="E100" s="6" t="n">
        <v>45181</v>
      </c>
      <c r="F100" s="4" t="s">
        <v>452</v>
      </c>
      <c r="G100" s="8" t="n">
        <v>56.2</v>
      </c>
    </row>
    <row r="101" customFormat="false" ht="15" hidden="false" customHeight="false" outlineLevel="0" collapsed="false">
      <c r="A101" s="4" t="s">
        <v>663</v>
      </c>
      <c r="B101" s="4" t="s">
        <v>664</v>
      </c>
      <c r="C101" s="4" t="s">
        <v>24</v>
      </c>
      <c r="D101" s="4" t="s">
        <v>468</v>
      </c>
      <c r="E101" s="6" t="n">
        <v>44863</v>
      </c>
      <c r="F101" s="4" t="s">
        <v>550</v>
      </c>
      <c r="G101" s="8" t="n">
        <v>85.3</v>
      </c>
    </row>
    <row r="102" customFormat="false" ht="15" hidden="false" customHeight="false" outlineLevel="0" collapsed="false">
      <c r="A102" s="4" t="s">
        <v>665</v>
      </c>
      <c r="B102" s="4" t="s">
        <v>666</v>
      </c>
      <c r="C102" s="4" t="s">
        <v>30</v>
      </c>
      <c r="D102" s="4" t="s">
        <v>448</v>
      </c>
      <c r="E102" s="6" t="n">
        <v>45196</v>
      </c>
      <c r="F102" s="4" t="s">
        <v>452</v>
      </c>
      <c r="G102" s="8" t="n">
        <v>58.7</v>
      </c>
    </row>
    <row r="103" customFormat="false" ht="15" hidden="false" customHeight="false" outlineLevel="0" collapsed="false">
      <c r="A103" s="4" t="s">
        <v>667</v>
      </c>
      <c r="B103" s="4" t="s">
        <v>668</v>
      </c>
      <c r="C103" s="4" t="s">
        <v>12</v>
      </c>
      <c r="D103" s="4" t="s">
        <v>468</v>
      </c>
      <c r="E103" s="6" t="n">
        <v>45101</v>
      </c>
      <c r="F103" s="4" t="s">
        <v>462</v>
      </c>
      <c r="G103" s="8" t="n">
        <v>70.1</v>
      </c>
    </row>
    <row r="104" customFormat="false" ht="15" hidden="false" customHeight="false" outlineLevel="0" collapsed="false">
      <c r="A104" s="4" t="s">
        <v>669</v>
      </c>
      <c r="B104" s="4" t="s">
        <v>670</v>
      </c>
      <c r="C104" s="4" t="s">
        <v>24</v>
      </c>
      <c r="D104" s="4" t="s">
        <v>448</v>
      </c>
      <c r="E104" s="6" t="n">
        <v>44178</v>
      </c>
      <c r="F104" s="4" t="s">
        <v>495</v>
      </c>
      <c r="G104" s="8" t="n">
        <v>56.3</v>
      </c>
    </row>
    <row r="105" customFormat="false" ht="15" hidden="false" customHeight="false" outlineLevel="0" collapsed="false">
      <c r="A105" s="4" t="s">
        <v>671</v>
      </c>
      <c r="B105" s="4" t="s">
        <v>672</v>
      </c>
      <c r="C105" s="4" t="s">
        <v>18</v>
      </c>
      <c r="D105" s="4" t="s">
        <v>448</v>
      </c>
      <c r="E105" s="6" t="n">
        <v>45987</v>
      </c>
      <c r="F105" s="4" t="s">
        <v>452</v>
      </c>
      <c r="G105" s="8" t="n">
        <v>65</v>
      </c>
    </row>
    <row r="106" customFormat="false" ht="15" hidden="false" customHeight="false" outlineLevel="0" collapsed="false">
      <c r="A106" s="4" t="s">
        <v>673</v>
      </c>
      <c r="B106" s="4" t="s">
        <v>674</v>
      </c>
      <c r="C106" s="4" t="s">
        <v>24</v>
      </c>
      <c r="D106" s="4" t="s">
        <v>468</v>
      </c>
      <c r="E106" s="6" t="n">
        <v>43905</v>
      </c>
      <c r="F106" s="4" t="s">
        <v>490</v>
      </c>
      <c r="G106" s="8" t="n">
        <v>31.6</v>
      </c>
    </row>
    <row r="107" customFormat="false" ht="15" hidden="false" customHeight="false" outlineLevel="0" collapsed="false">
      <c r="A107" s="4" t="s">
        <v>675</v>
      </c>
      <c r="B107" s="4" t="s">
        <v>676</v>
      </c>
      <c r="C107" s="4" t="s">
        <v>12</v>
      </c>
      <c r="D107" s="4" t="s">
        <v>468</v>
      </c>
      <c r="E107" s="6" t="n">
        <v>45822</v>
      </c>
      <c r="F107" s="4" t="s">
        <v>472</v>
      </c>
      <c r="G107" s="8" t="n">
        <v>23.4</v>
      </c>
    </row>
    <row r="108" customFormat="false" ht="15" hidden="false" customHeight="false" outlineLevel="0" collapsed="false">
      <c r="A108" s="4" t="s">
        <v>677</v>
      </c>
      <c r="B108" s="4" t="s">
        <v>678</v>
      </c>
      <c r="C108" s="4" t="s">
        <v>12</v>
      </c>
      <c r="D108" s="4" t="s">
        <v>448</v>
      </c>
      <c r="E108" s="6" t="n">
        <v>44147</v>
      </c>
      <c r="F108" s="4" t="s">
        <v>495</v>
      </c>
      <c r="G108" s="8" t="n">
        <v>84.6</v>
      </c>
    </row>
    <row r="109" customFormat="false" ht="15" hidden="false" customHeight="false" outlineLevel="0" collapsed="false">
      <c r="A109" s="4" t="s">
        <v>679</v>
      </c>
      <c r="B109" s="4" t="s">
        <v>680</v>
      </c>
      <c r="C109" s="4" t="s">
        <v>6</v>
      </c>
      <c r="D109" s="4" t="s">
        <v>489</v>
      </c>
      <c r="E109" s="6" t="n">
        <v>45210</v>
      </c>
      <c r="F109" s="4" t="s">
        <v>455</v>
      </c>
      <c r="G109" s="8" t="n">
        <v>76.9</v>
      </c>
    </row>
    <row r="110" customFormat="false" ht="15" hidden="false" customHeight="false" outlineLevel="0" collapsed="false">
      <c r="A110" s="4" t="s">
        <v>681</v>
      </c>
      <c r="B110" s="4" t="s">
        <v>682</v>
      </c>
      <c r="C110" s="4" t="s">
        <v>12</v>
      </c>
      <c r="D110" s="4" t="s">
        <v>458</v>
      </c>
      <c r="E110" s="6" t="n">
        <v>44462</v>
      </c>
      <c r="F110" s="4" t="s">
        <v>543</v>
      </c>
      <c r="G110" s="8" t="n">
        <v>18.9</v>
      </c>
    </row>
    <row r="111" customFormat="false" ht="15" hidden="false" customHeight="false" outlineLevel="0" collapsed="false">
      <c r="A111" s="4" t="s">
        <v>683</v>
      </c>
      <c r="B111" s="4" t="s">
        <v>684</v>
      </c>
      <c r="C111" s="4" t="s">
        <v>30</v>
      </c>
      <c r="D111" s="4" t="s">
        <v>448</v>
      </c>
      <c r="E111" s="6" t="n">
        <v>45623</v>
      </c>
      <c r="F111" s="4" t="s">
        <v>475</v>
      </c>
      <c r="G111" s="8" t="n">
        <v>41.7</v>
      </c>
    </row>
    <row r="112" customFormat="false" ht="15" hidden="false" customHeight="false" outlineLevel="0" collapsed="false">
      <c r="A112" s="4" t="s">
        <v>685</v>
      </c>
      <c r="B112" s="4" t="s">
        <v>686</v>
      </c>
      <c r="C112" s="4" t="s">
        <v>12</v>
      </c>
      <c r="D112" s="4" t="s">
        <v>458</v>
      </c>
      <c r="E112" s="6" t="n">
        <v>44998</v>
      </c>
      <c r="F112" s="4" t="s">
        <v>480</v>
      </c>
      <c r="G112" s="8" t="n">
        <v>75.1</v>
      </c>
    </row>
    <row r="113" customFormat="false" ht="15" hidden="false" customHeight="false" outlineLevel="0" collapsed="false">
      <c r="A113" s="4" t="s">
        <v>687</v>
      </c>
      <c r="B113" s="4" t="s">
        <v>688</v>
      </c>
      <c r="C113" s="4" t="s">
        <v>24</v>
      </c>
      <c r="D113" s="4" t="s">
        <v>448</v>
      </c>
      <c r="E113" s="6" t="n">
        <v>46018</v>
      </c>
      <c r="F113" s="4" t="s">
        <v>472</v>
      </c>
      <c r="G113" s="8" t="n">
        <v>31.6</v>
      </c>
    </row>
    <row r="114" customFormat="false" ht="15" hidden="false" customHeight="false" outlineLevel="0" collapsed="false">
      <c r="A114" s="4" t="s">
        <v>689</v>
      </c>
      <c r="B114" s="4" t="s">
        <v>690</v>
      </c>
      <c r="C114" s="4" t="s">
        <v>24</v>
      </c>
      <c r="D114" s="4" t="s">
        <v>448</v>
      </c>
      <c r="E114" s="6" t="n">
        <v>45337</v>
      </c>
      <c r="F114" s="4" t="s">
        <v>462</v>
      </c>
      <c r="G114" s="8" t="n">
        <v>94.8</v>
      </c>
    </row>
    <row r="115" customFormat="false" ht="15" hidden="false" customHeight="false" outlineLevel="0" collapsed="false">
      <c r="A115" s="4" t="s">
        <v>691</v>
      </c>
      <c r="B115" s="4" t="s">
        <v>692</v>
      </c>
      <c r="C115" s="4" t="s">
        <v>24</v>
      </c>
      <c r="D115" s="4" t="s">
        <v>458</v>
      </c>
      <c r="E115" s="6" t="n">
        <v>44985</v>
      </c>
      <c r="F115" s="4" t="s">
        <v>480</v>
      </c>
      <c r="G115" s="8" t="n">
        <v>38.8</v>
      </c>
    </row>
    <row r="116" customFormat="false" ht="15" hidden="false" customHeight="false" outlineLevel="0" collapsed="false">
      <c r="A116" s="4" t="s">
        <v>693</v>
      </c>
      <c r="B116" s="4" t="s">
        <v>694</v>
      </c>
      <c r="C116" s="4" t="s">
        <v>30</v>
      </c>
      <c r="D116" s="4" t="s">
        <v>458</v>
      </c>
      <c r="E116" s="6" t="n">
        <v>44494</v>
      </c>
      <c r="F116" s="4" t="s">
        <v>469</v>
      </c>
      <c r="G116" s="8" t="n">
        <v>20.8</v>
      </c>
    </row>
    <row r="117" customFormat="false" ht="15" hidden="false" customHeight="false" outlineLevel="0" collapsed="false">
      <c r="A117" s="4" t="s">
        <v>695</v>
      </c>
      <c r="B117" s="4" t="s">
        <v>696</v>
      </c>
      <c r="C117" s="4" t="s">
        <v>30</v>
      </c>
      <c r="D117" s="4" t="s">
        <v>448</v>
      </c>
      <c r="E117" s="6" t="n">
        <v>44855</v>
      </c>
      <c r="F117" s="4" t="s">
        <v>475</v>
      </c>
      <c r="G117" s="8" t="n">
        <v>64.5</v>
      </c>
    </row>
    <row r="118" customFormat="false" ht="15" hidden="false" customHeight="false" outlineLevel="0" collapsed="false">
      <c r="A118" s="4" t="s">
        <v>697</v>
      </c>
      <c r="B118" s="4" t="s">
        <v>698</v>
      </c>
      <c r="C118" s="4" t="s">
        <v>18</v>
      </c>
      <c r="D118" s="4" t="s">
        <v>489</v>
      </c>
      <c r="E118" s="6" t="n">
        <v>45944</v>
      </c>
      <c r="F118" s="4" t="s">
        <v>469</v>
      </c>
      <c r="G118" s="8" t="n">
        <v>13.3</v>
      </c>
    </row>
    <row r="119" customFormat="false" ht="15" hidden="false" customHeight="false" outlineLevel="0" collapsed="false">
      <c r="A119" s="4" t="s">
        <v>699</v>
      </c>
      <c r="B119" s="4" t="s">
        <v>700</v>
      </c>
      <c r="C119" s="4" t="s">
        <v>6</v>
      </c>
      <c r="D119" s="4" t="s">
        <v>448</v>
      </c>
      <c r="E119" s="6" t="n">
        <v>44948</v>
      </c>
      <c r="F119" s="4" t="s">
        <v>459</v>
      </c>
      <c r="G119" s="8" t="n">
        <v>90.6</v>
      </c>
    </row>
    <row r="120" customFormat="false" ht="15" hidden="false" customHeight="false" outlineLevel="0" collapsed="false">
      <c r="A120" s="4" t="s">
        <v>701</v>
      </c>
      <c r="B120" s="4" t="s">
        <v>702</v>
      </c>
      <c r="C120" s="4" t="s">
        <v>12</v>
      </c>
      <c r="D120" s="4" t="s">
        <v>458</v>
      </c>
      <c r="E120" s="6" t="n">
        <v>44206</v>
      </c>
      <c r="F120" s="4" t="s">
        <v>455</v>
      </c>
      <c r="G120" s="8" t="n">
        <v>23</v>
      </c>
    </row>
    <row r="121" customFormat="false" ht="15" hidden="false" customHeight="false" outlineLevel="0" collapsed="false">
      <c r="A121" s="4" t="s">
        <v>703</v>
      </c>
      <c r="B121" s="4" t="s">
        <v>704</v>
      </c>
      <c r="C121" s="4" t="s">
        <v>24</v>
      </c>
      <c r="D121" s="4" t="s">
        <v>468</v>
      </c>
      <c r="E121" s="6" t="n">
        <v>43940</v>
      </c>
      <c r="F121" s="4" t="s">
        <v>449</v>
      </c>
      <c r="G121" s="8" t="n">
        <v>6.3</v>
      </c>
    </row>
    <row r="122" customFormat="false" ht="15" hidden="false" customHeight="false" outlineLevel="0" collapsed="false">
      <c r="A122" s="4" t="s">
        <v>705</v>
      </c>
      <c r="B122" s="4" t="s">
        <v>706</v>
      </c>
      <c r="C122" s="4" t="s">
        <v>30</v>
      </c>
      <c r="D122" s="4" t="s">
        <v>468</v>
      </c>
      <c r="E122" s="6" t="n">
        <v>44796</v>
      </c>
      <c r="F122" s="4" t="s">
        <v>449</v>
      </c>
      <c r="G122" s="8" t="n">
        <v>99.5</v>
      </c>
    </row>
    <row r="123" customFormat="false" ht="15" hidden="false" customHeight="false" outlineLevel="0" collapsed="false">
      <c r="A123" s="4" t="s">
        <v>707</v>
      </c>
      <c r="B123" s="4" t="s">
        <v>708</v>
      </c>
      <c r="C123" s="4" t="s">
        <v>18</v>
      </c>
      <c r="D123" s="4" t="s">
        <v>448</v>
      </c>
      <c r="E123" s="6" t="n">
        <v>43946</v>
      </c>
      <c r="F123" s="4" t="s">
        <v>490</v>
      </c>
      <c r="G123" s="8" t="n">
        <v>93.2</v>
      </c>
    </row>
    <row r="124" customFormat="false" ht="15" hidden="false" customHeight="false" outlineLevel="0" collapsed="false">
      <c r="A124" s="4" t="s">
        <v>709</v>
      </c>
      <c r="B124" s="4" t="s">
        <v>710</v>
      </c>
      <c r="C124" s="4" t="s">
        <v>18</v>
      </c>
      <c r="D124" s="4" t="s">
        <v>448</v>
      </c>
      <c r="E124" s="6" t="n">
        <v>44394</v>
      </c>
      <c r="F124" s="4" t="s">
        <v>475</v>
      </c>
      <c r="G124" s="8" t="n">
        <v>29.4</v>
      </c>
    </row>
    <row r="125" customFormat="false" ht="15" hidden="false" customHeight="false" outlineLevel="0" collapsed="false">
      <c r="A125" s="4" t="s">
        <v>711</v>
      </c>
      <c r="B125" s="4" t="s">
        <v>712</v>
      </c>
      <c r="C125" s="4" t="s">
        <v>24</v>
      </c>
      <c r="D125" s="4" t="s">
        <v>448</v>
      </c>
      <c r="E125" s="6" t="n">
        <v>45752</v>
      </c>
      <c r="F125" s="4" t="s">
        <v>459</v>
      </c>
      <c r="G125" s="8" t="n">
        <v>61.9</v>
      </c>
    </row>
    <row r="126" customFormat="false" ht="15" hidden="false" customHeight="false" outlineLevel="0" collapsed="false">
      <c r="A126" s="4" t="s">
        <v>713</v>
      </c>
      <c r="B126" s="4" t="s">
        <v>714</v>
      </c>
      <c r="C126" s="4" t="s">
        <v>6</v>
      </c>
      <c r="D126" s="4" t="s">
        <v>489</v>
      </c>
      <c r="E126" s="6" t="n">
        <v>44879</v>
      </c>
      <c r="F126" s="4" t="s">
        <v>472</v>
      </c>
      <c r="G126" s="8" t="n">
        <v>83.7</v>
      </c>
    </row>
    <row r="127" customFormat="false" ht="15" hidden="false" customHeight="false" outlineLevel="0" collapsed="false">
      <c r="A127" s="4" t="s">
        <v>715</v>
      </c>
      <c r="B127" s="4" t="s">
        <v>716</v>
      </c>
      <c r="C127" s="4" t="s">
        <v>30</v>
      </c>
      <c r="D127" s="4" t="s">
        <v>458</v>
      </c>
      <c r="E127" s="6" t="n">
        <v>44286</v>
      </c>
      <c r="F127" s="4" t="s">
        <v>480</v>
      </c>
      <c r="G127" s="8" t="n">
        <v>29.5</v>
      </c>
    </row>
    <row r="128" customFormat="false" ht="15" hidden="false" customHeight="false" outlineLevel="0" collapsed="false">
      <c r="A128" s="4" t="s">
        <v>717</v>
      </c>
      <c r="B128" s="4" t="s">
        <v>718</v>
      </c>
      <c r="C128" s="4" t="s">
        <v>18</v>
      </c>
      <c r="D128" s="4" t="s">
        <v>489</v>
      </c>
      <c r="E128" s="6" t="n">
        <v>44026</v>
      </c>
      <c r="F128" s="4" t="s">
        <v>472</v>
      </c>
      <c r="G128" s="8" t="n">
        <v>42.6</v>
      </c>
    </row>
    <row r="129" customFormat="false" ht="15" hidden="false" customHeight="false" outlineLevel="0" collapsed="false">
      <c r="A129" s="4" t="s">
        <v>719</v>
      </c>
      <c r="B129" s="4" t="s">
        <v>720</v>
      </c>
      <c r="C129" s="4" t="s">
        <v>30</v>
      </c>
      <c r="D129" s="4" t="s">
        <v>458</v>
      </c>
      <c r="E129" s="6" t="n">
        <v>44088</v>
      </c>
      <c r="F129" s="4" t="s">
        <v>452</v>
      </c>
      <c r="G129" s="8" t="n">
        <v>83.8</v>
      </c>
    </row>
    <row r="130" customFormat="false" ht="15" hidden="false" customHeight="false" outlineLevel="0" collapsed="false">
      <c r="A130" s="4" t="s">
        <v>721</v>
      </c>
      <c r="B130" s="4" t="s">
        <v>722</v>
      </c>
      <c r="C130" s="4" t="s">
        <v>24</v>
      </c>
      <c r="D130" s="4" t="s">
        <v>489</v>
      </c>
      <c r="E130" s="6" t="n">
        <v>45941</v>
      </c>
      <c r="F130" s="4" t="s">
        <v>465</v>
      </c>
      <c r="G130" s="8" t="n">
        <v>25</v>
      </c>
    </row>
    <row r="131" customFormat="false" ht="15" hidden="false" customHeight="false" outlineLevel="0" collapsed="false">
      <c r="A131" s="4" t="s">
        <v>723</v>
      </c>
      <c r="B131" s="4" t="s">
        <v>724</v>
      </c>
      <c r="C131" s="4" t="s">
        <v>12</v>
      </c>
      <c r="D131" s="4" t="s">
        <v>468</v>
      </c>
      <c r="E131" s="6" t="n">
        <v>45589</v>
      </c>
      <c r="F131" s="4" t="s">
        <v>475</v>
      </c>
      <c r="G131" s="8" t="n">
        <v>61.9</v>
      </c>
    </row>
    <row r="132" customFormat="false" ht="15" hidden="false" customHeight="false" outlineLevel="0" collapsed="false">
      <c r="A132" s="4" t="s">
        <v>725</v>
      </c>
      <c r="B132" s="4" t="s">
        <v>726</v>
      </c>
      <c r="C132" s="4" t="s">
        <v>12</v>
      </c>
      <c r="D132" s="4" t="s">
        <v>458</v>
      </c>
      <c r="E132" s="6" t="n">
        <v>44598</v>
      </c>
      <c r="F132" s="4" t="s">
        <v>462</v>
      </c>
      <c r="G132" s="8" t="n">
        <v>67.2</v>
      </c>
    </row>
    <row r="133" customFormat="false" ht="15" hidden="false" customHeight="false" outlineLevel="0" collapsed="false">
      <c r="A133" s="4" t="s">
        <v>727</v>
      </c>
      <c r="B133" s="4" t="s">
        <v>728</v>
      </c>
      <c r="C133" s="4" t="s">
        <v>30</v>
      </c>
      <c r="D133" s="4" t="s">
        <v>468</v>
      </c>
      <c r="E133" s="6" t="n">
        <v>44108</v>
      </c>
      <c r="F133" s="4" t="s">
        <v>524</v>
      </c>
      <c r="G133" s="8" t="n">
        <v>54.9</v>
      </c>
    </row>
    <row r="134" customFormat="false" ht="15" hidden="false" customHeight="false" outlineLevel="0" collapsed="false">
      <c r="A134" s="4" t="s">
        <v>729</v>
      </c>
      <c r="B134" s="4" t="s">
        <v>730</v>
      </c>
      <c r="C134" s="4" t="s">
        <v>30</v>
      </c>
      <c r="D134" s="4" t="s">
        <v>489</v>
      </c>
      <c r="E134" s="6" t="n">
        <v>45430</v>
      </c>
      <c r="F134" s="4" t="s">
        <v>469</v>
      </c>
      <c r="G134" s="8" t="n">
        <v>47.5</v>
      </c>
    </row>
    <row r="135" customFormat="false" ht="15" hidden="false" customHeight="false" outlineLevel="0" collapsed="false">
      <c r="A135" s="4" t="s">
        <v>731</v>
      </c>
      <c r="B135" s="4" t="s">
        <v>732</v>
      </c>
      <c r="C135" s="4" t="s">
        <v>24</v>
      </c>
      <c r="D135" s="4" t="s">
        <v>468</v>
      </c>
      <c r="E135" s="6" t="n">
        <v>44869</v>
      </c>
      <c r="F135" s="4" t="s">
        <v>550</v>
      </c>
      <c r="G135" s="8" t="n">
        <v>2.6</v>
      </c>
    </row>
    <row r="136" customFormat="false" ht="15" hidden="false" customHeight="false" outlineLevel="0" collapsed="false">
      <c r="A136" s="4" t="s">
        <v>733</v>
      </c>
      <c r="B136" s="4" t="s">
        <v>734</v>
      </c>
      <c r="C136" s="4" t="s">
        <v>6</v>
      </c>
      <c r="D136" s="4" t="s">
        <v>468</v>
      </c>
      <c r="E136" s="6" t="n">
        <v>44818</v>
      </c>
      <c r="F136" s="4" t="s">
        <v>550</v>
      </c>
      <c r="G136" s="8" t="n">
        <v>66.1</v>
      </c>
    </row>
    <row r="137" customFormat="false" ht="15" hidden="false" customHeight="false" outlineLevel="0" collapsed="false">
      <c r="A137" s="4" t="s">
        <v>735</v>
      </c>
      <c r="B137" s="4" t="s">
        <v>736</v>
      </c>
      <c r="C137" s="4" t="s">
        <v>6</v>
      </c>
      <c r="D137" s="4" t="s">
        <v>468</v>
      </c>
      <c r="E137" s="6" t="n">
        <v>44377</v>
      </c>
      <c r="F137" s="4" t="s">
        <v>475</v>
      </c>
      <c r="G137" s="8" t="n">
        <v>35.9</v>
      </c>
    </row>
    <row r="138" customFormat="false" ht="15" hidden="false" customHeight="false" outlineLevel="0" collapsed="false">
      <c r="A138" s="4" t="s">
        <v>737</v>
      </c>
      <c r="B138" s="4" t="s">
        <v>738</v>
      </c>
      <c r="C138" s="4" t="s">
        <v>18</v>
      </c>
      <c r="D138" s="4" t="s">
        <v>448</v>
      </c>
      <c r="E138" s="6" t="n">
        <v>45734</v>
      </c>
      <c r="F138" s="4" t="s">
        <v>550</v>
      </c>
      <c r="G138" s="8" t="n">
        <v>48.4</v>
      </c>
    </row>
    <row r="139" customFormat="false" ht="15" hidden="false" customHeight="false" outlineLevel="0" collapsed="false">
      <c r="A139" s="4" t="s">
        <v>739</v>
      </c>
      <c r="B139" s="4" t="s">
        <v>740</v>
      </c>
      <c r="C139" s="4" t="s">
        <v>12</v>
      </c>
      <c r="D139" s="4" t="s">
        <v>448</v>
      </c>
      <c r="E139" s="6" t="n">
        <v>44089</v>
      </c>
      <c r="F139" s="4" t="s">
        <v>550</v>
      </c>
      <c r="G139" s="8" t="n">
        <v>77.8</v>
      </c>
    </row>
    <row r="140" customFormat="false" ht="15" hidden="false" customHeight="false" outlineLevel="0" collapsed="false">
      <c r="A140" s="4" t="s">
        <v>741</v>
      </c>
      <c r="B140" s="4" t="s">
        <v>742</v>
      </c>
      <c r="C140" s="4" t="s">
        <v>24</v>
      </c>
      <c r="D140" s="4" t="s">
        <v>489</v>
      </c>
      <c r="E140" s="6" t="n">
        <v>45032</v>
      </c>
      <c r="F140" s="4" t="s">
        <v>472</v>
      </c>
      <c r="G140" s="8" t="n">
        <v>5.3</v>
      </c>
    </row>
    <row r="141" customFormat="false" ht="15" hidden="false" customHeight="false" outlineLevel="0" collapsed="false">
      <c r="A141" s="4" t="s">
        <v>743</v>
      </c>
      <c r="B141" s="4" t="s">
        <v>744</v>
      </c>
      <c r="C141" s="4" t="s">
        <v>12</v>
      </c>
      <c r="D141" s="4" t="s">
        <v>489</v>
      </c>
      <c r="E141" s="6" t="n">
        <v>45123</v>
      </c>
      <c r="F141" s="4" t="s">
        <v>455</v>
      </c>
      <c r="G141" s="8" t="n">
        <v>31.7</v>
      </c>
    </row>
    <row r="142" customFormat="false" ht="15" hidden="false" customHeight="false" outlineLevel="0" collapsed="false">
      <c r="A142" s="4" t="s">
        <v>745</v>
      </c>
      <c r="B142" s="4" t="s">
        <v>746</v>
      </c>
      <c r="C142" s="4" t="s">
        <v>24</v>
      </c>
      <c r="D142" s="4" t="s">
        <v>458</v>
      </c>
      <c r="E142" s="6" t="n">
        <v>44868</v>
      </c>
      <c r="F142" s="4" t="s">
        <v>475</v>
      </c>
      <c r="G142" s="8" t="n">
        <v>75.6</v>
      </c>
    </row>
    <row r="143" customFormat="false" ht="15" hidden="false" customHeight="false" outlineLevel="0" collapsed="false">
      <c r="A143" s="4" t="s">
        <v>747</v>
      </c>
      <c r="B143" s="4" t="s">
        <v>748</v>
      </c>
      <c r="C143" s="4" t="s">
        <v>12</v>
      </c>
      <c r="D143" s="4" t="s">
        <v>468</v>
      </c>
      <c r="E143" s="6" t="n">
        <v>45293</v>
      </c>
      <c r="F143" s="4" t="s">
        <v>469</v>
      </c>
      <c r="G143" s="8" t="n">
        <v>78.3</v>
      </c>
    </row>
    <row r="144" customFormat="false" ht="15" hidden="false" customHeight="false" outlineLevel="0" collapsed="false">
      <c r="A144" s="4" t="s">
        <v>749</v>
      </c>
      <c r="B144" s="4" t="s">
        <v>750</v>
      </c>
      <c r="C144" s="4" t="s">
        <v>18</v>
      </c>
      <c r="D144" s="4" t="s">
        <v>468</v>
      </c>
      <c r="E144" s="6" t="n">
        <v>44340</v>
      </c>
      <c r="F144" s="4" t="s">
        <v>480</v>
      </c>
      <c r="G144" s="8" t="n">
        <v>37.4</v>
      </c>
    </row>
    <row r="145" customFormat="false" ht="15" hidden="false" customHeight="false" outlineLevel="0" collapsed="false">
      <c r="A145" s="4" t="s">
        <v>751</v>
      </c>
      <c r="B145" s="4" t="s">
        <v>752</v>
      </c>
      <c r="C145" s="4" t="s">
        <v>24</v>
      </c>
      <c r="D145" s="4" t="s">
        <v>458</v>
      </c>
      <c r="E145" s="6" t="n">
        <v>45414</v>
      </c>
      <c r="F145" s="4" t="s">
        <v>490</v>
      </c>
      <c r="G145" s="8" t="n">
        <v>97.4</v>
      </c>
    </row>
    <row r="146" customFormat="false" ht="15" hidden="false" customHeight="false" outlineLevel="0" collapsed="false">
      <c r="A146" s="4" t="s">
        <v>753</v>
      </c>
      <c r="B146" s="4" t="s">
        <v>754</v>
      </c>
      <c r="C146" s="4" t="s">
        <v>24</v>
      </c>
      <c r="D146" s="4" t="s">
        <v>458</v>
      </c>
      <c r="E146" s="6" t="n">
        <v>45335</v>
      </c>
      <c r="F146" s="4" t="s">
        <v>455</v>
      </c>
      <c r="G146" s="8" t="n">
        <v>79.9</v>
      </c>
    </row>
    <row r="147" customFormat="false" ht="15" hidden="false" customHeight="false" outlineLevel="0" collapsed="false">
      <c r="A147" s="4" t="s">
        <v>755</v>
      </c>
      <c r="B147" s="4" t="s">
        <v>756</v>
      </c>
      <c r="C147" s="4" t="s">
        <v>18</v>
      </c>
      <c r="D147" s="4" t="s">
        <v>489</v>
      </c>
      <c r="E147" s="6" t="n">
        <v>45569</v>
      </c>
      <c r="F147" s="4" t="s">
        <v>452</v>
      </c>
      <c r="G147" s="8" t="n">
        <v>43.6</v>
      </c>
    </row>
    <row r="148" customFormat="false" ht="15" hidden="false" customHeight="false" outlineLevel="0" collapsed="false">
      <c r="A148" s="4" t="s">
        <v>757</v>
      </c>
      <c r="B148" s="4" t="s">
        <v>758</v>
      </c>
      <c r="C148" s="4" t="s">
        <v>12</v>
      </c>
      <c r="D148" s="4" t="s">
        <v>468</v>
      </c>
      <c r="E148" s="6" t="n">
        <v>45146</v>
      </c>
      <c r="F148" s="4" t="s">
        <v>452</v>
      </c>
      <c r="G148" s="8" t="n">
        <v>8.9</v>
      </c>
    </row>
    <row r="149" customFormat="false" ht="15" hidden="false" customHeight="false" outlineLevel="0" collapsed="false">
      <c r="A149" s="4" t="s">
        <v>759</v>
      </c>
      <c r="B149" s="4" t="s">
        <v>760</v>
      </c>
      <c r="C149" s="4" t="s">
        <v>18</v>
      </c>
      <c r="D149" s="4" t="s">
        <v>468</v>
      </c>
      <c r="E149" s="6" t="n">
        <v>45657</v>
      </c>
      <c r="F149" s="4" t="s">
        <v>465</v>
      </c>
      <c r="G149" s="8" t="n">
        <v>72</v>
      </c>
    </row>
    <row r="150" customFormat="false" ht="15" hidden="false" customHeight="false" outlineLevel="0" collapsed="false">
      <c r="A150" s="4" t="s">
        <v>761</v>
      </c>
      <c r="B150" s="4" t="s">
        <v>762</v>
      </c>
      <c r="C150" s="4" t="s">
        <v>12</v>
      </c>
      <c r="D150" s="4" t="s">
        <v>458</v>
      </c>
      <c r="E150" s="6" t="n">
        <v>45270</v>
      </c>
      <c r="F150" s="4" t="s">
        <v>459</v>
      </c>
      <c r="G150" s="8" t="n">
        <v>5.2</v>
      </c>
    </row>
    <row r="151" customFormat="false" ht="15" hidden="false" customHeight="false" outlineLevel="0" collapsed="false">
      <c r="A151" s="4" t="s">
        <v>763</v>
      </c>
      <c r="B151" s="4" t="s">
        <v>764</v>
      </c>
      <c r="C151" s="4" t="s">
        <v>18</v>
      </c>
      <c r="D151" s="4" t="s">
        <v>458</v>
      </c>
      <c r="E151" s="6" t="n">
        <v>44955</v>
      </c>
      <c r="F151" s="4" t="s">
        <v>462</v>
      </c>
      <c r="G151" s="8" t="n">
        <v>98</v>
      </c>
    </row>
    <row r="152" customFormat="false" ht="15" hidden="false" customHeight="false" outlineLevel="0" collapsed="false">
      <c r="A152" s="4" t="s">
        <v>765</v>
      </c>
      <c r="B152" s="4" t="s">
        <v>766</v>
      </c>
      <c r="C152" s="4" t="s">
        <v>6</v>
      </c>
      <c r="D152" s="4" t="s">
        <v>489</v>
      </c>
      <c r="E152" s="6" t="n">
        <v>45494</v>
      </c>
      <c r="F152" s="4" t="s">
        <v>490</v>
      </c>
      <c r="G152" s="8" t="n">
        <v>51.8</v>
      </c>
    </row>
    <row r="153" customFormat="false" ht="15" hidden="false" customHeight="false" outlineLevel="0" collapsed="false">
      <c r="A153" s="4" t="s">
        <v>767</v>
      </c>
      <c r="B153" s="4" t="s">
        <v>768</v>
      </c>
      <c r="C153" s="4" t="s">
        <v>12</v>
      </c>
      <c r="D153" s="4" t="s">
        <v>489</v>
      </c>
      <c r="E153" s="6" t="n">
        <v>44415</v>
      </c>
      <c r="F153" s="4" t="s">
        <v>469</v>
      </c>
      <c r="G153" s="8" t="n">
        <v>61.1</v>
      </c>
    </row>
    <row r="154" customFormat="false" ht="15" hidden="false" customHeight="false" outlineLevel="0" collapsed="false">
      <c r="A154" s="4" t="s">
        <v>769</v>
      </c>
      <c r="B154" s="4" t="s">
        <v>770</v>
      </c>
      <c r="C154" s="4" t="s">
        <v>24</v>
      </c>
      <c r="D154" s="4" t="s">
        <v>489</v>
      </c>
      <c r="E154" s="6" t="n">
        <v>44348</v>
      </c>
      <c r="F154" s="4" t="s">
        <v>452</v>
      </c>
      <c r="G154" s="8" t="n">
        <v>24.4</v>
      </c>
    </row>
    <row r="155" customFormat="false" ht="15" hidden="false" customHeight="false" outlineLevel="0" collapsed="false">
      <c r="A155" s="4" t="s">
        <v>771</v>
      </c>
      <c r="B155" s="4" t="s">
        <v>772</v>
      </c>
      <c r="C155" s="4" t="s">
        <v>18</v>
      </c>
      <c r="D155" s="4" t="s">
        <v>468</v>
      </c>
      <c r="E155" s="6" t="n">
        <v>45399</v>
      </c>
      <c r="F155" s="4" t="s">
        <v>465</v>
      </c>
      <c r="G155" s="8" t="n">
        <v>4.2</v>
      </c>
    </row>
    <row r="156" customFormat="false" ht="15" hidden="false" customHeight="false" outlineLevel="0" collapsed="false">
      <c r="A156" s="4" t="s">
        <v>773</v>
      </c>
      <c r="B156" s="4" t="s">
        <v>774</v>
      </c>
      <c r="C156" s="4" t="s">
        <v>12</v>
      </c>
      <c r="D156" s="4" t="s">
        <v>458</v>
      </c>
      <c r="E156" s="6" t="n">
        <v>45350</v>
      </c>
      <c r="F156" s="4" t="s">
        <v>490</v>
      </c>
      <c r="G156" s="8" t="n">
        <v>44.9</v>
      </c>
    </row>
    <row r="157" customFormat="false" ht="15" hidden="false" customHeight="false" outlineLevel="0" collapsed="false">
      <c r="A157" s="4" t="s">
        <v>775</v>
      </c>
      <c r="B157" s="4" t="s">
        <v>776</v>
      </c>
      <c r="C157" s="4" t="s">
        <v>6</v>
      </c>
      <c r="D157" s="4" t="s">
        <v>448</v>
      </c>
      <c r="E157" s="6" t="n">
        <v>45999</v>
      </c>
      <c r="F157" s="4" t="s">
        <v>490</v>
      </c>
      <c r="G157" s="8" t="n">
        <v>40.4</v>
      </c>
    </row>
    <row r="158" customFormat="false" ht="15" hidden="false" customHeight="false" outlineLevel="0" collapsed="false">
      <c r="A158" s="4" t="s">
        <v>777</v>
      </c>
      <c r="B158" s="4" t="s">
        <v>778</v>
      </c>
      <c r="C158" s="4" t="s">
        <v>18</v>
      </c>
      <c r="D158" s="4" t="s">
        <v>448</v>
      </c>
      <c r="E158" s="6" t="n">
        <v>44295</v>
      </c>
      <c r="F158" s="4" t="s">
        <v>475</v>
      </c>
      <c r="G158" s="8" t="n">
        <v>73.8</v>
      </c>
    </row>
    <row r="159" customFormat="false" ht="15" hidden="false" customHeight="false" outlineLevel="0" collapsed="false">
      <c r="A159" s="4" t="s">
        <v>779</v>
      </c>
      <c r="B159" s="4" t="s">
        <v>780</v>
      </c>
      <c r="C159" s="4" t="s">
        <v>24</v>
      </c>
      <c r="D159" s="4" t="s">
        <v>458</v>
      </c>
      <c r="E159" s="6" t="n">
        <v>46131</v>
      </c>
      <c r="F159" s="4" t="s">
        <v>452</v>
      </c>
      <c r="G159" s="8" t="n">
        <v>26.9</v>
      </c>
    </row>
    <row r="160" customFormat="false" ht="15" hidden="false" customHeight="false" outlineLevel="0" collapsed="false">
      <c r="A160" s="4" t="s">
        <v>781</v>
      </c>
      <c r="B160" s="4" t="s">
        <v>782</v>
      </c>
      <c r="C160" s="4" t="s">
        <v>18</v>
      </c>
      <c r="D160" s="4" t="s">
        <v>458</v>
      </c>
      <c r="E160" s="6" t="n">
        <v>44709</v>
      </c>
      <c r="F160" s="4" t="s">
        <v>465</v>
      </c>
      <c r="G160" s="8" t="n">
        <v>29.3</v>
      </c>
    </row>
    <row r="161" customFormat="false" ht="15" hidden="false" customHeight="false" outlineLevel="0" collapsed="false">
      <c r="A161" s="4" t="s">
        <v>783</v>
      </c>
      <c r="B161" s="4" t="s">
        <v>784</v>
      </c>
      <c r="C161" s="4" t="s">
        <v>24</v>
      </c>
      <c r="D161" s="4" t="s">
        <v>448</v>
      </c>
      <c r="E161" s="6" t="n">
        <v>44333</v>
      </c>
      <c r="F161" s="4" t="s">
        <v>543</v>
      </c>
      <c r="G161" s="8" t="n">
        <v>85.4</v>
      </c>
    </row>
    <row r="162" customFormat="false" ht="15" hidden="false" customHeight="false" outlineLevel="0" collapsed="false">
      <c r="A162" s="4" t="s">
        <v>785</v>
      </c>
      <c r="B162" s="4" t="s">
        <v>786</v>
      </c>
      <c r="C162" s="4" t="s">
        <v>24</v>
      </c>
      <c r="D162" s="4" t="s">
        <v>448</v>
      </c>
      <c r="E162" s="6" t="n">
        <v>45654</v>
      </c>
      <c r="F162" s="4" t="s">
        <v>452</v>
      </c>
      <c r="G162" s="8" t="n">
        <v>81.2</v>
      </c>
    </row>
    <row r="163" customFormat="false" ht="15" hidden="false" customHeight="false" outlineLevel="0" collapsed="false">
      <c r="A163" s="4" t="s">
        <v>787</v>
      </c>
      <c r="B163" s="4" t="s">
        <v>788</v>
      </c>
      <c r="C163" s="4" t="s">
        <v>18</v>
      </c>
      <c r="D163" s="4" t="s">
        <v>468</v>
      </c>
      <c r="E163" s="6" t="n">
        <v>44096</v>
      </c>
      <c r="F163" s="4" t="s">
        <v>524</v>
      </c>
      <c r="G163" s="8" t="n">
        <v>54.7</v>
      </c>
    </row>
    <row r="164" customFormat="false" ht="15" hidden="false" customHeight="false" outlineLevel="0" collapsed="false">
      <c r="A164" s="4" t="s">
        <v>789</v>
      </c>
      <c r="B164" s="4" t="s">
        <v>790</v>
      </c>
      <c r="C164" s="4" t="s">
        <v>18</v>
      </c>
      <c r="D164" s="4" t="s">
        <v>448</v>
      </c>
      <c r="E164" s="6" t="n">
        <v>44544</v>
      </c>
      <c r="F164" s="4" t="s">
        <v>480</v>
      </c>
      <c r="G164" s="8" t="n">
        <v>36.8</v>
      </c>
    </row>
    <row r="165" customFormat="false" ht="15" hidden="false" customHeight="false" outlineLevel="0" collapsed="false">
      <c r="A165" s="4" t="s">
        <v>791</v>
      </c>
      <c r="B165" s="4" t="s">
        <v>792</v>
      </c>
      <c r="C165" s="4" t="s">
        <v>12</v>
      </c>
      <c r="D165" s="4" t="s">
        <v>489</v>
      </c>
      <c r="E165" s="6" t="n">
        <v>44654</v>
      </c>
      <c r="F165" s="4" t="s">
        <v>480</v>
      </c>
      <c r="G165" s="8" t="n">
        <v>14.7</v>
      </c>
    </row>
    <row r="166" customFormat="false" ht="15" hidden="false" customHeight="false" outlineLevel="0" collapsed="false">
      <c r="A166" s="4" t="s">
        <v>793</v>
      </c>
      <c r="B166" s="4" t="s">
        <v>794</v>
      </c>
      <c r="C166" s="4" t="s">
        <v>24</v>
      </c>
      <c r="D166" s="4" t="s">
        <v>489</v>
      </c>
      <c r="E166" s="6" t="n">
        <v>45309</v>
      </c>
      <c r="F166" s="4" t="s">
        <v>524</v>
      </c>
      <c r="G166" s="8" t="n">
        <v>57.7</v>
      </c>
    </row>
    <row r="167" customFormat="false" ht="15" hidden="false" customHeight="false" outlineLevel="0" collapsed="false">
      <c r="A167" s="4" t="s">
        <v>795</v>
      </c>
      <c r="B167" s="4" t="s">
        <v>796</v>
      </c>
      <c r="C167" s="4" t="s">
        <v>24</v>
      </c>
      <c r="D167" s="4" t="s">
        <v>448</v>
      </c>
      <c r="E167" s="6" t="n">
        <v>44184</v>
      </c>
      <c r="F167" s="4" t="s">
        <v>452</v>
      </c>
      <c r="G167" s="8" t="n">
        <v>31.6</v>
      </c>
    </row>
    <row r="168" customFormat="false" ht="15" hidden="false" customHeight="false" outlineLevel="0" collapsed="false">
      <c r="A168" s="4" t="s">
        <v>797</v>
      </c>
      <c r="B168" s="4" t="s">
        <v>798</v>
      </c>
      <c r="C168" s="4" t="s">
        <v>24</v>
      </c>
      <c r="D168" s="4" t="s">
        <v>458</v>
      </c>
      <c r="E168" s="6" t="n">
        <v>45508</v>
      </c>
      <c r="F168" s="4" t="s">
        <v>469</v>
      </c>
      <c r="G168" s="8" t="n">
        <v>57.9</v>
      </c>
    </row>
    <row r="169" customFormat="false" ht="15" hidden="false" customHeight="false" outlineLevel="0" collapsed="false">
      <c r="A169" s="4" t="s">
        <v>799</v>
      </c>
      <c r="B169" s="4" t="s">
        <v>800</v>
      </c>
      <c r="C169" s="4" t="s">
        <v>12</v>
      </c>
      <c r="D169" s="4" t="s">
        <v>468</v>
      </c>
      <c r="E169" s="6" t="n">
        <v>44134</v>
      </c>
      <c r="F169" s="4" t="s">
        <v>459</v>
      </c>
      <c r="G169" s="8" t="n">
        <v>47.1</v>
      </c>
    </row>
    <row r="170" customFormat="false" ht="15" hidden="false" customHeight="false" outlineLevel="0" collapsed="false">
      <c r="A170" s="4" t="s">
        <v>801</v>
      </c>
      <c r="B170" s="4" t="s">
        <v>802</v>
      </c>
      <c r="C170" s="4" t="s">
        <v>30</v>
      </c>
      <c r="D170" s="4" t="s">
        <v>468</v>
      </c>
      <c r="E170" s="6" t="n">
        <v>44356</v>
      </c>
      <c r="F170" s="4" t="s">
        <v>455</v>
      </c>
      <c r="G170" s="8" t="n">
        <v>83.1</v>
      </c>
    </row>
    <row r="171" customFormat="false" ht="15" hidden="false" customHeight="false" outlineLevel="0" collapsed="false">
      <c r="A171" s="4" t="s">
        <v>803</v>
      </c>
      <c r="B171" s="4" t="s">
        <v>804</v>
      </c>
      <c r="C171" s="4" t="s">
        <v>30</v>
      </c>
      <c r="D171" s="4" t="s">
        <v>448</v>
      </c>
      <c r="E171" s="6" t="n">
        <v>44359</v>
      </c>
      <c r="F171" s="4" t="s">
        <v>449</v>
      </c>
      <c r="G171" s="8" t="n">
        <v>50.8</v>
      </c>
    </row>
    <row r="172" customFormat="false" ht="15" hidden="false" customHeight="false" outlineLevel="0" collapsed="false">
      <c r="A172" s="4" t="s">
        <v>805</v>
      </c>
      <c r="B172" s="4" t="s">
        <v>806</v>
      </c>
      <c r="C172" s="4" t="s">
        <v>6</v>
      </c>
      <c r="D172" s="4" t="s">
        <v>489</v>
      </c>
      <c r="E172" s="6" t="n">
        <v>45953</v>
      </c>
      <c r="F172" s="4" t="s">
        <v>543</v>
      </c>
      <c r="G172" s="8" t="n">
        <v>31.1</v>
      </c>
    </row>
    <row r="173" customFormat="false" ht="15" hidden="false" customHeight="false" outlineLevel="0" collapsed="false">
      <c r="A173" s="4" t="s">
        <v>807</v>
      </c>
      <c r="B173" s="4" t="s">
        <v>808</v>
      </c>
      <c r="C173" s="4" t="s">
        <v>12</v>
      </c>
      <c r="D173" s="4" t="s">
        <v>468</v>
      </c>
      <c r="E173" s="6" t="n">
        <v>44754</v>
      </c>
      <c r="F173" s="4" t="s">
        <v>490</v>
      </c>
      <c r="G173" s="8" t="n">
        <v>94.8</v>
      </c>
    </row>
    <row r="174" customFormat="false" ht="15" hidden="false" customHeight="false" outlineLevel="0" collapsed="false">
      <c r="A174" s="4" t="s">
        <v>809</v>
      </c>
      <c r="B174" s="4" t="s">
        <v>810</v>
      </c>
      <c r="C174" s="4" t="s">
        <v>30</v>
      </c>
      <c r="D174" s="4" t="s">
        <v>468</v>
      </c>
      <c r="E174" s="6" t="n">
        <v>44154</v>
      </c>
      <c r="F174" s="4" t="s">
        <v>495</v>
      </c>
      <c r="G174" s="8" t="n">
        <v>20.4</v>
      </c>
    </row>
    <row r="175" customFormat="false" ht="15" hidden="false" customHeight="false" outlineLevel="0" collapsed="false">
      <c r="A175" s="4" t="s">
        <v>811</v>
      </c>
      <c r="B175" s="4" t="s">
        <v>812</v>
      </c>
      <c r="C175" s="4" t="s">
        <v>30</v>
      </c>
      <c r="D175" s="4" t="s">
        <v>468</v>
      </c>
      <c r="E175" s="6" t="n">
        <v>44343</v>
      </c>
      <c r="F175" s="4" t="s">
        <v>462</v>
      </c>
      <c r="G175" s="8" t="n">
        <v>31</v>
      </c>
    </row>
    <row r="176" customFormat="false" ht="15" hidden="false" customHeight="false" outlineLevel="0" collapsed="false">
      <c r="A176" s="4" t="s">
        <v>813</v>
      </c>
      <c r="B176" s="4" t="s">
        <v>814</v>
      </c>
      <c r="C176" s="4" t="s">
        <v>30</v>
      </c>
      <c r="D176" s="4" t="s">
        <v>489</v>
      </c>
      <c r="E176" s="6" t="n">
        <v>45889</v>
      </c>
      <c r="F176" s="4" t="s">
        <v>462</v>
      </c>
      <c r="G176" s="8" t="n">
        <v>17.7</v>
      </c>
    </row>
    <row r="177" customFormat="false" ht="15" hidden="false" customHeight="false" outlineLevel="0" collapsed="false">
      <c r="A177" s="4" t="s">
        <v>815</v>
      </c>
      <c r="B177" s="4" t="s">
        <v>816</v>
      </c>
      <c r="C177" s="4" t="s">
        <v>30</v>
      </c>
      <c r="D177" s="4" t="s">
        <v>448</v>
      </c>
      <c r="E177" s="6" t="n">
        <v>44532</v>
      </c>
      <c r="F177" s="4" t="s">
        <v>462</v>
      </c>
      <c r="G177" s="8" t="n">
        <v>62.8</v>
      </c>
    </row>
    <row r="178" customFormat="false" ht="15" hidden="false" customHeight="false" outlineLevel="0" collapsed="false">
      <c r="A178" s="4" t="s">
        <v>817</v>
      </c>
      <c r="B178" s="4" t="s">
        <v>818</v>
      </c>
      <c r="C178" s="4" t="s">
        <v>30</v>
      </c>
      <c r="D178" s="4" t="s">
        <v>468</v>
      </c>
      <c r="E178" s="6" t="n">
        <v>43999</v>
      </c>
      <c r="F178" s="4" t="s">
        <v>469</v>
      </c>
      <c r="G178" s="8" t="n">
        <v>86.5</v>
      </c>
    </row>
    <row r="179" customFormat="false" ht="15" hidden="false" customHeight="false" outlineLevel="0" collapsed="false">
      <c r="A179" s="4" t="s">
        <v>819</v>
      </c>
      <c r="B179" s="4" t="s">
        <v>820</v>
      </c>
      <c r="C179" s="4" t="s">
        <v>6</v>
      </c>
      <c r="D179" s="4" t="s">
        <v>489</v>
      </c>
      <c r="E179" s="6" t="n">
        <v>44915</v>
      </c>
      <c r="F179" s="4" t="s">
        <v>462</v>
      </c>
      <c r="G179" s="8" t="n">
        <v>21.9</v>
      </c>
    </row>
    <row r="180" customFormat="false" ht="15" hidden="false" customHeight="false" outlineLevel="0" collapsed="false">
      <c r="A180" s="4" t="s">
        <v>821</v>
      </c>
      <c r="B180" s="4" t="s">
        <v>822</v>
      </c>
      <c r="C180" s="4" t="s">
        <v>30</v>
      </c>
      <c r="D180" s="4" t="s">
        <v>458</v>
      </c>
      <c r="E180" s="6" t="n">
        <v>43955</v>
      </c>
      <c r="F180" s="4" t="s">
        <v>459</v>
      </c>
      <c r="G180" s="8" t="n">
        <v>89</v>
      </c>
    </row>
    <row r="181" customFormat="false" ht="15" hidden="false" customHeight="false" outlineLevel="0" collapsed="false">
      <c r="A181" s="4" t="s">
        <v>823</v>
      </c>
      <c r="B181" s="4" t="s">
        <v>824</v>
      </c>
      <c r="C181" s="4" t="s">
        <v>30</v>
      </c>
      <c r="D181" s="4" t="s">
        <v>468</v>
      </c>
      <c r="E181" s="6" t="n">
        <v>45068</v>
      </c>
      <c r="F181" s="4" t="s">
        <v>459</v>
      </c>
      <c r="G181" s="8" t="n">
        <v>25.2</v>
      </c>
    </row>
    <row r="182" customFormat="false" ht="15" hidden="false" customHeight="false" outlineLevel="0" collapsed="false">
      <c r="A182" s="4" t="s">
        <v>825</v>
      </c>
      <c r="B182" s="4" t="s">
        <v>826</v>
      </c>
      <c r="C182" s="4" t="s">
        <v>24</v>
      </c>
      <c r="D182" s="4" t="s">
        <v>468</v>
      </c>
      <c r="E182" s="6" t="n">
        <v>45688</v>
      </c>
      <c r="F182" s="4" t="s">
        <v>452</v>
      </c>
      <c r="G182" s="8" t="n">
        <v>69.2</v>
      </c>
    </row>
    <row r="183" customFormat="false" ht="15" hidden="false" customHeight="false" outlineLevel="0" collapsed="false">
      <c r="A183" s="4" t="s">
        <v>827</v>
      </c>
      <c r="B183" s="4" t="s">
        <v>828</v>
      </c>
      <c r="C183" s="4" t="s">
        <v>12</v>
      </c>
      <c r="D183" s="4" t="s">
        <v>458</v>
      </c>
      <c r="E183" s="6" t="n">
        <v>45533</v>
      </c>
      <c r="F183" s="4" t="s">
        <v>459</v>
      </c>
      <c r="G183" s="8" t="n">
        <v>47</v>
      </c>
    </row>
    <row r="184" customFormat="false" ht="15" hidden="false" customHeight="false" outlineLevel="0" collapsed="false">
      <c r="A184" s="4" t="s">
        <v>829</v>
      </c>
      <c r="B184" s="4" t="s">
        <v>830</v>
      </c>
      <c r="C184" s="4" t="s">
        <v>18</v>
      </c>
      <c r="D184" s="4" t="s">
        <v>448</v>
      </c>
      <c r="E184" s="6" t="n">
        <v>45111</v>
      </c>
      <c r="F184" s="4" t="s">
        <v>469</v>
      </c>
      <c r="G184" s="8" t="n">
        <v>72.1</v>
      </c>
    </row>
    <row r="185" customFormat="false" ht="15" hidden="false" customHeight="false" outlineLevel="0" collapsed="false">
      <c r="A185" s="4" t="s">
        <v>831</v>
      </c>
      <c r="B185" s="4" t="s">
        <v>832</v>
      </c>
      <c r="C185" s="4" t="s">
        <v>18</v>
      </c>
      <c r="D185" s="4" t="s">
        <v>458</v>
      </c>
      <c r="E185" s="6" t="n">
        <v>44366</v>
      </c>
      <c r="F185" s="4" t="s">
        <v>480</v>
      </c>
      <c r="G185" s="8" t="n">
        <v>37.7</v>
      </c>
    </row>
    <row r="186" customFormat="false" ht="15" hidden="false" customHeight="false" outlineLevel="0" collapsed="false">
      <c r="A186" s="4" t="s">
        <v>833</v>
      </c>
      <c r="B186" s="4" t="s">
        <v>834</v>
      </c>
      <c r="C186" s="4" t="s">
        <v>30</v>
      </c>
      <c r="D186" s="4" t="s">
        <v>489</v>
      </c>
      <c r="E186" s="6" t="n">
        <v>45138</v>
      </c>
      <c r="F186" s="4" t="s">
        <v>472</v>
      </c>
      <c r="G186" s="8" t="n">
        <v>47.2</v>
      </c>
    </row>
    <row r="187" customFormat="false" ht="15" hidden="false" customHeight="false" outlineLevel="0" collapsed="false">
      <c r="A187" s="4" t="s">
        <v>835</v>
      </c>
      <c r="B187" s="4" t="s">
        <v>836</v>
      </c>
      <c r="C187" s="4" t="s">
        <v>18</v>
      </c>
      <c r="D187" s="4" t="s">
        <v>458</v>
      </c>
      <c r="E187" s="6" t="n">
        <v>44846</v>
      </c>
      <c r="F187" s="4" t="s">
        <v>543</v>
      </c>
      <c r="G187" s="8" t="n">
        <v>10.6</v>
      </c>
    </row>
    <row r="188" customFormat="false" ht="15" hidden="false" customHeight="false" outlineLevel="0" collapsed="false">
      <c r="A188" s="4" t="s">
        <v>837</v>
      </c>
      <c r="B188" s="4" t="s">
        <v>838</v>
      </c>
      <c r="C188" s="4" t="s">
        <v>18</v>
      </c>
      <c r="D188" s="4" t="s">
        <v>458</v>
      </c>
      <c r="E188" s="6" t="n">
        <v>45543</v>
      </c>
      <c r="F188" s="4" t="s">
        <v>472</v>
      </c>
      <c r="G188" s="8" t="n">
        <v>96.3</v>
      </c>
    </row>
    <row r="189" customFormat="false" ht="15" hidden="false" customHeight="false" outlineLevel="0" collapsed="false">
      <c r="A189" s="4" t="s">
        <v>839</v>
      </c>
      <c r="B189" s="4" t="s">
        <v>840</v>
      </c>
      <c r="C189" s="4" t="s">
        <v>12</v>
      </c>
      <c r="D189" s="4" t="s">
        <v>468</v>
      </c>
      <c r="E189" s="6" t="n">
        <v>45111</v>
      </c>
      <c r="F189" s="4" t="s">
        <v>472</v>
      </c>
      <c r="G189" s="8" t="n">
        <v>76.5</v>
      </c>
    </row>
    <row r="190" customFormat="false" ht="15" hidden="false" customHeight="false" outlineLevel="0" collapsed="false">
      <c r="A190" s="4" t="s">
        <v>841</v>
      </c>
      <c r="B190" s="4" t="s">
        <v>842</v>
      </c>
      <c r="C190" s="4" t="s">
        <v>24</v>
      </c>
      <c r="D190" s="4" t="s">
        <v>458</v>
      </c>
      <c r="E190" s="6" t="n">
        <v>45873</v>
      </c>
      <c r="F190" s="4" t="s">
        <v>455</v>
      </c>
      <c r="G190" s="8" t="n">
        <v>31.5</v>
      </c>
    </row>
    <row r="191" customFormat="false" ht="15" hidden="false" customHeight="false" outlineLevel="0" collapsed="false">
      <c r="A191" s="4" t="s">
        <v>843</v>
      </c>
      <c r="B191" s="4" t="s">
        <v>844</v>
      </c>
      <c r="C191" s="4" t="s">
        <v>6</v>
      </c>
      <c r="D191" s="4" t="s">
        <v>489</v>
      </c>
      <c r="E191" s="6" t="n">
        <v>45441</v>
      </c>
      <c r="F191" s="4" t="s">
        <v>524</v>
      </c>
      <c r="G191" s="8" t="n">
        <v>46.3</v>
      </c>
    </row>
    <row r="192" customFormat="false" ht="15" hidden="false" customHeight="false" outlineLevel="0" collapsed="false">
      <c r="A192" s="4" t="s">
        <v>845</v>
      </c>
      <c r="B192" s="4" t="s">
        <v>846</v>
      </c>
      <c r="C192" s="4" t="s">
        <v>12</v>
      </c>
      <c r="D192" s="4" t="s">
        <v>448</v>
      </c>
      <c r="E192" s="6" t="n">
        <v>45276</v>
      </c>
      <c r="F192" s="4" t="s">
        <v>475</v>
      </c>
      <c r="G192" s="8" t="n">
        <v>6</v>
      </c>
    </row>
    <row r="193" customFormat="false" ht="15" hidden="false" customHeight="false" outlineLevel="0" collapsed="false">
      <c r="A193" s="4" t="s">
        <v>847</v>
      </c>
      <c r="B193" s="4" t="s">
        <v>848</v>
      </c>
      <c r="C193" s="4" t="s">
        <v>24</v>
      </c>
      <c r="D193" s="4" t="s">
        <v>458</v>
      </c>
      <c r="E193" s="6" t="n">
        <v>45001</v>
      </c>
      <c r="F193" s="4" t="s">
        <v>524</v>
      </c>
      <c r="G193" s="8" t="n">
        <v>1.8</v>
      </c>
    </row>
    <row r="194" customFormat="false" ht="15" hidden="false" customHeight="false" outlineLevel="0" collapsed="false">
      <c r="A194" s="4" t="s">
        <v>849</v>
      </c>
      <c r="B194" s="4" t="s">
        <v>850</v>
      </c>
      <c r="C194" s="4" t="s">
        <v>6</v>
      </c>
      <c r="D194" s="4" t="s">
        <v>458</v>
      </c>
      <c r="E194" s="6" t="n">
        <v>44379</v>
      </c>
      <c r="F194" s="4" t="s">
        <v>455</v>
      </c>
      <c r="G194" s="8" t="n">
        <v>27.2</v>
      </c>
    </row>
    <row r="195" customFormat="false" ht="15" hidden="false" customHeight="false" outlineLevel="0" collapsed="false">
      <c r="A195" s="4" t="s">
        <v>851</v>
      </c>
      <c r="B195" s="4" t="s">
        <v>852</v>
      </c>
      <c r="C195" s="4" t="s">
        <v>18</v>
      </c>
      <c r="D195" s="4" t="s">
        <v>458</v>
      </c>
      <c r="E195" s="6" t="n">
        <v>45329</v>
      </c>
      <c r="F195" s="4" t="s">
        <v>475</v>
      </c>
      <c r="G195" s="8" t="n">
        <v>40.7</v>
      </c>
    </row>
    <row r="196" customFormat="false" ht="15" hidden="false" customHeight="false" outlineLevel="0" collapsed="false">
      <c r="A196" s="4" t="s">
        <v>853</v>
      </c>
      <c r="B196" s="4" t="s">
        <v>854</v>
      </c>
      <c r="C196" s="4" t="s">
        <v>30</v>
      </c>
      <c r="D196" s="4" t="s">
        <v>448</v>
      </c>
      <c r="E196" s="6" t="n">
        <v>45315</v>
      </c>
      <c r="F196" s="4" t="s">
        <v>524</v>
      </c>
      <c r="G196" s="8" t="n">
        <v>29.6</v>
      </c>
    </row>
    <row r="197" customFormat="false" ht="15" hidden="false" customHeight="false" outlineLevel="0" collapsed="false">
      <c r="A197" s="4" t="s">
        <v>855</v>
      </c>
      <c r="B197" s="4" t="s">
        <v>856</v>
      </c>
      <c r="C197" s="4" t="s">
        <v>24</v>
      </c>
      <c r="D197" s="4" t="s">
        <v>458</v>
      </c>
      <c r="E197" s="6" t="n">
        <v>46083</v>
      </c>
      <c r="F197" s="4" t="s">
        <v>495</v>
      </c>
      <c r="G197" s="8" t="n">
        <v>82.7</v>
      </c>
    </row>
    <row r="198" customFormat="false" ht="15" hidden="false" customHeight="false" outlineLevel="0" collapsed="false">
      <c r="A198" s="4" t="s">
        <v>857</v>
      </c>
      <c r="B198" s="4" t="s">
        <v>858</v>
      </c>
      <c r="C198" s="4" t="s">
        <v>30</v>
      </c>
      <c r="D198" s="4" t="s">
        <v>489</v>
      </c>
      <c r="E198" s="6" t="n">
        <v>44358</v>
      </c>
      <c r="F198" s="4" t="s">
        <v>452</v>
      </c>
      <c r="G198" s="8" t="n">
        <v>40</v>
      </c>
    </row>
    <row r="199" customFormat="false" ht="15" hidden="false" customHeight="false" outlineLevel="0" collapsed="false">
      <c r="A199" s="4" t="s">
        <v>859</v>
      </c>
      <c r="B199" s="4" t="s">
        <v>860</v>
      </c>
      <c r="C199" s="4" t="s">
        <v>18</v>
      </c>
      <c r="D199" s="4" t="s">
        <v>468</v>
      </c>
      <c r="E199" s="6" t="n">
        <v>44421</v>
      </c>
      <c r="F199" s="4" t="s">
        <v>472</v>
      </c>
      <c r="G199" s="8" t="n">
        <v>60.6</v>
      </c>
    </row>
    <row r="200" customFormat="false" ht="15" hidden="false" customHeight="false" outlineLevel="0" collapsed="false">
      <c r="A200" s="4" t="s">
        <v>861</v>
      </c>
      <c r="B200" s="4" t="s">
        <v>862</v>
      </c>
      <c r="C200" s="4" t="s">
        <v>24</v>
      </c>
      <c r="D200" s="4" t="s">
        <v>489</v>
      </c>
      <c r="E200" s="6" t="n">
        <v>44016</v>
      </c>
      <c r="F200" s="4" t="s">
        <v>475</v>
      </c>
      <c r="G200" s="8" t="n">
        <v>14.6</v>
      </c>
    </row>
    <row r="201" customFormat="false" ht="15" hidden="false" customHeight="false" outlineLevel="0" collapsed="false">
      <c r="A201" s="4" t="s">
        <v>863</v>
      </c>
      <c r="B201" s="4" t="s">
        <v>864</v>
      </c>
      <c r="C201" s="4" t="s">
        <v>18</v>
      </c>
      <c r="D201" s="4" t="s">
        <v>458</v>
      </c>
      <c r="E201" s="6" t="n">
        <v>45958</v>
      </c>
      <c r="F201" s="4" t="s">
        <v>459</v>
      </c>
      <c r="G201" s="8" t="n">
        <v>15.7</v>
      </c>
    </row>
    <row r="202" customFormat="false" ht="15" hidden="false" customHeight="false" outlineLevel="0" collapsed="false">
      <c r="A202" s="4" t="s">
        <v>865</v>
      </c>
      <c r="B202" s="4" t="s">
        <v>866</v>
      </c>
      <c r="C202" s="4" t="s">
        <v>30</v>
      </c>
      <c r="D202" s="4" t="s">
        <v>448</v>
      </c>
      <c r="E202" s="6" t="n">
        <v>45174</v>
      </c>
      <c r="F202" s="4" t="s">
        <v>455</v>
      </c>
      <c r="G202" s="8" t="n">
        <v>61.7</v>
      </c>
    </row>
    <row r="203" customFormat="false" ht="15" hidden="false" customHeight="false" outlineLevel="0" collapsed="false">
      <c r="A203" s="4" t="s">
        <v>867</v>
      </c>
      <c r="B203" s="4" t="s">
        <v>868</v>
      </c>
      <c r="C203" s="4" t="s">
        <v>12</v>
      </c>
      <c r="D203" s="4" t="s">
        <v>458</v>
      </c>
      <c r="E203" s="6" t="n">
        <v>45056</v>
      </c>
      <c r="F203" s="4" t="s">
        <v>465</v>
      </c>
      <c r="G203" s="8" t="n">
        <v>34.3</v>
      </c>
    </row>
    <row r="204" customFormat="false" ht="15" hidden="false" customHeight="false" outlineLevel="0" collapsed="false">
      <c r="A204" s="4" t="s">
        <v>869</v>
      </c>
      <c r="B204" s="4" t="s">
        <v>870</v>
      </c>
      <c r="C204" s="4" t="s">
        <v>30</v>
      </c>
      <c r="D204" s="4" t="s">
        <v>458</v>
      </c>
      <c r="E204" s="6" t="n">
        <v>45058</v>
      </c>
      <c r="F204" s="4" t="s">
        <v>459</v>
      </c>
      <c r="G204" s="8" t="n">
        <v>81.8</v>
      </c>
    </row>
    <row r="205" customFormat="false" ht="15" hidden="false" customHeight="false" outlineLevel="0" collapsed="false">
      <c r="A205" s="4" t="s">
        <v>871</v>
      </c>
      <c r="B205" s="4" t="s">
        <v>872</v>
      </c>
      <c r="C205" s="4" t="s">
        <v>18</v>
      </c>
      <c r="D205" s="4" t="s">
        <v>468</v>
      </c>
      <c r="E205" s="6" t="n">
        <v>44279</v>
      </c>
      <c r="F205" s="4" t="s">
        <v>449</v>
      </c>
      <c r="G205" s="8" t="n">
        <v>58.8</v>
      </c>
    </row>
    <row r="206" customFormat="false" ht="15" hidden="false" customHeight="false" outlineLevel="0" collapsed="false">
      <c r="A206" s="4" t="s">
        <v>873</v>
      </c>
      <c r="B206" s="4" t="s">
        <v>874</v>
      </c>
      <c r="C206" s="4" t="s">
        <v>6</v>
      </c>
      <c r="D206" s="4" t="s">
        <v>458</v>
      </c>
      <c r="E206" s="6" t="n">
        <v>44918</v>
      </c>
      <c r="F206" s="4" t="s">
        <v>462</v>
      </c>
      <c r="G206" s="8" t="n">
        <v>78.5</v>
      </c>
    </row>
    <row r="207" customFormat="false" ht="15" hidden="false" customHeight="false" outlineLevel="0" collapsed="false">
      <c r="A207" s="4" t="s">
        <v>875</v>
      </c>
      <c r="B207" s="4" t="s">
        <v>876</v>
      </c>
      <c r="C207" s="4" t="s">
        <v>30</v>
      </c>
      <c r="D207" s="4" t="s">
        <v>448</v>
      </c>
      <c r="E207" s="6" t="n">
        <v>44041</v>
      </c>
      <c r="F207" s="4" t="s">
        <v>465</v>
      </c>
      <c r="G207" s="8" t="n">
        <v>48.6</v>
      </c>
    </row>
    <row r="208" customFormat="false" ht="15" hidden="false" customHeight="false" outlineLevel="0" collapsed="false">
      <c r="A208" s="4" t="s">
        <v>877</v>
      </c>
      <c r="B208" s="4" t="s">
        <v>878</v>
      </c>
      <c r="C208" s="4" t="s">
        <v>30</v>
      </c>
      <c r="D208" s="4" t="s">
        <v>458</v>
      </c>
      <c r="E208" s="6" t="n">
        <v>44436</v>
      </c>
      <c r="F208" s="4" t="s">
        <v>469</v>
      </c>
      <c r="G208" s="8" t="n">
        <v>68.4</v>
      </c>
    </row>
    <row r="209" customFormat="false" ht="15" hidden="false" customHeight="false" outlineLevel="0" collapsed="false">
      <c r="A209" s="4" t="s">
        <v>879</v>
      </c>
      <c r="B209" s="4" t="s">
        <v>880</v>
      </c>
      <c r="C209" s="4" t="s">
        <v>6</v>
      </c>
      <c r="D209" s="4" t="s">
        <v>489</v>
      </c>
      <c r="E209" s="6" t="n">
        <v>44612</v>
      </c>
      <c r="F209" s="4" t="s">
        <v>475</v>
      </c>
      <c r="G209" s="8" t="n">
        <v>44.7</v>
      </c>
    </row>
    <row r="210" customFormat="false" ht="15" hidden="false" customHeight="false" outlineLevel="0" collapsed="false">
      <c r="A210" s="4" t="s">
        <v>881</v>
      </c>
      <c r="B210" s="4" t="s">
        <v>882</v>
      </c>
      <c r="C210" s="4" t="s">
        <v>24</v>
      </c>
      <c r="D210" s="4" t="s">
        <v>448</v>
      </c>
      <c r="E210" s="6" t="n">
        <v>45522</v>
      </c>
      <c r="F210" s="4" t="s">
        <v>550</v>
      </c>
      <c r="G210" s="8" t="n">
        <v>21.2</v>
      </c>
    </row>
    <row r="211" customFormat="false" ht="15" hidden="false" customHeight="false" outlineLevel="0" collapsed="false">
      <c r="A211" s="4" t="s">
        <v>883</v>
      </c>
      <c r="B211" s="4" t="s">
        <v>884</v>
      </c>
      <c r="C211" s="4" t="s">
        <v>30</v>
      </c>
      <c r="D211" s="4" t="s">
        <v>458</v>
      </c>
      <c r="E211" s="6" t="n">
        <v>44086</v>
      </c>
      <c r="F211" s="4" t="s">
        <v>550</v>
      </c>
      <c r="G211" s="8" t="n">
        <v>14.7</v>
      </c>
    </row>
    <row r="212" customFormat="false" ht="15" hidden="false" customHeight="false" outlineLevel="0" collapsed="false">
      <c r="A212" s="4" t="s">
        <v>885</v>
      </c>
      <c r="B212" s="4" t="s">
        <v>886</v>
      </c>
      <c r="C212" s="4" t="s">
        <v>12</v>
      </c>
      <c r="D212" s="4" t="s">
        <v>468</v>
      </c>
      <c r="E212" s="6" t="n">
        <v>45790</v>
      </c>
      <c r="F212" s="4" t="s">
        <v>524</v>
      </c>
      <c r="G212" s="8" t="n">
        <v>38.3</v>
      </c>
    </row>
    <row r="213" customFormat="false" ht="15" hidden="false" customHeight="false" outlineLevel="0" collapsed="false">
      <c r="A213" s="4" t="s">
        <v>887</v>
      </c>
      <c r="B213" s="4" t="s">
        <v>888</v>
      </c>
      <c r="C213" s="4" t="s">
        <v>12</v>
      </c>
      <c r="D213" s="4" t="s">
        <v>458</v>
      </c>
      <c r="E213" s="6" t="n">
        <v>46014</v>
      </c>
      <c r="F213" s="4" t="s">
        <v>490</v>
      </c>
      <c r="G213" s="8" t="n">
        <v>55.1</v>
      </c>
    </row>
    <row r="214" customFormat="false" ht="15" hidden="false" customHeight="false" outlineLevel="0" collapsed="false">
      <c r="A214" s="4" t="s">
        <v>889</v>
      </c>
      <c r="B214" s="4" t="s">
        <v>890</v>
      </c>
      <c r="C214" s="4" t="s">
        <v>18</v>
      </c>
      <c r="D214" s="4" t="s">
        <v>458</v>
      </c>
      <c r="E214" s="6" t="n">
        <v>44618</v>
      </c>
      <c r="F214" s="4" t="s">
        <v>472</v>
      </c>
      <c r="G214" s="8" t="n">
        <v>28.6</v>
      </c>
    </row>
    <row r="215" customFormat="false" ht="15" hidden="false" customHeight="false" outlineLevel="0" collapsed="false">
      <c r="A215" s="4" t="s">
        <v>891</v>
      </c>
      <c r="B215" s="4" t="s">
        <v>892</v>
      </c>
      <c r="C215" s="4" t="s">
        <v>18</v>
      </c>
      <c r="D215" s="4" t="s">
        <v>448</v>
      </c>
      <c r="E215" s="6" t="n">
        <v>45050</v>
      </c>
      <c r="F215" s="4" t="s">
        <v>480</v>
      </c>
      <c r="G215" s="8" t="n">
        <v>29.6</v>
      </c>
    </row>
    <row r="216" customFormat="false" ht="15" hidden="false" customHeight="false" outlineLevel="0" collapsed="false">
      <c r="A216" s="4" t="s">
        <v>893</v>
      </c>
      <c r="B216" s="4" t="s">
        <v>894</v>
      </c>
      <c r="C216" s="4" t="s">
        <v>12</v>
      </c>
      <c r="D216" s="4" t="s">
        <v>458</v>
      </c>
      <c r="E216" s="6" t="n">
        <v>45129</v>
      </c>
      <c r="F216" s="4" t="s">
        <v>459</v>
      </c>
      <c r="G216" s="8" t="n">
        <v>35.5</v>
      </c>
    </row>
    <row r="217" customFormat="false" ht="15" hidden="false" customHeight="false" outlineLevel="0" collapsed="false">
      <c r="A217" s="4" t="s">
        <v>895</v>
      </c>
      <c r="B217" s="4" t="s">
        <v>896</v>
      </c>
      <c r="C217" s="4" t="s">
        <v>18</v>
      </c>
      <c r="D217" s="4" t="s">
        <v>468</v>
      </c>
      <c r="E217" s="6" t="n">
        <v>44330</v>
      </c>
      <c r="F217" s="4" t="s">
        <v>465</v>
      </c>
      <c r="G217" s="8" t="n">
        <v>68</v>
      </c>
    </row>
    <row r="218" customFormat="false" ht="15" hidden="false" customHeight="false" outlineLevel="0" collapsed="false">
      <c r="A218" s="4" t="s">
        <v>897</v>
      </c>
      <c r="B218" s="4" t="s">
        <v>898</v>
      </c>
      <c r="C218" s="4" t="s">
        <v>24</v>
      </c>
      <c r="D218" s="4" t="s">
        <v>458</v>
      </c>
      <c r="E218" s="6" t="n">
        <v>45244</v>
      </c>
      <c r="F218" s="4" t="s">
        <v>480</v>
      </c>
      <c r="G218" s="8" t="n">
        <v>80.7</v>
      </c>
    </row>
    <row r="219" customFormat="false" ht="15" hidden="false" customHeight="false" outlineLevel="0" collapsed="false">
      <c r="A219" s="4" t="s">
        <v>899</v>
      </c>
      <c r="B219" s="4" t="s">
        <v>900</v>
      </c>
      <c r="C219" s="4" t="s">
        <v>18</v>
      </c>
      <c r="D219" s="4" t="s">
        <v>489</v>
      </c>
      <c r="E219" s="6" t="n">
        <v>45009</v>
      </c>
      <c r="F219" s="4" t="s">
        <v>550</v>
      </c>
      <c r="G219" s="8" t="n">
        <v>8.8</v>
      </c>
    </row>
    <row r="220" customFormat="false" ht="15" hidden="false" customHeight="false" outlineLevel="0" collapsed="false">
      <c r="A220" s="4" t="s">
        <v>901</v>
      </c>
      <c r="B220" s="4" t="s">
        <v>902</v>
      </c>
      <c r="C220" s="4" t="s">
        <v>24</v>
      </c>
      <c r="D220" s="4" t="s">
        <v>468</v>
      </c>
      <c r="E220" s="6" t="n">
        <v>45793</v>
      </c>
      <c r="F220" s="4" t="s">
        <v>472</v>
      </c>
      <c r="G220" s="8" t="n">
        <v>21</v>
      </c>
    </row>
    <row r="221" customFormat="false" ht="15" hidden="false" customHeight="false" outlineLevel="0" collapsed="false">
      <c r="A221" s="4" t="s">
        <v>903</v>
      </c>
      <c r="B221" s="4" t="s">
        <v>904</v>
      </c>
      <c r="C221" s="4" t="s">
        <v>30</v>
      </c>
      <c r="D221" s="4" t="s">
        <v>468</v>
      </c>
      <c r="E221" s="6" t="n">
        <v>44943</v>
      </c>
      <c r="F221" s="4" t="s">
        <v>543</v>
      </c>
      <c r="G221" s="8" t="n">
        <v>11.8</v>
      </c>
    </row>
    <row r="222" customFormat="false" ht="15" hidden="false" customHeight="false" outlineLevel="0" collapsed="false">
      <c r="A222" s="4" t="s">
        <v>905</v>
      </c>
      <c r="B222" s="4" t="s">
        <v>906</v>
      </c>
      <c r="C222" s="4" t="s">
        <v>30</v>
      </c>
      <c r="D222" s="4" t="s">
        <v>448</v>
      </c>
      <c r="E222" s="6" t="n">
        <v>44824</v>
      </c>
      <c r="F222" s="4" t="s">
        <v>475</v>
      </c>
      <c r="G222" s="8" t="n">
        <v>67.3</v>
      </c>
    </row>
    <row r="223" customFormat="false" ht="15" hidden="false" customHeight="false" outlineLevel="0" collapsed="false">
      <c r="A223" s="4" t="s">
        <v>907</v>
      </c>
      <c r="B223" s="4" t="s">
        <v>908</v>
      </c>
      <c r="C223" s="4" t="s">
        <v>30</v>
      </c>
      <c r="D223" s="4" t="s">
        <v>448</v>
      </c>
      <c r="E223" s="6" t="n">
        <v>44784</v>
      </c>
      <c r="F223" s="4" t="s">
        <v>475</v>
      </c>
      <c r="G223" s="8" t="n">
        <v>10.9</v>
      </c>
    </row>
    <row r="224" customFormat="false" ht="15" hidden="false" customHeight="false" outlineLevel="0" collapsed="false">
      <c r="A224" s="4" t="s">
        <v>909</v>
      </c>
      <c r="B224" s="4" t="s">
        <v>910</v>
      </c>
      <c r="C224" s="4" t="s">
        <v>18</v>
      </c>
      <c r="D224" s="4" t="s">
        <v>458</v>
      </c>
      <c r="E224" s="6" t="n">
        <v>44242</v>
      </c>
      <c r="F224" s="4" t="s">
        <v>462</v>
      </c>
      <c r="G224" s="8" t="n">
        <v>77.3</v>
      </c>
    </row>
    <row r="225" customFormat="false" ht="15" hidden="false" customHeight="false" outlineLevel="0" collapsed="false">
      <c r="A225" s="4" t="s">
        <v>911</v>
      </c>
      <c r="B225" s="4" t="s">
        <v>912</v>
      </c>
      <c r="C225" s="4" t="s">
        <v>6</v>
      </c>
      <c r="D225" s="4" t="s">
        <v>448</v>
      </c>
      <c r="E225" s="6" t="n">
        <v>45497</v>
      </c>
      <c r="F225" s="4" t="s">
        <v>462</v>
      </c>
      <c r="G225" s="8" t="n">
        <v>93.6</v>
      </c>
    </row>
    <row r="226" customFormat="false" ht="15" hidden="false" customHeight="false" outlineLevel="0" collapsed="false">
      <c r="A226" s="4" t="s">
        <v>913</v>
      </c>
      <c r="B226" s="4" t="s">
        <v>914</v>
      </c>
      <c r="C226" s="4" t="s">
        <v>24</v>
      </c>
      <c r="D226" s="4" t="s">
        <v>458</v>
      </c>
      <c r="E226" s="6" t="n">
        <v>44647</v>
      </c>
      <c r="F226" s="4" t="s">
        <v>480</v>
      </c>
      <c r="G226" s="8" t="n">
        <v>96.4</v>
      </c>
    </row>
    <row r="227" customFormat="false" ht="15" hidden="false" customHeight="false" outlineLevel="0" collapsed="false">
      <c r="A227" s="4" t="s">
        <v>915</v>
      </c>
      <c r="B227" s="4" t="s">
        <v>916</v>
      </c>
      <c r="C227" s="4" t="s">
        <v>18</v>
      </c>
      <c r="D227" s="4" t="s">
        <v>468</v>
      </c>
      <c r="E227" s="6" t="n">
        <v>44073</v>
      </c>
      <c r="F227" s="4" t="s">
        <v>455</v>
      </c>
      <c r="G227" s="8" t="n">
        <v>77.1</v>
      </c>
    </row>
    <row r="228" customFormat="false" ht="15" hidden="false" customHeight="false" outlineLevel="0" collapsed="false">
      <c r="A228" s="4" t="s">
        <v>917</v>
      </c>
      <c r="B228" s="4" t="s">
        <v>918</v>
      </c>
      <c r="C228" s="4" t="s">
        <v>30</v>
      </c>
      <c r="D228" s="4" t="s">
        <v>448</v>
      </c>
      <c r="E228" s="6" t="n">
        <v>46022</v>
      </c>
      <c r="F228" s="4" t="s">
        <v>550</v>
      </c>
      <c r="G228" s="8" t="n">
        <v>72.6</v>
      </c>
    </row>
    <row r="229" customFormat="false" ht="15" hidden="false" customHeight="false" outlineLevel="0" collapsed="false">
      <c r="A229" s="4" t="s">
        <v>919</v>
      </c>
      <c r="B229" s="4" t="s">
        <v>920</v>
      </c>
      <c r="C229" s="4" t="s">
        <v>6</v>
      </c>
      <c r="D229" s="4" t="s">
        <v>448</v>
      </c>
      <c r="E229" s="6" t="n">
        <v>45542</v>
      </c>
      <c r="F229" s="4" t="s">
        <v>455</v>
      </c>
      <c r="G229" s="8" t="n">
        <v>83.9</v>
      </c>
    </row>
    <row r="230" customFormat="false" ht="15" hidden="false" customHeight="false" outlineLevel="0" collapsed="false">
      <c r="A230" s="4" t="s">
        <v>921</v>
      </c>
      <c r="B230" s="4" t="s">
        <v>922</v>
      </c>
      <c r="C230" s="4" t="s">
        <v>6</v>
      </c>
      <c r="D230" s="4" t="s">
        <v>458</v>
      </c>
      <c r="E230" s="6" t="n">
        <v>45860</v>
      </c>
      <c r="F230" s="4" t="s">
        <v>543</v>
      </c>
      <c r="G230" s="8" t="n">
        <v>93.7</v>
      </c>
    </row>
    <row r="231" customFormat="false" ht="15" hidden="false" customHeight="false" outlineLevel="0" collapsed="false">
      <c r="A231" s="4" t="s">
        <v>923</v>
      </c>
      <c r="B231" s="4" t="s">
        <v>924</v>
      </c>
      <c r="C231" s="4" t="s">
        <v>18</v>
      </c>
      <c r="D231" s="4" t="s">
        <v>489</v>
      </c>
      <c r="E231" s="6" t="n">
        <v>43868</v>
      </c>
      <c r="F231" s="4" t="s">
        <v>495</v>
      </c>
      <c r="G231" s="8" t="n">
        <v>57.2</v>
      </c>
    </row>
    <row r="232" customFormat="false" ht="15" hidden="false" customHeight="false" outlineLevel="0" collapsed="false">
      <c r="A232" s="4" t="s">
        <v>925</v>
      </c>
      <c r="B232" s="4" t="s">
        <v>926</v>
      </c>
      <c r="C232" s="4" t="s">
        <v>6</v>
      </c>
      <c r="D232" s="4" t="s">
        <v>468</v>
      </c>
      <c r="E232" s="6" t="n">
        <v>44996</v>
      </c>
      <c r="F232" s="4" t="s">
        <v>459</v>
      </c>
      <c r="G232" s="8" t="n">
        <v>98.9</v>
      </c>
    </row>
    <row r="233" customFormat="false" ht="15" hidden="false" customHeight="false" outlineLevel="0" collapsed="false">
      <c r="A233" s="4" t="s">
        <v>927</v>
      </c>
      <c r="B233" s="4" t="s">
        <v>928</v>
      </c>
      <c r="C233" s="4" t="s">
        <v>30</v>
      </c>
      <c r="D233" s="4" t="s">
        <v>458</v>
      </c>
      <c r="E233" s="6" t="n">
        <v>44380</v>
      </c>
      <c r="F233" s="4" t="s">
        <v>469</v>
      </c>
      <c r="G233" s="8" t="n">
        <v>50.9</v>
      </c>
    </row>
    <row r="234" customFormat="false" ht="15" hidden="false" customHeight="false" outlineLevel="0" collapsed="false">
      <c r="A234" s="4" t="s">
        <v>929</v>
      </c>
      <c r="B234" s="4" t="s">
        <v>930</v>
      </c>
      <c r="C234" s="4" t="s">
        <v>18</v>
      </c>
      <c r="D234" s="4" t="s">
        <v>448</v>
      </c>
      <c r="E234" s="6" t="n">
        <v>44292</v>
      </c>
      <c r="F234" s="4" t="s">
        <v>490</v>
      </c>
      <c r="G234" s="8" t="n">
        <v>17.1</v>
      </c>
    </row>
    <row r="235" customFormat="false" ht="15" hidden="false" customHeight="false" outlineLevel="0" collapsed="false">
      <c r="A235" s="4" t="s">
        <v>931</v>
      </c>
      <c r="B235" s="4" t="s">
        <v>932</v>
      </c>
      <c r="C235" s="4" t="s">
        <v>24</v>
      </c>
      <c r="D235" s="4" t="s">
        <v>468</v>
      </c>
      <c r="E235" s="6" t="n">
        <v>44593</v>
      </c>
      <c r="F235" s="4" t="s">
        <v>475</v>
      </c>
      <c r="G235" s="8" t="n">
        <v>73.9</v>
      </c>
    </row>
    <row r="236" customFormat="false" ht="15" hidden="false" customHeight="false" outlineLevel="0" collapsed="false">
      <c r="A236" s="4" t="s">
        <v>933</v>
      </c>
      <c r="B236" s="4" t="s">
        <v>934</v>
      </c>
      <c r="C236" s="4" t="s">
        <v>18</v>
      </c>
      <c r="D236" s="4" t="s">
        <v>448</v>
      </c>
      <c r="E236" s="6" t="n">
        <v>44549</v>
      </c>
      <c r="F236" s="4" t="s">
        <v>465</v>
      </c>
      <c r="G236" s="8" t="n">
        <v>85.8</v>
      </c>
    </row>
    <row r="237" customFormat="false" ht="15" hidden="false" customHeight="false" outlineLevel="0" collapsed="false">
      <c r="A237" s="4" t="s">
        <v>935</v>
      </c>
      <c r="B237" s="4" t="s">
        <v>936</v>
      </c>
      <c r="C237" s="4" t="s">
        <v>24</v>
      </c>
      <c r="D237" s="4" t="s">
        <v>458</v>
      </c>
      <c r="E237" s="6" t="n">
        <v>45941</v>
      </c>
      <c r="F237" s="4" t="s">
        <v>490</v>
      </c>
      <c r="G237" s="8" t="n">
        <v>9.6</v>
      </c>
    </row>
    <row r="238" customFormat="false" ht="15" hidden="false" customHeight="false" outlineLevel="0" collapsed="false">
      <c r="A238" s="4" t="s">
        <v>937</v>
      </c>
      <c r="B238" s="4" t="s">
        <v>938</v>
      </c>
      <c r="C238" s="4" t="s">
        <v>6</v>
      </c>
      <c r="D238" s="4" t="s">
        <v>448</v>
      </c>
      <c r="E238" s="6" t="n">
        <v>44406</v>
      </c>
      <c r="F238" s="4" t="s">
        <v>459</v>
      </c>
      <c r="G238" s="8" t="n">
        <v>33</v>
      </c>
    </row>
    <row r="239" customFormat="false" ht="15" hidden="false" customHeight="false" outlineLevel="0" collapsed="false">
      <c r="A239" s="4" t="s">
        <v>939</v>
      </c>
      <c r="B239" s="4" t="s">
        <v>940</v>
      </c>
      <c r="C239" s="4" t="s">
        <v>12</v>
      </c>
      <c r="D239" s="4" t="s">
        <v>489</v>
      </c>
      <c r="E239" s="6" t="n">
        <v>44899</v>
      </c>
      <c r="F239" s="4" t="s">
        <v>449</v>
      </c>
      <c r="G239" s="8" t="n">
        <v>24.3</v>
      </c>
    </row>
    <row r="240" customFormat="false" ht="15" hidden="false" customHeight="false" outlineLevel="0" collapsed="false">
      <c r="A240" s="4" t="s">
        <v>941</v>
      </c>
      <c r="B240" s="4" t="s">
        <v>942</v>
      </c>
      <c r="C240" s="4" t="s">
        <v>18</v>
      </c>
      <c r="D240" s="4" t="s">
        <v>468</v>
      </c>
      <c r="E240" s="6" t="n">
        <v>45067</v>
      </c>
      <c r="F240" s="4" t="s">
        <v>465</v>
      </c>
      <c r="G240" s="8" t="n">
        <v>72.6</v>
      </c>
    </row>
    <row r="241" customFormat="false" ht="15" hidden="false" customHeight="false" outlineLevel="0" collapsed="false">
      <c r="A241" s="4" t="s">
        <v>943</v>
      </c>
      <c r="B241" s="4" t="s">
        <v>944</v>
      </c>
      <c r="C241" s="4" t="s">
        <v>6</v>
      </c>
      <c r="D241" s="4" t="s">
        <v>468</v>
      </c>
      <c r="E241" s="6" t="n">
        <v>45303</v>
      </c>
      <c r="F241" s="4" t="s">
        <v>550</v>
      </c>
      <c r="G241" s="8" t="n">
        <v>24.4</v>
      </c>
    </row>
    <row r="242" customFormat="false" ht="15" hidden="false" customHeight="false" outlineLevel="0" collapsed="false">
      <c r="A242" s="4" t="s">
        <v>945</v>
      </c>
      <c r="B242" s="4" t="s">
        <v>946</v>
      </c>
      <c r="C242" s="4" t="s">
        <v>6</v>
      </c>
      <c r="D242" s="4" t="s">
        <v>458</v>
      </c>
      <c r="E242" s="6" t="n">
        <v>45087</v>
      </c>
      <c r="F242" s="4" t="s">
        <v>543</v>
      </c>
      <c r="G242" s="8" t="n">
        <v>41.1</v>
      </c>
    </row>
    <row r="243" customFormat="false" ht="15" hidden="false" customHeight="false" outlineLevel="0" collapsed="false">
      <c r="A243" s="4" t="s">
        <v>947</v>
      </c>
      <c r="B243" s="4" t="s">
        <v>948</v>
      </c>
      <c r="C243" s="4" t="s">
        <v>30</v>
      </c>
      <c r="D243" s="4" t="s">
        <v>468</v>
      </c>
      <c r="E243" s="6" t="n">
        <v>44311</v>
      </c>
      <c r="F243" s="4" t="s">
        <v>462</v>
      </c>
      <c r="G243" s="8" t="n">
        <v>91.7</v>
      </c>
    </row>
    <row r="244" customFormat="false" ht="15" hidden="false" customHeight="false" outlineLevel="0" collapsed="false">
      <c r="A244" s="4" t="s">
        <v>949</v>
      </c>
      <c r="B244" s="4" t="s">
        <v>950</v>
      </c>
      <c r="C244" s="4" t="s">
        <v>18</v>
      </c>
      <c r="D244" s="4" t="s">
        <v>468</v>
      </c>
      <c r="E244" s="6" t="n">
        <v>44735</v>
      </c>
      <c r="F244" s="4" t="s">
        <v>472</v>
      </c>
      <c r="G244" s="8" t="n">
        <v>95.8</v>
      </c>
    </row>
    <row r="245" customFormat="false" ht="15" hidden="false" customHeight="false" outlineLevel="0" collapsed="false">
      <c r="A245" s="4" t="s">
        <v>951</v>
      </c>
      <c r="B245" s="4" t="s">
        <v>952</v>
      </c>
      <c r="C245" s="4" t="s">
        <v>24</v>
      </c>
      <c r="D245" s="4" t="s">
        <v>448</v>
      </c>
      <c r="E245" s="6" t="n">
        <v>45694</v>
      </c>
      <c r="F245" s="4" t="s">
        <v>550</v>
      </c>
      <c r="G245" s="8" t="n">
        <v>98.9</v>
      </c>
    </row>
    <row r="246" customFormat="false" ht="15" hidden="false" customHeight="false" outlineLevel="0" collapsed="false">
      <c r="A246" s="4" t="s">
        <v>953</v>
      </c>
      <c r="B246" s="4" t="s">
        <v>954</v>
      </c>
      <c r="C246" s="4" t="s">
        <v>18</v>
      </c>
      <c r="D246" s="4" t="s">
        <v>458</v>
      </c>
      <c r="E246" s="6" t="n">
        <v>46080</v>
      </c>
      <c r="F246" s="4" t="s">
        <v>455</v>
      </c>
      <c r="G246" s="8" t="n">
        <v>47.6</v>
      </c>
    </row>
    <row r="247" customFormat="false" ht="15" hidden="false" customHeight="false" outlineLevel="0" collapsed="false">
      <c r="A247" s="4" t="s">
        <v>955</v>
      </c>
      <c r="B247" s="4" t="s">
        <v>956</v>
      </c>
      <c r="C247" s="4" t="s">
        <v>30</v>
      </c>
      <c r="D247" s="4" t="s">
        <v>448</v>
      </c>
      <c r="E247" s="6" t="n">
        <v>44844</v>
      </c>
      <c r="F247" s="4" t="s">
        <v>462</v>
      </c>
      <c r="G247" s="8" t="n">
        <v>75.7</v>
      </c>
    </row>
    <row r="248" customFormat="false" ht="15" hidden="false" customHeight="false" outlineLevel="0" collapsed="false">
      <c r="A248" s="4" t="s">
        <v>957</v>
      </c>
      <c r="B248" s="4" t="s">
        <v>958</v>
      </c>
      <c r="C248" s="4" t="s">
        <v>6</v>
      </c>
      <c r="D248" s="4" t="s">
        <v>458</v>
      </c>
      <c r="E248" s="6" t="n">
        <v>45994</v>
      </c>
      <c r="F248" s="4" t="s">
        <v>550</v>
      </c>
      <c r="G248" s="8" t="n">
        <v>36.8</v>
      </c>
    </row>
    <row r="249" customFormat="false" ht="15" hidden="false" customHeight="false" outlineLevel="0" collapsed="false">
      <c r="A249" s="4" t="s">
        <v>959</v>
      </c>
      <c r="B249" s="4" t="s">
        <v>960</v>
      </c>
      <c r="C249" s="4" t="s">
        <v>30</v>
      </c>
      <c r="D249" s="4" t="s">
        <v>489</v>
      </c>
      <c r="E249" s="6" t="n">
        <v>44083</v>
      </c>
      <c r="F249" s="4" t="s">
        <v>469</v>
      </c>
      <c r="G249" s="8" t="n">
        <v>55.2</v>
      </c>
    </row>
    <row r="250" customFormat="false" ht="15" hidden="false" customHeight="false" outlineLevel="0" collapsed="false">
      <c r="A250" s="4" t="s">
        <v>961</v>
      </c>
      <c r="B250" s="4" t="s">
        <v>962</v>
      </c>
      <c r="C250" s="4" t="s">
        <v>30</v>
      </c>
      <c r="D250" s="4" t="s">
        <v>448</v>
      </c>
      <c r="E250" s="6" t="n">
        <v>46029</v>
      </c>
      <c r="F250" s="4" t="s">
        <v>543</v>
      </c>
      <c r="G250" s="8" t="n">
        <v>17.3</v>
      </c>
    </row>
    <row r="251" customFormat="false" ht="15" hidden="false" customHeight="false" outlineLevel="0" collapsed="false">
      <c r="A251" s="4" t="s">
        <v>963</v>
      </c>
      <c r="B251" s="4" t="s">
        <v>964</v>
      </c>
      <c r="C251" s="4" t="s">
        <v>30</v>
      </c>
      <c r="D251" s="4" t="s">
        <v>458</v>
      </c>
      <c r="E251" s="6" t="n">
        <v>44307</v>
      </c>
      <c r="F251" s="4" t="s">
        <v>462</v>
      </c>
      <c r="G251" s="8" t="n">
        <v>21.3</v>
      </c>
    </row>
    <row r="252" customFormat="false" ht="15" hidden="false" customHeight="false" outlineLevel="0" collapsed="false">
      <c r="A252" s="4" t="s">
        <v>965</v>
      </c>
      <c r="B252" s="4" t="s">
        <v>966</v>
      </c>
      <c r="C252" s="4" t="s">
        <v>30</v>
      </c>
      <c r="D252" s="4" t="s">
        <v>458</v>
      </c>
      <c r="E252" s="6" t="n">
        <v>44203</v>
      </c>
      <c r="F252" s="4" t="s">
        <v>455</v>
      </c>
      <c r="G252" s="8" t="n">
        <v>51.5</v>
      </c>
    </row>
    <row r="253" customFormat="false" ht="15" hidden="false" customHeight="false" outlineLevel="0" collapsed="false">
      <c r="A253" s="4" t="s">
        <v>967</v>
      </c>
      <c r="B253" s="4" t="s">
        <v>968</v>
      </c>
      <c r="C253" s="4" t="s">
        <v>6</v>
      </c>
      <c r="D253" s="4" t="s">
        <v>458</v>
      </c>
      <c r="E253" s="6" t="n">
        <v>44371</v>
      </c>
      <c r="F253" s="4" t="s">
        <v>524</v>
      </c>
      <c r="G253" s="8" t="n">
        <v>42.1</v>
      </c>
    </row>
    <row r="254" customFormat="false" ht="15" hidden="false" customHeight="false" outlineLevel="0" collapsed="false">
      <c r="A254" s="4" t="s">
        <v>969</v>
      </c>
      <c r="B254" s="4" t="s">
        <v>970</v>
      </c>
      <c r="C254" s="4" t="s">
        <v>30</v>
      </c>
      <c r="D254" s="4" t="s">
        <v>489</v>
      </c>
      <c r="E254" s="6" t="n">
        <v>46119</v>
      </c>
      <c r="F254" s="4" t="s">
        <v>459</v>
      </c>
      <c r="G254" s="8" t="n">
        <v>67.6</v>
      </c>
    </row>
    <row r="255" customFormat="false" ht="15" hidden="false" customHeight="false" outlineLevel="0" collapsed="false">
      <c r="A255" s="4" t="s">
        <v>971</v>
      </c>
      <c r="B255" s="4" t="s">
        <v>972</v>
      </c>
      <c r="C255" s="4" t="s">
        <v>18</v>
      </c>
      <c r="D255" s="4" t="s">
        <v>489</v>
      </c>
      <c r="E255" s="6" t="n">
        <v>45452</v>
      </c>
      <c r="F255" s="4" t="s">
        <v>495</v>
      </c>
      <c r="G255" s="8" t="n">
        <v>81.8</v>
      </c>
    </row>
    <row r="256" customFormat="false" ht="15" hidden="false" customHeight="false" outlineLevel="0" collapsed="false">
      <c r="A256" s="4" t="s">
        <v>973</v>
      </c>
      <c r="B256" s="4" t="s">
        <v>974</v>
      </c>
      <c r="C256" s="4" t="s">
        <v>12</v>
      </c>
      <c r="D256" s="4" t="s">
        <v>489</v>
      </c>
      <c r="E256" s="6" t="n">
        <v>44016</v>
      </c>
      <c r="F256" s="4" t="s">
        <v>449</v>
      </c>
      <c r="G256" s="8" t="n">
        <v>35.1</v>
      </c>
    </row>
    <row r="257" customFormat="false" ht="15" hidden="false" customHeight="false" outlineLevel="0" collapsed="false">
      <c r="A257" s="4" t="s">
        <v>975</v>
      </c>
      <c r="B257" s="4" t="s">
        <v>976</v>
      </c>
      <c r="C257" s="4" t="s">
        <v>6</v>
      </c>
      <c r="D257" s="4" t="s">
        <v>489</v>
      </c>
      <c r="E257" s="6" t="n">
        <v>44113</v>
      </c>
      <c r="F257" s="4" t="s">
        <v>455</v>
      </c>
      <c r="G257" s="8" t="n">
        <v>47.7</v>
      </c>
    </row>
    <row r="258" customFormat="false" ht="15" hidden="false" customHeight="false" outlineLevel="0" collapsed="false">
      <c r="A258" s="4" t="s">
        <v>977</v>
      </c>
      <c r="B258" s="4" t="s">
        <v>978</v>
      </c>
      <c r="C258" s="4" t="s">
        <v>18</v>
      </c>
      <c r="D258" s="4" t="s">
        <v>458</v>
      </c>
      <c r="E258" s="6" t="n">
        <v>44568</v>
      </c>
      <c r="F258" s="4" t="s">
        <v>480</v>
      </c>
      <c r="G258" s="8" t="n">
        <v>14.4</v>
      </c>
    </row>
    <row r="259" customFormat="false" ht="15" hidden="false" customHeight="false" outlineLevel="0" collapsed="false">
      <c r="A259" s="4" t="s">
        <v>979</v>
      </c>
      <c r="B259" s="4" t="s">
        <v>980</v>
      </c>
      <c r="C259" s="4" t="s">
        <v>24</v>
      </c>
      <c r="D259" s="4" t="s">
        <v>468</v>
      </c>
      <c r="E259" s="6" t="n">
        <v>45397</v>
      </c>
      <c r="F259" s="4" t="s">
        <v>459</v>
      </c>
      <c r="G259" s="8" t="n">
        <v>87.1</v>
      </c>
    </row>
    <row r="260" customFormat="false" ht="15" hidden="false" customHeight="false" outlineLevel="0" collapsed="false">
      <c r="A260" s="4" t="s">
        <v>981</v>
      </c>
      <c r="B260" s="4" t="s">
        <v>982</v>
      </c>
      <c r="C260" s="4" t="s">
        <v>24</v>
      </c>
      <c r="D260" s="4" t="s">
        <v>458</v>
      </c>
      <c r="E260" s="6" t="n">
        <v>44159</v>
      </c>
      <c r="F260" s="4" t="s">
        <v>462</v>
      </c>
      <c r="G260" s="8" t="n">
        <v>96.5</v>
      </c>
    </row>
    <row r="261" customFormat="false" ht="15" hidden="false" customHeight="false" outlineLevel="0" collapsed="false">
      <c r="A261" s="4" t="s">
        <v>983</v>
      </c>
      <c r="B261" s="4" t="s">
        <v>984</v>
      </c>
      <c r="C261" s="4" t="s">
        <v>30</v>
      </c>
      <c r="D261" s="4" t="s">
        <v>448</v>
      </c>
      <c r="E261" s="6" t="n">
        <v>45255</v>
      </c>
      <c r="F261" s="4" t="s">
        <v>452</v>
      </c>
      <c r="G261" s="8" t="n">
        <v>18.7</v>
      </c>
    </row>
    <row r="262" customFormat="false" ht="15" hidden="false" customHeight="false" outlineLevel="0" collapsed="false">
      <c r="A262" s="4" t="s">
        <v>985</v>
      </c>
      <c r="B262" s="4" t="s">
        <v>986</v>
      </c>
      <c r="C262" s="4" t="s">
        <v>30</v>
      </c>
      <c r="D262" s="4" t="s">
        <v>458</v>
      </c>
      <c r="E262" s="6" t="n">
        <v>45997</v>
      </c>
      <c r="F262" s="4" t="s">
        <v>543</v>
      </c>
      <c r="G262" s="8" t="n">
        <v>73.1</v>
      </c>
    </row>
    <row r="263" customFormat="false" ht="15" hidden="false" customHeight="false" outlineLevel="0" collapsed="false">
      <c r="A263" s="4" t="s">
        <v>987</v>
      </c>
      <c r="B263" s="4" t="s">
        <v>988</v>
      </c>
      <c r="C263" s="4" t="s">
        <v>12</v>
      </c>
      <c r="D263" s="4" t="s">
        <v>489</v>
      </c>
      <c r="E263" s="6" t="n">
        <v>43924</v>
      </c>
      <c r="F263" s="4" t="s">
        <v>495</v>
      </c>
      <c r="G263" s="8" t="n">
        <v>46.8</v>
      </c>
    </row>
    <row r="264" customFormat="false" ht="15" hidden="false" customHeight="false" outlineLevel="0" collapsed="false">
      <c r="A264" s="4" t="s">
        <v>989</v>
      </c>
      <c r="B264" s="4" t="s">
        <v>990</v>
      </c>
      <c r="C264" s="4" t="s">
        <v>30</v>
      </c>
      <c r="D264" s="4" t="s">
        <v>458</v>
      </c>
      <c r="E264" s="6" t="n">
        <v>46009</v>
      </c>
      <c r="F264" s="4" t="s">
        <v>449</v>
      </c>
      <c r="G264" s="8" t="n">
        <v>82.5</v>
      </c>
    </row>
    <row r="265" customFormat="false" ht="15" hidden="false" customHeight="false" outlineLevel="0" collapsed="false">
      <c r="A265" s="4" t="s">
        <v>991</v>
      </c>
      <c r="B265" s="4" t="s">
        <v>992</v>
      </c>
      <c r="C265" s="4" t="s">
        <v>12</v>
      </c>
      <c r="D265" s="4" t="s">
        <v>458</v>
      </c>
      <c r="E265" s="6" t="n">
        <v>45248</v>
      </c>
      <c r="F265" s="4" t="s">
        <v>543</v>
      </c>
      <c r="G265" s="8" t="n">
        <v>28.3</v>
      </c>
    </row>
    <row r="266" customFormat="false" ht="15" hidden="false" customHeight="false" outlineLevel="0" collapsed="false">
      <c r="A266" s="4" t="s">
        <v>993</v>
      </c>
      <c r="B266" s="4" t="s">
        <v>994</v>
      </c>
      <c r="C266" s="4" t="s">
        <v>6</v>
      </c>
      <c r="D266" s="4" t="s">
        <v>489</v>
      </c>
      <c r="E266" s="6" t="n">
        <v>45548</v>
      </c>
      <c r="F266" s="4" t="s">
        <v>465</v>
      </c>
      <c r="G266" s="8" t="n">
        <v>76.8</v>
      </c>
    </row>
    <row r="267" customFormat="false" ht="15" hidden="false" customHeight="false" outlineLevel="0" collapsed="false">
      <c r="A267" s="4" t="s">
        <v>995</v>
      </c>
      <c r="B267" s="4" t="s">
        <v>996</v>
      </c>
      <c r="C267" s="4" t="s">
        <v>6</v>
      </c>
      <c r="D267" s="4" t="s">
        <v>448</v>
      </c>
      <c r="E267" s="6" t="n">
        <v>44675</v>
      </c>
      <c r="F267" s="4" t="s">
        <v>452</v>
      </c>
      <c r="G267" s="8" t="n">
        <v>11</v>
      </c>
    </row>
    <row r="268" customFormat="false" ht="15" hidden="false" customHeight="false" outlineLevel="0" collapsed="false">
      <c r="A268" s="4" t="s">
        <v>997</v>
      </c>
      <c r="B268" s="4" t="s">
        <v>998</v>
      </c>
      <c r="C268" s="4" t="s">
        <v>6</v>
      </c>
      <c r="D268" s="4" t="s">
        <v>458</v>
      </c>
      <c r="E268" s="6" t="n">
        <v>44030</v>
      </c>
      <c r="F268" s="4" t="s">
        <v>472</v>
      </c>
      <c r="G268" s="8" t="n">
        <v>74.3</v>
      </c>
    </row>
    <row r="269" customFormat="false" ht="15" hidden="false" customHeight="false" outlineLevel="0" collapsed="false">
      <c r="A269" s="4" t="s">
        <v>999</v>
      </c>
      <c r="B269" s="4" t="s">
        <v>1000</v>
      </c>
      <c r="C269" s="4" t="s">
        <v>24</v>
      </c>
      <c r="D269" s="4" t="s">
        <v>458</v>
      </c>
      <c r="E269" s="6" t="n">
        <v>44790</v>
      </c>
      <c r="F269" s="4" t="s">
        <v>524</v>
      </c>
      <c r="G269" s="8" t="n">
        <v>22.5</v>
      </c>
    </row>
    <row r="270" customFormat="false" ht="15" hidden="false" customHeight="false" outlineLevel="0" collapsed="false">
      <c r="A270" s="4" t="s">
        <v>1001</v>
      </c>
      <c r="B270" s="4" t="s">
        <v>1002</v>
      </c>
      <c r="C270" s="4" t="s">
        <v>6</v>
      </c>
      <c r="D270" s="4" t="s">
        <v>448</v>
      </c>
      <c r="E270" s="6" t="n">
        <v>45894</v>
      </c>
      <c r="F270" s="4" t="s">
        <v>495</v>
      </c>
      <c r="G270" s="8" t="n">
        <v>24.2</v>
      </c>
    </row>
    <row r="271" customFormat="false" ht="15" hidden="false" customHeight="false" outlineLevel="0" collapsed="false">
      <c r="A271" s="4" t="s">
        <v>1003</v>
      </c>
      <c r="B271" s="4" t="s">
        <v>1004</v>
      </c>
      <c r="C271" s="4" t="s">
        <v>30</v>
      </c>
      <c r="D271" s="4" t="s">
        <v>468</v>
      </c>
      <c r="E271" s="6" t="n">
        <v>45144</v>
      </c>
      <c r="F271" s="4" t="s">
        <v>472</v>
      </c>
      <c r="G271" s="8" t="n">
        <v>30.9</v>
      </c>
    </row>
    <row r="272" customFormat="false" ht="15" hidden="false" customHeight="false" outlineLevel="0" collapsed="false">
      <c r="A272" s="4" t="s">
        <v>1005</v>
      </c>
      <c r="B272" s="4" t="s">
        <v>1006</v>
      </c>
      <c r="C272" s="4" t="s">
        <v>12</v>
      </c>
      <c r="D272" s="4" t="s">
        <v>448</v>
      </c>
      <c r="E272" s="6" t="n">
        <v>45524</v>
      </c>
      <c r="F272" s="4" t="s">
        <v>495</v>
      </c>
      <c r="G272" s="8" t="n">
        <v>28.2</v>
      </c>
    </row>
    <row r="273" customFormat="false" ht="15" hidden="false" customHeight="false" outlineLevel="0" collapsed="false">
      <c r="A273" s="4" t="s">
        <v>1007</v>
      </c>
      <c r="B273" s="4" t="s">
        <v>1008</v>
      </c>
      <c r="C273" s="4" t="s">
        <v>30</v>
      </c>
      <c r="D273" s="4" t="s">
        <v>448</v>
      </c>
      <c r="E273" s="6" t="n">
        <v>45580</v>
      </c>
      <c r="F273" s="4" t="s">
        <v>524</v>
      </c>
      <c r="G273" s="8" t="n">
        <v>50.1</v>
      </c>
    </row>
    <row r="274" customFormat="false" ht="15" hidden="false" customHeight="false" outlineLevel="0" collapsed="false">
      <c r="A274" s="4" t="s">
        <v>1009</v>
      </c>
      <c r="B274" s="4" t="s">
        <v>1010</v>
      </c>
      <c r="C274" s="4" t="s">
        <v>18</v>
      </c>
      <c r="D274" s="4" t="s">
        <v>458</v>
      </c>
      <c r="E274" s="6" t="n">
        <v>45979</v>
      </c>
      <c r="F274" s="4" t="s">
        <v>490</v>
      </c>
      <c r="G274" s="8" t="n">
        <v>69.9</v>
      </c>
    </row>
    <row r="275" customFormat="false" ht="15" hidden="false" customHeight="false" outlineLevel="0" collapsed="false">
      <c r="A275" s="4" t="s">
        <v>1011</v>
      </c>
      <c r="B275" s="4" t="s">
        <v>1012</v>
      </c>
      <c r="C275" s="4" t="s">
        <v>24</v>
      </c>
      <c r="D275" s="4" t="s">
        <v>448</v>
      </c>
      <c r="E275" s="6" t="n">
        <v>45059</v>
      </c>
      <c r="F275" s="4" t="s">
        <v>449</v>
      </c>
      <c r="G275" s="8" t="n">
        <v>19.2</v>
      </c>
    </row>
    <row r="276" customFormat="false" ht="15" hidden="false" customHeight="false" outlineLevel="0" collapsed="false">
      <c r="A276" s="4" t="s">
        <v>1013</v>
      </c>
      <c r="B276" s="4" t="s">
        <v>1014</v>
      </c>
      <c r="C276" s="4" t="s">
        <v>30</v>
      </c>
      <c r="D276" s="4" t="s">
        <v>458</v>
      </c>
      <c r="E276" s="6" t="n">
        <v>44818</v>
      </c>
      <c r="F276" s="4" t="s">
        <v>469</v>
      </c>
      <c r="G276" s="8" t="n">
        <v>23.3</v>
      </c>
    </row>
    <row r="277" customFormat="false" ht="15" hidden="false" customHeight="false" outlineLevel="0" collapsed="false">
      <c r="A277" s="4" t="s">
        <v>1015</v>
      </c>
      <c r="B277" s="4" t="s">
        <v>1016</v>
      </c>
      <c r="C277" s="4" t="s">
        <v>12</v>
      </c>
      <c r="D277" s="4" t="s">
        <v>458</v>
      </c>
      <c r="E277" s="6" t="n">
        <v>44067</v>
      </c>
      <c r="F277" s="4" t="s">
        <v>524</v>
      </c>
      <c r="G277" s="8" t="n">
        <v>41.9</v>
      </c>
    </row>
    <row r="278" customFormat="false" ht="15" hidden="false" customHeight="false" outlineLevel="0" collapsed="false">
      <c r="A278" s="4" t="s">
        <v>1017</v>
      </c>
      <c r="B278" s="4" t="s">
        <v>1018</v>
      </c>
      <c r="C278" s="4" t="s">
        <v>24</v>
      </c>
      <c r="D278" s="4" t="s">
        <v>448</v>
      </c>
      <c r="E278" s="6" t="n">
        <v>45421</v>
      </c>
      <c r="F278" s="4" t="s">
        <v>472</v>
      </c>
      <c r="G278" s="8" t="n">
        <v>26.2</v>
      </c>
    </row>
    <row r="279" customFormat="false" ht="15" hidden="false" customHeight="false" outlineLevel="0" collapsed="false">
      <c r="A279" s="4" t="s">
        <v>1019</v>
      </c>
      <c r="B279" s="4" t="s">
        <v>1020</v>
      </c>
      <c r="C279" s="4" t="s">
        <v>18</v>
      </c>
      <c r="D279" s="4" t="s">
        <v>489</v>
      </c>
      <c r="E279" s="6" t="n">
        <v>45673</v>
      </c>
      <c r="F279" s="4" t="s">
        <v>469</v>
      </c>
      <c r="G279" s="8" t="n">
        <v>37.7</v>
      </c>
    </row>
    <row r="280" customFormat="false" ht="15" hidden="false" customHeight="false" outlineLevel="0" collapsed="false">
      <c r="A280" s="4" t="s">
        <v>1021</v>
      </c>
      <c r="B280" s="4" t="s">
        <v>1022</v>
      </c>
      <c r="C280" s="4" t="s">
        <v>30</v>
      </c>
      <c r="D280" s="4" t="s">
        <v>448</v>
      </c>
      <c r="E280" s="6" t="n">
        <v>44042</v>
      </c>
      <c r="F280" s="4" t="s">
        <v>495</v>
      </c>
      <c r="G280" s="8" t="n">
        <v>38.3</v>
      </c>
    </row>
    <row r="281" customFormat="false" ht="15" hidden="false" customHeight="false" outlineLevel="0" collapsed="false">
      <c r="A281" s="4" t="s">
        <v>1023</v>
      </c>
      <c r="B281" s="4" t="s">
        <v>1024</v>
      </c>
      <c r="C281" s="4" t="s">
        <v>30</v>
      </c>
      <c r="D281" s="4" t="s">
        <v>489</v>
      </c>
      <c r="E281" s="6" t="n">
        <v>44129</v>
      </c>
      <c r="F281" s="4" t="s">
        <v>472</v>
      </c>
      <c r="G281" s="8" t="n">
        <v>80.7</v>
      </c>
    </row>
    <row r="282" customFormat="false" ht="15" hidden="false" customHeight="false" outlineLevel="0" collapsed="false">
      <c r="A282" s="4" t="s">
        <v>1025</v>
      </c>
      <c r="B282" s="4" t="s">
        <v>1026</v>
      </c>
      <c r="C282" s="4" t="s">
        <v>30</v>
      </c>
      <c r="D282" s="4" t="s">
        <v>448</v>
      </c>
      <c r="E282" s="6" t="n">
        <v>45794</v>
      </c>
      <c r="F282" s="4" t="s">
        <v>472</v>
      </c>
      <c r="G282" s="8" t="n">
        <v>87.1</v>
      </c>
    </row>
    <row r="283" customFormat="false" ht="15" hidden="false" customHeight="false" outlineLevel="0" collapsed="false">
      <c r="A283" s="4" t="s">
        <v>1027</v>
      </c>
      <c r="B283" s="4" t="s">
        <v>1028</v>
      </c>
      <c r="C283" s="4" t="s">
        <v>18</v>
      </c>
      <c r="D283" s="4" t="s">
        <v>468</v>
      </c>
      <c r="E283" s="6" t="n">
        <v>43893</v>
      </c>
      <c r="F283" s="4" t="s">
        <v>472</v>
      </c>
      <c r="G283" s="8" t="n">
        <v>93.8</v>
      </c>
    </row>
    <row r="284" customFormat="false" ht="15" hidden="false" customHeight="false" outlineLevel="0" collapsed="false">
      <c r="A284" s="4" t="s">
        <v>1029</v>
      </c>
      <c r="B284" s="4" t="s">
        <v>1030</v>
      </c>
      <c r="C284" s="4" t="s">
        <v>6</v>
      </c>
      <c r="D284" s="4" t="s">
        <v>458</v>
      </c>
      <c r="E284" s="6" t="n">
        <v>44824</v>
      </c>
      <c r="F284" s="4" t="s">
        <v>550</v>
      </c>
      <c r="G284" s="8" t="n">
        <v>60.8</v>
      </c>
    </row>
    <row r="285" customFormat="false" ht="15" hidden="false" customHeight="false" outlineLevel="0" collapsed="false">
      <c r="A285" s="4" t="s">
        <v>1031</v>
      </c>
      <c r="B285" s="4" t="s">
        <v>1032</v>
      </c>
      <c r="C285" s="4" t="s">
        <v>12</v>
      </c>
      <c r="D285" s="4" t="s">
        <v>458</v>
      </c>
      <c r="E285" s="6" t="n">
        <v>44811</v>
      </c>
      <c r="F285" s="4" t="s">
        <v>524</v>
      </c>
      <c r="G285" s="8" t="n">
        <v>32.8</v>
      </c>
    </row>
    <row r="286" customFormat="false" ht="15" hidden="false" customHeight="false" outlineLevel="0" collapsed="false">
      <c r="A286" s="4" t="s">
        <v>1033</v>
      </c>
      <c r="B286" s="4" t="s">
        <v>1034</v>
      </c>
      <c r="C286" s="4" t="s">
        <v>18</v>
      </c>
      <c r="D286" s="4" t="s">
        <v>458</v>
      </c>
      <c r="E286" s="6" t="n">
        <v>45740</v>
      </c>
      <c r="F286" s="4" t="s">
        <v>524</v>
      </c>
      <c r="G286" s="8" t="n">
        <v>65.2</v>
      </c>
    </row>
    <row r="287" customFormat="false" ht="15" hidden="false" customHeight="false" outlineLevel="0" collapsed="false">
      <c r="A287" s="4" t="s">
        <v>1035</v>
      </c>
      <c r="B287" s="4" t="s">
        <v>1036</v>
      </c>
      <c r="C287" s="4" t="s">
        <v>18</v>
      </c>
      <c r="D287" s="4" t="s">
        <v>468</v>
      </c>
      <c r="E287" s="6" t="n">
        <v>45304</v>
      </c>
      <c r="F287" s="4" t="s">
        <v>524</v>
      </c>
      <c r="G287" s="8" t="n">
        <v>88.4</v>
      </c>
    </row>
    <row r="288" customFormat="false" ht="15" hidden="false" customHeight="false" outlineLevel="0" collapsed="false">
      <c r="A288" s="4" t="s">
        <v>1037</v>
      </c>
      <c r="B288" s="4" t="s">
        <v>1038</v>
      </c>
      <c r="C288" s="4" t="s">
        <v>24</v>
      </c>
      <c r="D288" s="4" t="s">
        <v>489</v>
      </c>
      <c r="E288" s="6" t="n">
        <v>45754</v>
      </c>
      <c r="F288" s="4" t="s">
        <v>480</v>
      </c>
      <c r="G288" s="8" t="n">
        <v>84.1</v>
      </c>
    </row>
    <row r="289" customFormat="false" ht="15" hidden="false" customHeight="false" outlineLevel="0" collapsed="false">
      <c r="A289" s="4" t="s">
        <v>1039</v>
      </c>
      <c r="B289" s="4" t="s">
        <v>1040</v>
      </c>
      <c r="C289" s="4" t="s">
        <v>12</v>
      </c>
      <c r="D289" s="4" t="s">
        <v>468</v>
      </c>
      <c r="E289" s="6" t="n">
        <v>45112</v>
      </c>
      <c r="F289" s="4" t="s">
        <v>449</v>
      </c>
      <c r="G289" s="8" t="n">
        <v>5.5</v>
      </c>
    </row>
    <row r="290" customFormat="false" ht="15" hidden="false" customHeight="false" outlineLevel="0" collapsed="false">
      <c r="A290" s="4" t="s">
        <v>1041</v>
      </c>
      <c r="B290" s="4" t="s">
        <v>1042</v>
      </c>
      <c r="C290" s="4" t="s">
        <v>12</v>
      </c>
      <c r="D290" s="4" t="s">
        <v>448</v>
      </c>
      <c r="E290" s="6" t="n">
        <v>43897</v>
      </c>
      <c r="F290" s="4" t="s">
        <v>495</v>
      </c>
      <c r="G290" s="8" t="n">
        <v>55.8</v>
      </c>
    </row>
    <row r="291" customFormat="false" ht="15" hidden="false" customHeight="false" outlineLevel="0" collapsed="false">
      <c r="A291" s="4" t="s">
        <v>1043</v>
      </c>
      <c r="B291" s="4" t="s">
        <v>1044</v>
      </c>
      <c r="C291" s="4" t="s">
        <v>30</v>
      </c>
      <c r="D291" s="4" t="s">
        <v>458</v>
      </c>
      <c r="E291" s="6" t="n">
        <v>45040</v>
      </c>
      <c r="F291" s="4" t="s">
        <v>543</v>
      </c>
      <c r="G291" s="8" t="n">
        <v>20.4</v>
      </c>
    </row>
    <row r="292" customFormat="false" ht="15" hidden="false" customHeight="false" outlineLevel="0" collapsed="false">
      <c r="A292" s="4" t="s">
        <v>1045</v>
      </c>
      <c r="B292" s="4" t="s">
        <v>1046</v>
      </c>
      <c r="C292" s="4" t="s">
        <v>12</v>
      </c>
      <c r="D292" s="4" t="s">
        <v>458</v>
      </c>
      <c r="E292" s="6" t="n">
        <v>44837</v>
      </c>
      <c r="F292" s="4" t="s">
        <v>459</v>
      </c>
      <c r="G292" s="8" t="n">
        <v>55.5</v>
      </c>
    </row>
    <row r="293" customFormat="false" ht="15" hidden="false" customHeight="false" outlineLevel="0" collapsed="false">
      <c r="A293" s="4" t="s">
        <v>1047</v>
      </c>
      <c r="B293" s="4" t="s">
        <v>1048</v>
      </c>
      <c r="C293" s="4" t="s">
        <v>18</v>
      </c>
      <c r="D293" s="4" t="s">
        <v>468</v>
      </c>
      <c r="E293" s="6" t="n">
        <v>45832</v>
      </c>
      <c r="F293" s="4" t="s">
        <v>550</v>
      </c>
      <c r="G293" s="8" t="n">
        <v>64.5</v>
      </c>
    </row>
    <row r="294" customFormat="false" ht="15" hidden="false" customHeight="false" outlineLevel="0" collapsed="false">
      <c r="A294" s="4" t="s">
        <v>1049</v>
      </c>
      <c r="B294" s="4" t="s">
        <v>1050</v>
      </c>
      <c r="C294" s="4" t="s">
        <v>24</v>
      </c>
      <c r="D294" s="4" t="s">
        <v>458</v>
      </c>
      <c r="E294" s="6" t="n">
        <v>44520</v>
      </c>
      <c r="F294" s="4" t="s">
        <v>550</v>
      </c>
      <c r="G294" s="8" t="n">
        <v>79.7</v>
      </c>
    </row>
    <row r="295" customFormat="false" ht="15" hidden="false" customHeight="false" outlineLevel="0" collapsed="false">
      <c r="A295" s="4" t="s">
        <v>1051</v>
      </c>
      <c r="B295" s="4" t="s">
        <v>1052</v>
      </c>
      <c r="C295" s="4" t="s">
        <v>12</v>
      </c>
      <c r="D295" s="4" t="s">
        <v>448</v>
      </c>
      <c r="E295" s="6" t="n">
        <v>46069</v>
      </c>
      <c r="F295" s="4" t="s">
        <v>459</v>
      </c>
      <c r="G295" s="8" t="n">
        <v>19.2</v>
      </c>
    </row>
    <row r="296" customFormat="false" ht="15" hidden="false" customHeight="false" outlineLevel="0" collapsed="false">
      <c r="A296" s="4" t="s">
        <v>1053</v>
      </c>
      <c r="B296" s="4" t="s">
        <v>1054</v>
      </c>
      <c r="C296" s="4" t="s">
        <v>30</v>
      </c>
      <c r="D296" s="4" t="s">
        <v>489</v>
      </c>
      <c r="E296" s="6" t="n">
        <v>45977</v>
      </c>
      <c r="F296" s="4" t="s">
        <v>475</v>
      </c>
      <c r="G296" s="8" t="n">
        <v>84.1</v>
      </c>
    </row>
    <row r="297" customFormat="false" ht="15" hidden="false" customHeight="false" outlineLevel="0" collapsed="false">
      <c r="A297" s="4" t="s">
        <v>1055</v>
      </c>
      <c r="B297" s="4" t="s">
        <v>1056</v>
      </c>
      <c r="C297" s="4" t="s">
        <v>6</v>
      </c>
      <c r="D297" s="4" t="s">
        <v>489</v>
      </c>
      <c r="E297" s="6" t="n">
        <v>43857</v>
      </c>
      <c r="F297" s="4" t="s">
        <v>449</v>
      </c>
      <c r="G297" s="8" t="n">
        <v>14.6</v>
      </c>
    </row>
    <row r="298" customFormat="false" ht="15" hidden="false" customHeight="false" outlineLevel="0" collapsed="false">
      <c r="A298" s="4" t="s">
        <v>1057</v>
      </c>
      <c r="B298" s="4" t="s">
        <v>1058</v>
      </c>
      <c r="C298" s="4" t="s">
        <v>12</v>
      </c>
      <c r="D298" s="4" t="s">
        <v>489</v>
      </c>
      <c r="E298" s="6" t="n">
        <v>44449</v>
      </c>
      <c r="F298" s="4" t="s">
        <v>475</v>
      </c>
      <c r="G298" s="8" t="n">
        <v>22.7</v>
      </c>
    </row>
    <row r="299" customFormat="false" ht="15" hidden="false" customHeight="false" outlineLevel="0" collapsed="false">
      <c r="A299" s="4" t="s">
        <v>1059</v>
      </c>
      <c r="B299" s="4" t="s">
        <v>1060</v>
      </c>
      <c r="C299" s="4" t="s">
        <v>24</v>
      </c>
      <c r="D299" s="4" t="s">
        <v>468</v>
      </c>
      <c r="E299" s="6" t="n">
        <v>44078</v>
      </c>
      <c r="F299" s="4" t="s">
        <v>465</v>
      </c>
      <c r="G299" s="8" t="n">
        <v>64.1</v>
      </c>
    </row>
    <row r="300" customFormat="false" ht="15" hidden="false" customHeight="false" outlineLevel="0" collapsed="false">
      <c r="A300" s="4" t="s">
        <v>1061</v>
      </c>
      <c r="B300" s="4" t="s">
        <v>1062</v>
      </c>
      <c r="C300" s="4" t="s">
        <v>30</v>
      </c>
      <c r="D300" s="4" t="s">
        <v>458</v>
      </c>
      <c r="E300" s="6" t="n">
        <v>45829</v>
      </c>
      <c r="F300" s="4" t="s">
        <v>475</v>
      </c>
      <c r="G300" s="8" t="n">
        <v>1.7</v>
      </c>
    </row>
    <row r="301" customFormat="false" ht="15" hidden="false" customHeight="false" outlineLevel="0" collapsed="false">
      <c r="A301" s="4" t="s">
        <v>1063</v>
      </c>
      <c r="B301" s="4" t="s">
        <v>1064</v>
      </c>
      <c r="C301" s="4" t="s">
        <v>30</v>
      </c>
      <c r="D301" s="4" t="s">
        <v>458</v>
      </c>
      <c r="E301" s="6" t="n">
        <v>43879</v>
      </c>
      <c r="F301" s="4" t="s">
        <v>475</v>
      </c>
      <c r="G301" s="8" t="n">
        <v>53.4</v>
      </c>
    </row>
    <row r="302" customFormat="false" ht="15" hidden="false" customHeight="false" outlineLevel="0" collapsed="false">
      <c r="A302" s="4" t="s">
        <v>1065</v>
      </c>
      <c r="B302" s="4" t="s">
        <v>1066</v>
      </c>
      <c r="C302" s="4" t="s">
        <v>18</v>
      </c>
      <c r="D302" s="4" t="s">
        <v>468</v>
      </c>
      <c r="E302" s="6" t="n">
        <v>43901</v>
      </c>
      <c r="F302" s="4" t="s">
        <v>524</v>
      </c>
      <c r="G302" s="8" t="n">
        <v>81.5</v>
      </c>
    </row>
    <row r="303" customFormat="false" ht="15" hidden="false" customHeight="false" outlineLevel="0" collapsed="false">
      <c r="A303" s="4" t="s">
        <v>1067</v>
      </c>
      <c r="B303" s="4" t="s">
        <v>1068</v>
      </c>
      <c r="C303" s="4" t="s">
        <v>24</v>
      </c>
      <c r="D303" s="4" t="s">
        <v>448</v>
      </c>
      <c r="E303" s="6" t="n">
        <v>44269</v>
      </c>
      <c r="F303" s="4" t="s">
        <v>455</v>
      </c>
      <c r="G303" s="8" t="n">
        <v>10.5</v>
      </c>
    </row>
    <row r="304" customFormat="false" ht="15" hidden="false" customHeight="false" outlineLevel="0" collapsed="false">
      <c r="A304" s="4" t="s">
        <v>1069</v>
      </c>
      <c r="B304" s="4" t="s">
        <v>1070</v>
      </c>
      <c r="C304" s="4" t="s">
        <v>12</v>
      </c>
      <c r="D304" s="4" t="s">
        <v>448</v>
      </c>
      <c r="E304" s="6" t="n">
        <v>44617</v>
      </c>
      <c r="F304" s="4" t="s">
        <v>465</v>
      </c>
      <c r="G304" s="8" t="n">
        <v>53.1</v>
      </c>
    </row>
    <row r="305" customFormat="false" ht="15" hidden="false" customHeight="false" outlineLevel="0" collapsed="false">
      <c r="A305" s="4" t="s">
        <v>1071</v>
      </c>
      <c r="B305" s="4" t="s">
        <v>1072</v>
      </c>
      <c r="C305" s="4" t="s">
        <v>18</v>
      </c>
      <c r="D305" s="4" t="s">
        <v>468</v>
      </c>
      <c r="E305" s="6" t="n">
        <v>45456</v>
      </c>
      <c r="F305" s="4" t="s">
        <v>452</v>
      </c>
      <c r="G305" s="8" t="n">
        <v>37.9</v>
      </c>
    </row>
    <row r="306" customFormat="false" ht="15" hidden="false" customHeight="false" outlineLevel="0" collapsed="false">
      <c r="A306" s="4" t="s">
        <v>1073</v>
      </c>
      <c r="B306" s="4" t="s">
        <v>1074</v>
      </c>
      <c r="C306" s="4" t="s">
        <v>24</v>
      </c>
      <c r="D306" s="4" t="s">
        <v>458</v>
      </c>
      <c r="E306" s="6" t="n">
        <v>44827</v>
      </c>
      <c r="F306" s="4" t="s">
        <v>550</v>
      </c>
      <c r="G306" s="8" t="n">
        <v>23.4</v>
      </c>
    </row>
    <row r="307" customFormat="false" ht="15" hidden="false" customHeight="false" outlineLevel="0" collapsed="false">
      <c r="A307" s="4" t="s">
        <v>1075</v>
      </c>
      <c r="B307" s="4" t="s">
        <v>1076</v>
      </c>
      <c r="C307" s="4" t="s">
        <v>6</v>
      </c>
      <c r="D307" s="4" t="s">
        <v>489</v>
      </c>
      <c r="E307" s="6" t="n">
        <v>44213</v>
      </c>
      <c r="F307" s="4" t="s">
        <v>449</v>
      </c>
      <c r="G307" s="8" t="n">
        <v>38.5</v>
      </c>
    </row>
    <row r="308" customFormat="false" ht="15" hidden="false" customHeight="false" outlineLevel="0" collapsed="false">
      <c r="A308" s="4" t="s">
        <v>1077</v>
      </c>
      <c r="B308" s="4" t="s">
        <v>1078</v>
      </c>
      <c r="C308" s="4" t="s">
        <v>30</v>
      </c>
      <c r="D308" s="4" t="s">
        <v>458</v>
      </c>
      <c r="E308" s="6" t="n">
        <v>44060</v>
      </c>
      <c r="F308" s="4" t="s">
        <v>462</v>
      </c>
      <c r="G308" s="8" t="n">
        <v>1.9</v>
      </c>
    </row>
    <row r="309" customFormat="false" ht="15" hidden="false" customHeight="false" outlineLevel="0" collapsed="false">
      <c r="A309" s="4" t="s">
        <v>1079</v>
      </c>
      <c r="B309" s="4" t="s">
        <v>1080</v>
      </c>
      <c r="C309" s="4" t="s">
        <v>12</v>
      </c>
      <c r="D309" s="4" t="s">
        <v>489</v>
      </c>
      <c r="E309" s="6" t="n">
        <v>45878</v>
      </c>
      <c r="F309" s="4" t="s">
        <v>469</v>
      </c>
      <c r="G309" s="8" t="n">
        <v>44</v>
      </c>
    </row>
    <row r="310" customFormat="false" ht="15" hidden="false" customHeight="false" outlineLevel="0" collapsed="false">
      <c r="A310" s="4" t="s">
        <v>1081</v>
      </c>
      <c r="B310" s="4" t="s">
        <v>1082</v>
      </c>
      <c r="C310" s="4" t="s">
        <v>18</v>
      </c>
      <c r="D310" s="4" t="s">
        <v>489</v>
      </c>
      <c r="E310" s="6" t="n">
        <v>45994</v>
      </c>
      <c r="F310" s="4" t="s">
        <v>455</v>
      </c>
      <c r="G310" s="8" t="n">
        <v>5.2</v>
      </c>
    </row>
    <row r="311" customFormat="false" ht="15" hidden="false" customHeight="false" outlineLevel="0" collapsed="false">
      <c r="A311" s="4" t="s">
        <v>1083</v>
      </c>
      <c r="B311" s="4" t="s">
        <v>1084</v>
      </c>
      <c r="C311" s="4" t="s">
        <v>12</v>
      </c>
      <c r="D311" s="4" t="s">
        <v>458</v>
      </c>
      <c r="E311" s="6" t="n">
        <v>44941</v>
      </c>
      <c r="F311" s="4" t="s">
        <v>475</v>
      </c>
      <c r="G311" s="8" t="n">
        <v>92.5</v>
      </c>
    </row>
    <row r="312" customFormat="false" ht="15" hidden="false" customHeight="false" outlineLevel="0" collapsed="false">
      <c r="A312" s="4" t="s">
        <v>1085</v>
      </c>
      <c r="B312" s="4" t="s">
        <v>1086</v>
      </c>
      <c r="C312" s="4" t="s">
        <v>18</v>
      </c>
      <c r="D312" s="4" t="s">
        <v>489</v>
      </c>
      <c r="E312" s="6" t="n">
        <v>44565</v>
      </c>
      <c r="F312" s="4" t="s">
        <v>455</v>
      </c>
      <c r="G312" s="8" t="n">
        <v>85.2</v>
      </c>
    </row>
    <row r="313" customFormat="false" ht="15" hidden="false" customHeight="false" outlineLevel="0" collapsed="false">
      <c r="A313" s="4" t="s">
        <v>1087</v>
      </c>
      <c r="B313" s="4" t="s">
        <v>1088</v>
      </c>
      <c r="C313" s="4" t="s">
        <v>6</v>
      </c>
      <c r="D313" s="4" t="s">
        <v>448</v>
      </c>
      <c r="E313" s="6" t="n">
        <v>44421</v>
      </c>
      <c r="F313" s="4" t="s">
        <v>480</v>
      </c>
      <c r="G313" s="8" t="n">
        <v>82.2</v>
      </c>
    </row>
    <row r="314" customFormat="false" ht="15" hidden="false" customHeight="false" outlineLevel="0" collapsed="false">
      <c r="A314" s="4" t="s">
        <v>1089</v>
      </c>
      <c r="B314" s="4" t="s">
        <v>1090</v>
      </c>
      <c r="C314" s="4" t="s">
        <v>24</v>
      </c>
      <c r="D314" s="4" t="s">
        <v>489</v>
      </c>
      <c r="E314" s="6" t="n">
        <v>45056</v>
      </c>
      <c r="F314" s="4" t="s">
        <v>543</v>
      </c>
      <c r="G314" s="8" t="n">
        <v>56.8</v>
      </c>
    </row>
    <row r="315" customFormat="false" ht="15" hidden="false" customHeight="false" outlineLevel="0" collapsed="false">
      <c r="A315" s="4" t="s">
        <v>1091</v>
      </c>
      <c r="B315" s="4" t="s">
        <v>1092</v>
      </c>
      <c r="C315" s="4" t="s">
        <v>30</v>
      </c>
      <c r="D315" s="4" t="s">
        <v>458</v>
      </c>
      <c r="E315" s="6" t="n">
        <v>46045</v>
      </c>
      <c r="F315" s="4" t="s">
        <v>490</v>
      </c>
      <c r="G315" s="8" t="n">
        <v>39</v>
      </c>
    </row>
    <row r="316" customFormat="false" ht="15" hidden="false" customHeight="false" outlineLevel="0" collapsed="false">
      <c r="A316" s="4" t="s">
        <v>1093</v>
      </c>
      <c r="B316" s="4" t="s">
        <v>1094</v>
      </c>
      <c r="C316" s="4" t="s">
        <v>12</v>
      </c>
      <c r="D316" s="4" t="s">
        <v>489</v>
      </c>
      <c r="E316" s="6" t="n">
        <v>45882</v>
      </c>
      <c r="F316" s="4" t="s">
        <v>550</v>
      </c>
      <c r="G316" s="8" t="n">
        <v>97.5</v>
      </c>
    </row>
    <row r="317" customFormat="false" ht="15" hidden="false" customHeight="false" outlineLevel="0" collapsed="false">
      <c r="A317" s="4" t="s">
        <v>1095</v>
      </c>
      <c r="B317" s="4" t="s">
        <v>1096</v>
      </c>
      <c r="C317" s="4" t="s">
        <v>6</v>
      </c>
      <c r="D317" s="4" t="s">
        <v>489</v>
      </c>
      <c r="E317" s="6" t="n">
        <v>45621</v>
      </c>
      <c r="F317" s="4" t="s">
        <v>472</v>
      </c>
      <c r="G317" s="8" t="n">
        <v>84</v>
      </c>
    </row>
    <row r="318" customFormat="false" ht="15" hidden="false" customHeight="false" outlineLevel="0" collapsed="false">
      <c r="A318" s="4" t="s">
        <v>1097</v>
      </c>
      <c r="B318" s="4" t="s">
        <v>1098</v>
      </c>
      <c r="C318" s="4" t="s">
        <v>18</v>
      </c>
      <c r="D318" s="4" t="s">
        <v>458</v>
      </c>
      <c r="E318" s="6" t="n">
        <v>45167</v>
      </c>
      <c r="F318" s="4" t="s">
        <v>475</v>
      </c>
      <c r="G318" s="8" t="n">
        <v>63.8</v>
      </c>
    </row>
    <row r="319" customFormat="false" ht="15" hidden="false" customHeight="false" outlineLevel="0" collapsed="false">
      <c r="A319" s="4" t="s">
        <v>1099</v>
      </c>
      <c r="B319" s="4" t="s">
        <v>1100</v>
      </c>
      <c r="C319" s="4" t="s">
        <v>24</v>
      </c>
      <c r="D319" s="4" t="s">
        <v>458</v>
      </c>
      <c r="E319" s="6" t="n">
        <v>44765</v>
      </c>
      <c r="F319" s="4" t="s">
        <v>490</v>
      </c>
      <c r="G319" s="8" t="n">
        <v>55.8</v>
      </c>
    </row>
    <row r="320" customFormat="false" ht="15" hidden="false" customHeight="false" outlineLevel="0" collapsed="false">
      <c r="A320" s="4" t="s">
        <v>1101</v>
      </c>
      <c r="B320" s="4" t="s">
        <v>1102</v>
      </c>
      <c r="C320" s="4" t="s">
        <v>24</v>
      </c>
      <c r="D320" s="4" t="s">
        <v>458</v>
      </c>
      <c r="E320" s="6" t="n">
        <v>44591</v>
      </c>
      <c r="F320" s="4" t="s">
        <v>462</v>
      </c>
      <c r="G320" s="8" t="n">
        <v>59</v>
      </c>
    </row>
    <row r="321" customFormat="false" ht="15" hidden="false" customHeight="false" outlineLevel="0" collapsed="false">
      <c r="A321" s="4" t="s">
        <v>1103</v>
      </c>
      <c r="B321" s="4" t="s">
        <v>1104</v>
      </c>
      <c r="C321" s="4" t="s">
        <v>24</v>
      </c>
      <c r="D321" s="4" t="s">
        <v>489</v>
      </c>
      <c r="E321" s="6" t="n">
        <v>45040</v>
      </c>
      <c r="F321" s="4" t="s">
        <v>480</v>
      </c>
      <c r="G321" s="8" t="n">
        <v>25.4</v>
      </c>
    </row>
    <row r="322" customFormat="false" ht="15" hidden="false" customHeight="false" outlineLevel="0" collapsed="false">
      <c r="A322" s="4" t="s">
        <v>1105</v>
      </c>
      <c r="B322" s="4" t="s">
        <v>1106</v>
      </c>
      <c r="C322" s="4" t="s">
        <v>6</v>
      </c>
      <c r="D322" s="4" t="s">
        <v>489</v>
      </c>
      <c r="E322" s="6" t="n">
        <v>44928</v>
      </c>
      <c r="F322" s="4" t="s">
        <v>543</v>
      </c>
      <c r="G322" s="8" t="n">
        <v>38.6</v>
      </c>
    </row>
    <row r="323" customFormat="false" ht="15" hidden="false" customHeight="false" outlineLevel="0" collapsed="false">
      <c r="A323" s="4" t="s">
        <v>1107</v>
      </c>
      <c r="B323" s="4" t="s">
        <v>1108</v>
      </c>
      <c r="C323" s="4" t="s">
        <v>12</v>
      </c>
      <c r="D323" s="4" t="s">
        <v>458</v>
      </c>
      <c r="E323" s="6" t="n">
        <v>45128</v>
      </c>
      <c r="F323" s="4" t="s">
        <v>490</v>
      </c>
      <c r="G323" s="8" t="n">
        <v>11.5</v>
      </c>
    </row>
    <row r="324" customFormat="false" ht="15" hidden="false" customHeight="false" outlineLevel="0" collapsed="false">
      <c r="A324" s="4" t="s">
        <v>1109</v>
      </c>
      <c r="B324" s="4" t="s">
        <v>1110</v>
      </c>
      <c r="C324" s="4" t="s">
        <v>6</v>
      </c>
      <c r="D324" s="4" t="s">
        <v>468</v>
      </c>
      <c r="E324" s="6" t="n">
        <v>45652</v>
      </c>
      <c r="F324" s="4" t="s">
        <v>490</v>
      </c>
      <c r="G324" s="8" t="n">
        <v>76.4</v>
      </c>
    </row>
    <row r="325" customFormat="false" ht="15" hidden="false" customHeight="false" outlineLevel="0" collapsed="false">
      <c r="A325" s="4" t="s">
        <v>1111</v>
      </c>
      <c r="B325" s="4" t="s">
        <v>1112</v>
      </c>
      <c r="C325" s="4" t="s">
        <v>6</v>
      </c>
      <c r="D325" s="4" t="s">
        <v>448</v>
      </c>
      <c r="E325" s="6" t="n">
        <v>44188</v>
      </c>
      <c r="F325" s="4" t="s">
        <v>543</v>
      </c>
      <c r="G325" s="8" t="n">
        <v>43.7</v>
      </c>
    </row>
    <row r="326" customFormat="false" ht="15" hidden="false" customHeight="false" outlineLevel="0" collapsed="false">
      <c r="A326" s="4" t="s">
        <v>1113</v>
      </c>
      <c r="B326" s="4" t="s">
        <v>1114</v>
      </c>
      <c r="C326" s="4" t="s">
        <v>30</v>
      </c>
      <c r="D326" s="4" t="s">
        <v>458</v>
      </c>
      <c r="E326" s="6" t="n">
        <v>44254</v>
      </c>
      <c r="F326" s="4" t="s">
        <v>475</v>
      </c>
      <c r="G326" s="8" t="n">
        <v>9.9</v>
      </c>
    </row>
    <row r="327" customFormat="false" ht="15" hidden="false" customHeight="false" outlineLevel="0" collapsed="false">
      <c r="A327" s="4" t="s">
        <v>1115</v>
      </c>
      <c r="B327" s="4" t="s">
        <v>1116</v>
      </c>
      <c r="C327" s="4" t="s">
        <v>30</v>
      </c>
      <c r="D327" s="4" t="s">
        <v>489</v>
      </c>
      <c r="E327" s="6" t="n">
        <v>45159</v>
      </c>
      <c r="F327" s="4" t="s">
        <v>469</v>
      </c>
      <c r="G327" s="8" t="n">
        <v>39.1</v>
      </c>
    </row>
    <row r="328" customFormat="false" ht="15" hidden="false" customHeight="false" outlineLevel="0" collapsed="false">
      <c r="A328" s="4" t="s">
        <v>1117</v>
      </c>
      <c r="B328" s="4" t="s">
        <v>1118</v>
      </c>
      <c r="C328" s="4" t="s">
        <v>18</v>
      </c>
      <c r="D328" s="4" t="s">
        <v>458</v>
      </c>
      <c r="E328" s="6" t="n">
        <v>45419</v>
      </c>
      <c r="F328" s="4" t="s">
        <v>480</v>
      </c>
      <c r="G328" s="8" t="n">
        <v>9.4</v>
      </c>
    </row>
    <row r="329" customFormat="false" ht="15" hidden="false" customHeight="false" outlineLevel="0" collapsed="false">
      <c r="A329" s="4" t="s">
        <v>1119</v>
      </c>
      <c r="B329" s="4" t="s">
        <v>1120</v>
      </c>
      <c r="C329" s="4" t="s">
        <v>30</v>
      </c>
      <c r="D329" s="4" t="s">
        <v>448</v>
      </c>
      <c r="E329" s="6" t="n">
        <v>45965</v>
      </c>
      <c r="F329" s="4" t="s">
        <v>543</v>
      </c>
      <c r="G329" s="8" t="n">
        <v>68.8</v>
      </c>
    </row>
    <row r="330" customFormat="false" ht="15" hidden="false" customHeight="false" outlineLevel="0" collapsed="false">
      <c r="A330" s="4" t="s">
        <v>1121</v>
      </c>
      <c r="B330" s="4" t="s">
        <v>1122</v>
      </c>
      <c r="C330" s="4" t="s">
        <v>12</v>
      </c>
      <c r="D330" s="4" t="s">
        <v>448</v>
      </c>
      <c r="E330" s="6" t="n">
        <v>44932</v>
      </c>
      <c r="F330" s="4" t="s">
        <v>495</v>
      </c>
      <c r="G330" s="8" t="n">
        <v>27.6</v>
      </c>
    </row>
    <row r="331" customFormat="false" ht="15" hidden="false" customHeight="false" outlineLevel="0" collapsed="false">
      <c r="A331" s="4" t="s">
        <v>1123</v>
      </c>
      <c r="B331" s="4" t="s">
        <v>1124</v>
      </c>
      <c r="C331" s="4" t="s">
        <v>12</v>
      </c>
      <c r="D331" s="4" t="s">
        <v>489</v>
      </c>
      <c r="E331" s="6" t="n">
        <v>44515</v>
      </c>
      <c r="F331" s="4" t="s">
        <v>449</v>
      </c>
      <c r="G331" s="8" t="n">
        <v>28.3</v>
      </c>
    </row>
    <row r="332" customFormat="false" ht="15" hidden="false" customHeight="false" outlineLevel="0" collapsed="false">
      <c r="A332" s="4" t="s">
        <v>1125</v>
      </c>
      <c r="B332" s="4" t="s">
        <v>1126</v>
      </c>
      <c r="C332" s="4" t="s">
        <v>18</v>
      </c>
      <c r="D332" s="4" t="s">
        <v>458</v>
      </c>
      <c r="E332" s="6" t="n">
        <v>44146</v>
      </c>
      <c r="F332" s="4" t="s">
        <v>490</v>
      </c>
      <c r="G332" s="8" t="n">
        <v>25.9</v>
      </c>
    </row>
    <row r="333" customFormat="false" ht="15" hidden="false" customHeight="false" outlineLevel="0" collapsed="false">
      <c r="A333" s="4" t="s">
        <v>1127</v>
      </c>
      <c r="B333" s="4" t="s">
        <v>1128</v>
      </c>
      <c r="C333" s="4" t="s">
        <v>12</v>
      </c>
      <c r="D333" s="4" t="s">
        <v>458</v>
      </c>
      <c r="E333" s="6" t="n">
        <v>44631</v>
      </c>
      <c r="F333" s="4" t="s">
        <v>459</v>
      </c>
      <c r="G333" s="8" t="n">
        <v>11.6</v>
      </c>
    </row>
    <row r="334" customFormat="false" ht="15" hidden="false" customHeight="false" outlineLevel="0" collapsed="false">
      <c r="A334" s="4" t="s">
        <v>1129</v>
      </c>
      <c r="B334" s="4" t="s">
        <v>1130</v>
      </c>
      <c r="C334" s="4" t="s">
        <v>18</v>
      </c>
      <c r="D334" s="4" t="s">
        <v>489</v>
      </c>
      <c r="E334" s="6" t="n">
        <v>45451</v>
      </c>
      <c r="F334" s="4" t="s">
        <v>490</v>
      </c>
      <c r="G334" s="8" t="n">
        <v>84.3</v>
      </c>
    </row>
    <row r="335" customFormat="false" ht="15" hidden="false" customHeight="false" outlineLevel="0" collapsed="false">
      <c r="A335" s="4" t="s">
        <v>1131</v>
      </c>
      <c r="B335" s="4" t="s">
        <v>1132</v>
      </c>
      <c r="C335" s="4" t="s">
        <v>24</v>
      </c>
      <c r="D335" s="4" t="s">
        <v>468</v>
      </c>
      <c r="E335" s="6" t="n">
        <v>45634</v>
      </c>
      <c r="F335" s="4" t="s">
        <v>490</v>
      </c>
      <c r="G335" s="8" t="n">
        <v>43.6</v>
      </c>
    </row>
    <row r="336" customFormat="false" ht="15" hidden="false" customHeight="false" outlineLevel="0" collapsed="false">
      <c r="A336" s="4" t="s">
        <v>1133</v>
      </c>
      <c r="B336" s="4" t="s">
        <v>1134</v>
      </c>
      <c r="C336" s="4" t="s">
        <v>30</v>
      </c>
      <c r="D336" s="4" t="s">
        <v>448</v>
      </c>
      <c r="E336" s="6" t="n">
        <v>45061</v>
      </c>
      <c r="F336" s="4" t="s">
        <v>490</v>
      </c>
      <c r="G336" s="8" t="n">
        <v>60.7</v>
      </c>
    </row>
    <row r="337" customFormat="false" ht="15" hidden="false" customHeight="false" outlineLevel="0" collapsed="false">
      <c r="A337" s="4" t="s">
        <v>1135</v>
      </c>
      <c r="B337" s="4" t="s">
        <v>1136</v>
      </c>
      <c r="C337" s="4" t="s">
        <v>12</v>
      </c>
      <c r="D337" s="4" t="s">
        <v>458</v>
      </c>
      <c r="E337" s="6" t="n">
        <v>45117</v>
      </c>
      <c r="F337" s="4" t="s">
        <v>543</v>
      </c>
      <c r="G337" s="8" t="n">
        <v>96.5</v>
      </c>
    </row>
    <row r="338" customFormat="false" ht="15" hidden="false" customHeight="false" outlineLevel="0" collapsed="false">
      <c r="A338" s="4" t="s">
        <v>1137</v>
      </c>
      <c r="B338" s="4" t="s">
        <v>1138</v>
      </c>
      <c r="C338" s="4" t="s">
        <v>18</v>
      </c>
      <c r="D338" s="4" t="s">
        <v>468</v>
      </c>
      <c r="E338" s="6" t="n">
        <v>45842</v>
      </c>
      <c r="F338" s="4" t="s">
        <v>465</v>
      </c>
      <c r="G338" s="8" t="n">
        <v>78.4</v>
      </c>
    </row>
    <row r="339" customFormat="false" ht="15" hidden="false" customHeight="false" outlineLevel="0" collapsed="false">
      <c r="A339" s="4" t="s">
        <v>1139</v>
      </c>
      <c r="B339" s="4" t="s">
        <v>1140</v>
      </c>
      <c r="C339" s="4" t="s">
        <v>18</v>
      </c>
      <c r="D339" s="4" t="s">
        <v>458</v>
      </c>
      <c r="E339" s="6" t="n">
        <v>44979</v>
      </c>
      <c r="F339" s="4" t="s">
        <v>469</v>
      </c>
      <c r="G339" s="8" t="n">
        <v>78.8</v>
      </c>
    </row>
    <row r="340" customFormat="false" ht="15" hidden="false" customHeight="false" outlineLevel="0" collapsed="false">
      <c r="A340" s="4" t="s">
        <v>1141</v>
      </c>
      <c r="B340" s="4" t="s">
        <v>1142</v>
      </c>
      <c r="C340" s="4" t="s">
        <v>18</v>
      </c>
      <c r="D340" s="4" t="s">
        <v>489</v>
      </c>
      <c r="E340" s="6" t="n">
        <v>44649</v>
      </c>
      <c r="F340" s="4" t="s">
        <v>465</v>
      </c>
      <c r="G340" s="8" t="n">
        <v>99.7</v>
      </c>
    </row>
    <row r="341" customFormat="false" ht="15" hidden="false" customHeight="false" outlineLevel="0" collapsed="false">
      <c r="A341" s="4" t="s">
        <v>1143</v>
      </c>
      <c r="B341" s="4" t="s">
        <v>1144</v>
      </c>
      <c r="C341" s="4" t="s">
        <v>12</v>
      </c>
      <c r="D341" s="4" t="s">
        <v>489</v>
      </c>
      <c r="E341" s="6" t="n">
        <v>45721</v>
      </c>
      <c r="F341" s="4" t="s">
        <v>550</v>
      </c>
      <c r="G341" s="8" t="n">
        <v>21.8</v>
      </c>
    </row>
    <row r="342" customFormat="false" ht="15" hidden="false" customHeight="false" outlineLevel="0" collapsed="false">
      <c r="A342" s="4" t="s">
        <v>1145</v>
      </c>
      <c r="B342" s="4" t="s">
        <v>1146</v>
      </c>
      <c r="C342" s="4" t="s">
        <v>18</v>
      </c>
      <c r="D342" s="4" t="s">
        <v>489</v>
      </c>
      <c r="E342" s="6" t="n">
        <v>45506</v>
      </c>
      <c r="F342" s="4" t="s">
        <v>462</v>
      </c>
      <c r="G342" s="8" t="n">
        <v>50.4</v>
      </c>
    </row>
    <row r="343" customFormat="false" ht="15" hidden="false" customHeight="false" outlineLevel="0" collapsed="false">
      <c r="A343" s="4" t="s">
        <v>1147</v>
      </c>
      <c r="B343" s="4" t="s">
        <v>1148</v>
      </c>
      <c r="C343" s="4" t="s">
        <v>18</v>
      </c>
      <c r="D343" s="4" t="s">
        <v>448</v>
      </c>
      <c r="E343" s="6" t="n">
        <v>44865</v>
      </c>
      <c r="F343" s="4" t="s">
        <v>462</v>
      </c>
      <c r="G343" s="8" t="n">
        <v>16.3</v>
      </c>
    </row>
    <row r="344" customFormat="false" ht="15" hidden="false" customHeight="false" outlineLevel="0" collapsed="false">
      <c r="A344" s="4" t="s">
        <v>1149</v>
      </c>
      <c r="B344" s="4" t="s">
        <v>1150</v>
      </c>
      <c r="C344" s="4" t="s">
        <v>24</v>
      </c>
      <c r="D344" s="4" t="s">
        <v>458</v>
      </c>
      <c r="E344" s="6" t="n">
        <v>44133</v>
      </c>
      <c r="F344" s="4" t="s">
        <v>459</v>
      </c>
      <c r="G344" s="8" t="n">
        <v>99.1</v>
      </c>
    </row>
    <row r="345" customFormat="false" ht="15" hidden="false" customHeight="false" outlineLevel="0" collapsed="false">
      <c r="A345" s="4" t="s">
        <v>1151</v>
      </c>
      <c r="B345" s="4" t="s">
        <v>1152</v>
      </c>
      <c r="C345" s="4" t="s">
        <v>24</v>
      </c>
      <c r="D345" s="4" t="s">
        <v>458</v>
      </c>
      <c r="E345" s="6" t="n">
        <v>46019</v>
      </c>
      <c r="F345" s="4" t="s">
        <v>524</v>
      </c>
      <c r="G345" s="8" t="n">
        <v>92.4</v>
      </c>
    </row>
    <row r="346" customFormat="false" ht="15" hidden="false" customHeight="false" outlineLevel="0" collapsed="false">
      <c r="A346" s="4" t="s">
        <v>1153</v>
      </c>
      <c r="B346" s="4" t="s">
        <v>1154</v>
      </c>
      <c r="C346" s="4" t="s">
        <v>24</v>
      </c>
      <c r="D346" s="4" t="s">
        <v>489</v>
      </c>
      <c r="E346" s="6" t="n">
        <v>45303</v>
      </c>
      <c r="F346" s="4" t="s">
        <v>550</v>
      </c>
      <c r="G346" s="8" t="n">
        <v>89.7</v>
      </c>
    </row>
    <row r="347" customFormat="false" ht="15" hidden="false" customHeight="false" outlineLevel="0" collapsed="false">
      <c r="A347" s="4" t="s">
        <v>1155</v>
      </c>
      <c r="B347" s="4" t="s">
        <v>1156</v>
      </c>
      <c r="C347" s="4" t="s">
        <v>30</v>
      </c>
      <c r="D347" s="4" t="s">
        <v>489</v>
      </c>
      <c r="E347" s="6" t="n">
        <v>44278</v>
      </c>
      <c r="F347" s="4" t="s">
        <v>480</v>
      </c>
      <c r="G347" s="8" t="n">
        <v>25.6</v>
      </c>
    </row>
    <row r="348" customFormat="false" ht="15" hidden="false" customHeight="false" outlineLevel="0" collapsed="false">
      <c r="A348" s="4" t="s">
        <v>1157</v>
      </c>
      <c r="B348" s="4" t="s">
        <v>1158</v>
      </c>
      <c r="C348" s="4" t="s">
        <v>18</v>
      </c>
      <c r="D348" s="4" t="s">
        <v>448</v>
      </c>
      <c r="E348" s="6" t="n">
        <v>44012</v>
      </c>
      <c r="F348" s="4" t="s">
        <v>465</v>
      </c>
      <c r="G348" s="8" t="n">
        <v>98.4</v>
      </c>
    </row>
    <row r="349" customFormat="false" ht="15" hidden="false" customHeight="false" outlineLevel="0" collapsed="false">
      <c r="A349" s="4" t="s">
        <v>1159</v>
      </c>
      <c r="B349" s="4" t="s">
        <v>1160</v>
      </c>
      <c r="C349" s="4" t="s">
        <v>24</v>
      </c>
      <c r="D349" s="4" t="s">
        <v>468</v>
      </c>
      <c r="E349" s="6" t="n">
        <v>45594</v>
      </c>
      <c r="F349" s="4" t="s">
        <v>452</v>
      </c>
      <c r="G349" s="8" t="n">
        <v>2</v>
      </c>
    </row>
    <row r="350" customFormat="false" ht="15" hidden="false" customHeight="false" outlineLevel="0" collapsed="false">
      <c r="A350" s="4" t="s">
        <v>1161</v>
      </c>
      <c r="B350" s="4" t="s">
        <v>1162</v>
      </c>
      <c r="C350" s="4" t="s">
        <v>18</v>
      </c>
      <c r="D350" s="4" t="s">
        <v>448</v>
      </c>
      <c r="E350" s="6" t="n">
        <v>45922</v>
      </c>
      <c r="F350" s="4" t="s">
        <v>550</v>
      </c>
      <c r="G350" s="8" t="n">
        <v>52.4</v>
      </c>
    </row>
    <row r="351" customFormat="false" ht="15" hidden="false" customHeight="false" outlineLevel="0" collapsed="false">
      <c r="A351" s="4" t="s">
        <v>1163</v>
      </c>
      <c r="B351" s="4" t="s">
        <v>1164</v>
      </c>
      <c r="C351" s="4" t="s">
        <v>30</v>
      </c>
      <c r="D351" s="4" t="s">
        <v>448</v>
      </c>
      <c r="E351" s="6" t="n">
        <v>45656</v>
      </c>
      <c r="F351" s="4" t="s">
        <v>490</v>
      </c>
      <c r="G351" s="8" t="n">
        <v>39.7</v>
      </c>
    </row>
    <row r="352" customFormat="false" ht="15" hidden="false" customHeight="false" outlineLevel="0" collapsed="false">
      <c r="A352" s="4" t="s">
        <v>1165</v>
      </c>
      <c r="B352" s="4" t="s">
        <v>1166</v>
      </c>
      <c r="C352" s="4" t="s">
        <v>30</v>
      </c>
      <c r="D352" s="4" t="s">
        <v>448</v>
      </c>
      <c r="E352" s="6" t="n">
        <v>45243</v>
      </c>
      <c r="F352" s="4" t="s">
        <v>475</v>
      </c>
      <c r="G352" s="8" t="n">
        <v>48.8</v>
      </c>
    </row>
    <row r="353" customFormat="false" ht="15" hidden="false" customHeight="false" outlineLevel="0" collapsed="false">
      <c r="A353" s="4" t="s">
        <v>1167</v>
      </c>
      <c r="B353" s="4" t="s">
        <v>1168</v>
      </c>
      <c r="C353" s="4" t="s">
        <v>18</v>
      </c>
      <c r="D353" s="4" t="s">
        <v>458</v>
      </c>
      <c r="E353" s="6" t="n">
        <v>44182</v>
      </c>
      <c r="F353" s="4" t="s">
        <v>452</v>
      </c>
      <c r="G353" s="8" t="n">
        <v>83.3</v>
      </c>
    </row>
    <row r="354" customFormat="false" ht="15" hidden="false" customHeight="false" outlineLevel="0" collapsed="false">
      <c r="A354" s="4" t="s">
        <v>1169</v>
      </c>
      <c r="B354" s="4" t="s">
        <v>1170</v>
      </c>
      <c r="C354" s="4" t="s">
        <v>12</v>
      </c>
      <c r="D354" s="4" t="s">
        <v>468</v>
      </c>
      <c r="E354" s="6" t="n">
        <v>45108</v>
      </c>
      <c r="F354" s="4" t="s">
        <v>490</v>
      </c>
      <c r="G354" s="8" t="n">
        <v>46.1</v>
      </c>
    </row>
    <row r="355" customFormat="false" ht="15" hidden="false" customHeight="false" outlineLevel="0" collapsed="false">
      <c r="A355" s="4" t="s">
        <v>1171</v>
      </c>
      <c r="B355" s="4" t="s">
        <v>1172</v>
      </c>
      <c r="C355" s="4" t="s">
        <v>12</v>
      </c>
      <c r="D355" s="4" t="s">
        <v>458</v>
      </c>
      <c r="E355" s="6" t="n">
        <v>45257</v>
      </c>
      <c r="F355" s="4" t="s">
        <v>459</v>
      </c>
      <c r="G355" s="8" t="n">
        <v>10.7</v>
      </c>
    </row>
    <row r="356" customFormat="false" ht="15" hidden="false" customHeight="false" outlineLevel="0" collapsed="false">
      <c r="A356" s="4" t="s">
        <v>1173</v>
      </c>
      <c r="B356" s="4" t="s">
        <v>1174</v>
      </c>
      <c r="C356" s="4" t="s">
        <v>24</v>
      </c>
      <c r="D356" s="4" t="s">
        <v>468</v>
      </c>
      <c r="E356" s="6" t="n">
        <v>44106</v>
      </c>
      <c r="F356" s="4" t="s">
        <v>495</v>
      </c>
      <c r="G356" s="8" t="n">
        <v>5.4</v>
      </c>
    </row>
    <row r="357" customFormat="false" ht="15" hidden="false" customHeight="false" outlineLevel="0" collapsed="false">
      <c r="A357" s="4" t="s">
        <v>1175</v>
      </c>
      <c r="B357" s="4" t="s">
        <v>1176</v>
      </c>
      <c r="C357" s="4" t="s">
        <v>6</v>
      </c>
      <c r="D357" s="4" t="s">
        <v>489</v>
      </c>
      <c r="E357" s="6" t="n">
        <v>45236</v>
      </c>
      <c r="F357" s="4" t="s">
        <v>462</v>
      </c>
      <c r="G357" s="8" t="n">
        <v>11.8</v>
      </c>
    </row>
    <row r="358" customFormat="false" ht="15" hidden="false" customHeight="false" outlineLevel="0" collapsed="false">
      <c r="A358" s="4" t="s">
        <v>1177</v>
      </c>
      <c r="B358" s="4" t="s">
        <v>1178</v>
      </c>
      <c r="C358" s="4" t="s">
        <v>12</v>
      </c>
      <c r="D358" s="4" t="s">
        <v>448</v>
      </c>
      <c r="E358" s="6" t="n">
        <v>45944</v>
      </c>
      <c r="F358" s="4" t="s">
        <v>543</v>
      </c>
      <c r="G358" s="8" t="n">
        <v>55.6</v>
      </c>
    </row>
    <row r="359" customFormat="false" ht="15" hidden="false" customHeight="false" outlineLevel="0" collapsed="false">
      <c r="A359" s="4" t="s">
        <v>1179</v>
      </c>
      <c r="B359" s="4" t="s">
        <v>1180</v>
      </c>
      <c r="C359" s="4" t="s">
        <v>18</v>
      </c>
      <c r="D359" s="4" t="s">
        <v>458</v>
      </c>
      <c r="E359" s="6" t="n">
        <v>45723</v>
      </c>
      <c r="F359" s="4" t="s">
        <v>472</v>
      </c>
      <c r="G359" s="8" t="n">
        <v>80</v>
      </c>
    </row>
    <row r="360" customFormat="false" ht="15" hidden="false" customHeight="false" outlineLevel="0" collapsed="false">
      <c r="A360" s="4" t="s">
        <v>1181</v>
      </c>
      <c r="B360" s="4" t="s">
        <v>1182</v>
      </c>
      <c r="C360" s="4" t="s">
        <v>12</v>
      </c>
      <c r="D360" s="4" t="s">
        <v>448</v>
      </c>
      <c r="E360" s="6" t="n">
        <v>45601</v>
      </c>
      <c r="F360" s="4" t="s">
        <v>449</v>
      </c>
      <c r="G360" s="8" t="n">
        <v>3.9</v>
      </c>
    </row>
    <row r="361" customFormat="false" ht="15" hidden="false" customHeight="false" outlineLevel="0" collapsed="false">
      <c r="A361" s="4" t="s">
        <v>1183</v>
      </c>
      <c r="B361" s="4" t="s">
        <v>1184</v>
      </c>
      <c r="C361" s="4" t="s">
        <v>30</v>
      </c>
      <c r="D361" s="4" t="s">
        <v>448</v>
      </c>
      <c r="E361" s="6" t="n">
        <v>45672</v>
      </c>
      <c r="F361" s="4" t="s">
        <v>465</v>
      </c>
      <c r="G361" s="8" t="n">
        <v>43.5</v>
      </c>
    </row>
    <row r="362" customFormat="false" ht="15" hidden="false" customHeight="false" outlineLevel="0" collapsed="false">
      <c r="A362" s="4" t="s">
        <v>1185</v>
      </c>
      <c r="B362" s="4" t="s">
        <v>1186</v>
      </c>
      <c r="C362" s="4" t="s">
        <v>6</v>
      </c>
      <c r="D362" s="4" t="s">
        <v>448</v>
      </c>
      <c r="E362" s="6" t="n">
        <v>44673</v>
      </c>
      <c r="F362" s="4" t="s">
        <v>495</v>
      </c>
      <c r="G362" s="8" t="n">
        <v>75.5</v>
      </c>
    </row>
    <row r="363" customFormat="false" ht="15" hidden="false" customHeight="false" outlineLevel="0" collapsed="false">
      <c r="A363" s="4" t="s">
        <v>1187</v>
      </c>
      <c r="B363" s="4" t="s">
        <v>1188</v>
      </c>
      <c r="C363" s="4" t="s">
        <v>6</v>
      </c>
      <c r="D363" s="4" t="s">
        <v>489</v>
      </c>
      <c r="E363" s="6" t="n">
        <v>46030</v>
      </c>
      <c r="F363" s="4" t="s">
        <v>543</v>
      </c>
      <c r="G363" s="8" t="n">
        <v>37.2</v>
      </c>
    </row>
    <row r="364" customFormat="false" ht="15" hidden="false" customHeight="false" outlineLevel="0" collapsed="false">
      <c r="A364" s="4" t="s">
        <v>1189</v>
      </c>
      <c r="B364" s="4" t="s">
        <v>1190</v>
      </c>
      <c r="C364" s="4" t="s">
        <v>12</v>
      </c>
      <c r="D364" s="4" t="s">
        <v>458</v>
      </c>
      <c r="E364" s="6" t="n">
        <v>44297</v>
      </c>
      <c r="F364" s="4" t="s">
        <v>495</v>
      </c>
      <c r="G364" s="8" t="n">
        <v>67.4</v>
      </c>
    </row>
    <row r="365" customFormat="false" ht="15" hidden="false" customHeight="false" outlineLevel="0" collapsed="false">
      <c r="A365" s="4" t="s">
        <v>1191</v>
      </c>
      <c r="B365" s="4" t="s">
        <v>1192</v>
      </c>
      <c r="C365" s="4" t="s">
        <v>24</v>
      </c>
      <c r="D365" s="4" t="s">
        <v>468</v>
      </c>
      <c r="E365" s="6" t="n">
        <v>45422</v>
      </c>
      <c r="F365" s="4" t="s">
        <v>465</v>
      </c>
      <c r="G365" s="8" t="n">
        <v>39.9</v>
      </c>
    </row>
    <row r="366" customFormat="false" ht="15" hidden="false" customHeight="false" outlineLevel="0" collapsed="false">
      <c r="A366" s="4" t="s">
        <v>1193</v>
      </c>
      <c r="B366" s="4" t="s">
        <v>1194</v>
      </c>
      <c r="C366" s="4" t="s">
        <v>6</v>
      </c>
      <c r="D366" s="4" t="s">
        <v>468</v>
      </c>
      <c r="E366" s="6" t="n">
        <v>45272</v>
      </c>
      <c r="F366" s="4" t="s">
        <v>469</v>
      </c>
      <c r="G366" s="8" t="n">
        <v>46.3</v>
      </c>
    </row>
    <row r="367" customFormat="false" ht="15" hidden="false" customHeight="false" outlineLevel="0" collapsed="false">
      <c r="A367" s="4" t="s">
        <v>1195</v>
      </c>
      <c r="B367" s="4" t="s">
        <v>1196</v>
      </c>
      <c r="C367" s="4" t="s">
        <v>12</v>
      </c>
      <c r="D367" s="4" t="s">
        <v>468</v>
      </c>
      <c r="E367" s="6" t="n">
        <v>44178</v>
      </c>
      <c r="F367" s="4" t="s">
        <v>462</v>
      </c>
      <c r="G367" s="8" t="n">
        <v>14.3</v>
      </c>
    </row>
    <row r="368" customFormat="false" ht="15" hidden="false" customHeight="false" outlineLevel="0" collapsed="false">
      <c r="A368" s="4" t="s">
        <v>1197</v>
      </c>
      <c r="B368" s="4" t="s">
        <v>1198</v>
      </c>
      <c r="C368" s="4" t="s">
        <v>6</v>
      </c>
      <c r="D368" s="4" t="s">
        <v>448</v>
      </c>
      <c r="E368" s="6" t="n">
        <v>45081</v>
      </c>
      <c r="F368" s="4" t="s">
        <v>452</v>
      </c>
      <c r="G368" s="8" t="n">
        <v>19.1</v>
      </c>
    </row>
    <row r="369" customFormat="false" ht="15" hidden="false" customHeight="false" outlineLevel="0" collapsed="false">
      <c r="A369" s="4" t="s">
        <v>1199</v>
      </c>
      <c r="B369" s="4" t="s">
        <v>1200</v>
      </c>
      <c r="C369" s="4" t="s">
        <v>12</v>
      </c>
      <c r="D369" s="4" t="s">
        <v>458</v>
      </c>
      <c r="E369" s="6" t="n">
        <v>45544</v>
      </c>
      <c r="F369" s="4" t="s">
        <v>465</v>
      </c>
      <c r="G369" s="8" t="n">
        <v>14.6</v>
      </c>
    </row>
    <row r="370" customFormat="false" ht="15" hidden="false" customHeight="false" outlineLevel="0" collapsed="false">
      <c r="A370" s="4" t="s">
        <v>1201</v>
      </c>
      <c r="B370" s="4" t="s">
        <v>1202</v>
      </c>
      <c r="C370" s="4" t="s">
        <v>24</v>
      </c>
      <c r="D370" s="4" t="s">
        <v>458</v>
      </c>
      <c r="E370" s="6" t="n">
        <v>44591</v>
      </c>
      <c r="F370" s="4" t="s">
        <v>459</v>
      </c>
      <c r="G370" s="8" t="n">
        <v>63.9</v>
      </c>
    </row>
    <row r="371" customFormat="false" ht="15" hidden="false" customHeight="false" outlineLevel="0" collapsed="false">
      <c r="A371" s="4" t="s">
        <v>1203</v>
      </c>
      <c r="B371" s="4" t="s">
        <v>1204</v>
      </c>
      <c r="C371" s="4" t="s">
        <v>12</v>
      </c>
      <c r="D371" s="4" t="s">
        <v>448</v>
      </c>
      <c r="E371" s="6" t="n">
        <v>45836</v>
      </c>
      <c r="F371" s="4" t="s">
        <v>495</v>
      </c>
      <c r="G371" s="8" t="n">
        <v>14.9</v>
      </c>
    </row>
    <row r="372" customFormat="false" ht="15" hidden="false" customHeight="false" outlineLevel="0" collapsed="false">
      <c r="A372" s="4" t="s">
        <v>1205</v>
      </c>
      <c r="B372" s="4" t="s">
        <v>1206</v>
      </c>
      <c r="C372" s="4" t="s">
        <v>18</v>
      </c>
      <c r="D372" s="4" t="s">
        <v>458</v>
      </c>
      <c r="E372" s="6" t="n">
        <v>44050</v>
      </c>
      <c r="F372" s="4" t="s">
        <v>469</v>
      </c>
      <c r="G372" s="8" t="n">
        <v>36.5</v>
      </c>
    </row>
    <row r="373" customFormat="false" ht="15" hidden="false" customHeight="false" outlineLevel="0" collapsed="false">
      <c r="A373" s="4" t="s">
        <v>1207</v>
      </c>
      <c r="B373" s="4" t="s">
        <v>1208</v>
      </c>
      <c r="C373" s="4" t="s">
        <v>6</v>
      </c>
      <c r="D373" s="4" t="s">
        <v>458</v>
      </c>
      <c r="E373" s="6" t="n">
        <v>44390</v>
      </c>
      <c r="F373" s="4" t="s">
        <v>472</v>
      </c>
      <c r="G373" s="8" t="n">
        <v>81.7</v>
      </c>
    </row>
    <row r="374" customFormat="false" ht="15" hidden="false" customHeight="false" outlineLevel="0" collapsed="false">
      <c r="A374" s="4" t="s">
        <v>1209</v>
      </c>
      <c r="B374" s="4" t="s">
        <v>1210</v>
      </c>
      <c r="C374" s="4" t="s">
        <v>30</v>
      </c>
      <c r="D374" s="4" t="s">
        <v>458</v>
      </c>
      <c r="E374" s="6" t="n">
        <v>45506</v>
      </c>
      <c r="F374" s="4" t="s">
        <v>462</v>
      </c>
      <c r="G374" s="8" t="n">
        <v>49.7</v>
      </c>
    </row>
    <row r="375" customFormat="false" ht="15" hidden="false" customHeight="false" outlineLevel="0" collapsed="false">
      <c r="A375" s="4" t="s">
        <v>1211</v>
      </c>
      <c r="B375" s="4" t="s">
        <v>1212</v>
      </c>
      <c r="C375" s="4" t="s">
        <v>24</v>
      </c>
      <c r="D375" s="4" t="s">
        <v>458</v>
      </c>
      <c r="E375" s="6" t="n">
        <v>44516</v>
      </c>
      <c r="F375" s="4" t="s">
        <v>452</v>
      </c>
      <c r="G375" s="8" t="n">
        <v>57</v>
      </c>
    </row>
    <row r="376" customFormat="false" ht="15" hidden="false" customHeight="false" outlineLevel="0" collapsed="false">
      <c r="A376" s="4" t="s">
        <v>1213</v>
      </c>
      <c r="B376" s="4" t="s">
        <v>1214</v>
      </c>
      <c r="C376" s="4" t="s">
        <v>12</v>
      </c>
      <c r="D376" s="4" t="s">
        <v>468</v>
      </c>
      <c r="E376" s="6" t="n">
        <v>43964</v>
      </c>
      <c r="F376" s="4" t="s">
        <v>495</v>
      </c>
      <c r="G376" s="8" t="n">
        <v>23.3</v>
      </c>
    </row>
    <row r="377" customFormat="false" ht="15" hidden="false" customHeight="false" outlineLevel="0" collapsed="false">
      <c r="A377" s="4" t="s">
        <v>1215</v>
      </c>
      <c r="B377" s="4" t="s">
        <v>1216</v>
      </c>
      <c r="C377" s="4" t="s">
        <v>18</v>
      </c>
      <c r="D377" s="4" t="s">
        <v>448</v>
      </c>
      <c r="E377" s="6" t="n">
        <v>45704</v>
      </c>
      <c r="F377" s="4" t="s">
        <v>465</v>
      </c>
      <c r="G377" s="8" t="n">
        <v>74.5</v>
      </c>
    </row>
    <row r="378" customFormat="false" ht="15" hidden="false" customHeight="false" outlineLevel="0" collapsed="false">
      <c r="A378" s="4" t="s">
        <v>1217</v>
      </c>
      <c r="B378" s="4" t="s">
        <v>1218</v>
      </c>
      <c r="C378" s="4" t="s">
        <v>24</v>
      </c>
      <c r="D378" s="4" t="s">
        <v>489</v>
      </c>
      <c r="E378" s="6" t="n">
        <v>44298</v>
      </c>
      <c r="F378" s="4" t="s">
        <v>495</v>
      </c>
      <c r="G378" s="8" t="n">
        <v>77.7</v>
      </c>
    </row>
    <row r="379" customFormat="false" ht="15" hidden="false" customHeight="false" outlineLevel="0" collapsed="false">
      <c r="A379" s="4" t="s">
        <v>1219</v>
      </c>
      <c r="B379" s="4" t="s">
        <v>1220</v>
      </c>
      <c r="C379" s="4" t="s">
        <v>18</v>
      </c>
      <c r="D379" s="4" t="s">
        <v>489</v>
      </c>
      <c r="E379" s="6" t="n">
        <v>45638</v>
      </c>
      <c r="F379" s="4" t="s">
        <v>524</v>
      </c>
      <c r="G379" s="8" t="n">
        <v>22.6</v>
      </c>
    </row>
    <row r="380" customFormat="false" ht="15" hidden="false" customHeight="false" outlineLevel="0" collapsed="false">
      <c r="A380" s="4" t="s">
        <v>1221</v>
      </c>
      <c r="B380" s="4" t="s">
        <v>1222</v>
      </c>
      <c r="C380" s="4" t="s">
        <v>24</v>
      </c>
      <c r="D380" s="4" t="s">
        <v>489</v>
      </c>
      <c r="E380" s="6" t="n">
        <v>44844</v>
      </c>
      <c r="F380" s="4" t="s">
        <v>495</v>
      </c>
      <c r="G380" s="8" t="n">
        <v>87.6</v>
      </c>
    </row>
    <row r="381" customFormat="false" ht="15" hidden="false" customHeight="false" outlineLevel="0" collapsed="false">
      <c r="A381" s="4" t="s">
        <v>1223</v>
      </c>
      <c r="B381" s="4" t="s">
        <v>1224</v>
      </c>
      <c r="C381" s="4" t="s">
        <v>6</v>
      </c>
      <c r="D381" s="4" t="s">
        <v>458</v>
      </c>
      <c r="E381" s="6" t="n">
        <v>44907</v>
      </c>
      <c r="F381" s="4" t="s">
        <v>490</v>
      </c>
      <c r="G381" s="8" t="n">
        <v>86.4</v>
      </c>
    </row>
    <row r="382" customFormat="false" ht="15" hidden="false" customHeight="false" outlineLevel="0" collapsed="false">
      <c r="A382" s="4" t="s">
        <v>1225</v>
      </c>
      <c r="B382" s="4" t="s">
        <v>1226</v>
      </c>
      <c r="C382" s="4" t="s">
        <v>6</v>
      </c>
      <c r="D382" s="4" t="s">
        <v>458</v>
      </c>
      <c r="E382" s="6" t="n">
        <v>44311</v>
      </c>
      <c r="F382" s="4" t="s">
        <v>480</v>
      </c>
      <c r="G382" s="8" t="n">
        <v>81.4</v>
      </c>
    </row>
    <row r="383" customFormat="false" ht="15" hidden="false" customHeight="false" outlineLevel="0" collapsed="false">
      <c r="A383" s="4" t="s">
        <v>1227</v>
      </c>
      <c r="B383" s="4" t="s">
        <v>1228</v>
      </c>
      <c r="C383" s="4" t="s">
        <v>12</v>
      </c>
      <c r="D383" s="4" t="s">
        <v>468</v>
      </c>
      <c r="E383" s="6" t="n">
        <v>45584</v>
      </c>
      <c r="F383" s="4" t="s">
        <v>543</v>
      </c>
      <c r="G383" s="8" t="n">
        <v>62</v>
      </c>
    </row>
    <row r="384" customFormat="false" ht="15" hidden="false" customHeight="false" outlineLevel="0" collapsed="false">
      <c r="A384" s="4" t="s">
        <v>1229</v>
      </c>
      <c r="B384" s="4" t="s">
        <v>1230</v>
      </c>
      <c r="C384" s="4" t="s">
        <v>12</v>
      </c>
      <c r="D384" s="4" t="s">
        <v>448</v>
      </c>
      <c r="E384" s="6" t="n">
        <v>44074</v>
      </c>
      <c r="F384" s="4" t="s">
        <v>465</v>
      </c>
      <c r="G384" s="8" t="n">
        <v>35.7</v>
      </c>
    </row>
    <row r="385" customFormat="false" ht="15" hidden="false" customHeight="false" outlineLevel="0" collapsed="false">
      <c r="A385" s="4" t="s">
        <v>1231</v>
      </c>
      <c r="B385" s="4" t="s">
        <v>1232</v>
      </c>
      <c r="C385" s="4" t="s">
        <v>18</v>
      </c>
      <c r="D385" s="4" t="s">
        <v>448</v>
      </c>
      <c r="E385" s="6" t="n">
        <v>45156</v>
      </c>
      <c r="F385" s="4" t="s">
        <v>550</v>
      </c>
      <c r="G385" s="8" t="n">
        <v>30</v>
      </c>
    </row>
    <row r="386" customFormat="false" ht="15" hidden="false" customHeight="false" outlineLevel="0" collapsed="false">
      <c r="A386" s="4" t="s">
        <v>1233</v>
      </c>
      <c r="B386" s="4" t="s">
        <v>1234</v>
      </c>
      <c r="C386" s="4" t="s">
        <v>30</v>
      </c>
      <c r="D386" s="4" t="s">
        <v>468</v>
      </c>
      <c r="E386" s="6" t="n">
        <v>45938</v>
      </c>
      <c r="F386" s="4" t="s">
        <v>455</v>
      </c>
      <c r="G386" s="8" t="n">
        <v>68.3</v>
      </c>
    </row>
    <row r="387" customFormat="false" ht="15" hidden="false" customHeight="false" outlineLevel="0" collapsed="false">
      <c r="A387" s="4" t="s">
        <v>1235</v>
      </c>
      <c r="B387" s="4" t="s">
        <v>1236</v>
      </c>
      <c r="C387" s="4" t="s">
        <v>6</v>
      </c>
      <c r="D387" s="4" t="s">
        <v>448</v>
      </c>
      <c r="E387" s="6" t="n">
        <v>45516</v>
      </c>
      <c r="F387" s="4" t="s">
        <v>455</v>
      </c>
      <c r="G387" s="8" t="n">
        <v>6.9</v>
      </c>
    </row>
    <row r="388" customFormat="false" ht="15" hidden="false" customHeight="false" outlineLevel="0" collapsed="false">
      <c r="A388" s="4" t="s">
        <v>1237</v>
      </c>
      <c r="B388" s="4" t="s">
        <v>1238</v>
      </c>
      <c r="C388" s="4" t="s">
        <v>18</v>
      </c>
      <c r="D388" s="4" t="s">
        <v>448</v>
      </c>
      <c r="E388" s="6" t="n">
        <v>44374</v>
      </c>
      <c r="F388" s="4" t="s">
        <v>472</v>
      </c>
      <c r="G388" s="8" t="n">
        <v>15.5</v>
      </c>
    </row>
    <row r="389" customFormat="false" ht="15" hidden="false" customHeight="false" outlineLevel="0" collapsed="false">
      <c r="A389" s="4" t="s">
        <v>1239</v>
      </c>
      <c r="B389" s="4" t="s">
        <v>1240</v>
      </c>
      <c r="C389" s="4" t="s">
        <v>18</v>
      </c>
      <c r="D389" s="4" t="s">
        <v>448</v>
      </c>
      <c r="E389" s="6" t="n">
        <v>45439</v>
      </c>
      <c r="F389" s="4" t="s">
        <v>459</v>
      </c>
      <c r="G389" s="8" t="n">
        <v>15.1</v>
      </c>
    </row>
    <row r="390" customFormat="false" ht="15" hidden="false" customHeight="false" outlineLevel="0" collapsed="false">
      <c r="A390" s="4" t="s">
        <v>1241</v>
      </c>
      <c r="B390" s="4" t="s">
        <v>1242</v>
      </c>
      <c r="C390" s="4" t="s">
        <v>18</v>
      </c>
      <c r="D390" s="4" t="s">
        <v>458</v>
      </c>
      <c r="E390" s="6" t="n">
        <v>45367</v>
      </c>
      <c r="F390" s="4" t="s">
        <v>459</v>
      </c>
      <c r="G390" s="8" t="n">
        <v>8.5</v>
      </c>
    </row>
    <row r="391" customFormat="false" ht="15" hidden="false" customHeight="false" outlineLevel="0" collapsed="false">
      <c r="A391" s="4" t="s">
        <v>1243</v>
      </c>
      <c r="B391" s="4" t="s">
        <v>1244</v>
      </c>
      <c r="C391" s="4" t="s">
        <v>6</v>
      </c>
      <c r="D391" s="4" t="s">
        <v>458</v>
      </c>
      <c r="E391" s="6" t="n">
        <v>45942</v>
      </c>
      <c r="F391" s="4" t="s">
        <v>550</v>
      </c>
      <c r="G391" s="8" t="n">
        <v>28.5</v>
      </c>
    </row>
    <row r="392" customFormat="false" ht="15" hidden="false" customHeight="false" outlineLevel="0" collapsed="false">
      <c r="A392" s="4" t="s">
        <v>1245</v>
      </c>
      <c r="B392" s="4" t="s">
        <v>1246</v>
      </c>
      <c r="C392" s="4" t="s">
        <v>18</v>
      </c>
      <c r="D392" s="4" t="s">
        <v>458</v>
      </c>
      <c r="E392" s="6" t="n">
        <v>45830</v>
      </c>
      <c r="F392" s="4" t="s">
        <v>490</v>
      </c>
      <c r="G392" s="8" t="n">
        <v>58.6</v>
      </c>
    </row>
    <row r="393" customFormat="false" ht="15" hidden="false" customHeight="false" outlineLevel="0" collapsed="false">
      <c r="A393" s="4" t="s">
        <v>1247</v>
      </c>
      <c r="B393" s="4" t="s">
        <v>1248</v>
      </c>
      <c r="C393" s="4" t="s">
        <v>6</v>
      </c>
      <c r="D393" s="4" t="s">
        <v>458</v>
      </c>
      <c r="E393" s="6" t="n">
        <v>45298</v>
      </c>
      <c r="F393" s="4" t="s">
        <v>469</v>
      </c>
      <c r="G393" s="8" t="n">
        <v>7.3</v>
      </c>
    </row>
    <row r="394" customFormat="false" ht="15" hidden="false" customHeight="false" outlineLevel="0" collapsed="false">
      <c r="A394" s="4" t="s">
        <v>1249</v>
      </c>
      <c r="B394" s="4" t="s">
        <v>1250</v>
      </c>
      <c r="C394" s="4" t="s">
        <v>30</v>
      </c>
      <c r="D394" s="4" t="s">
        <v>458</v>
      </c>
      <c r="E394" s="6" t="n">
        <v>44723</v>
      </c>
      <c r="F394" s="4" t="s">
        <v>449</v>
      </c>
      <c r="G394" s="8" t="n">
        <v>82.7</v>
      </c>
    </row>
    <row r="395" customFormat="false" ht="15" hidden="false" customHeight="false" outlineLevel="0" collapsed="false">
      <c r="A395" s="4" t="s">
        <v>1251</v>
      </c>
      <c r="B395" s="4" t="s">
        <v>1252</v>
      </c>
      <c r="C395" s="4" t="s">
        <v>24</v>
      </c>
      <c r="D395" s="4" t="s">
        <v>468</v>
      </c>
      <c r="E395" s="6" t="n">
        <v>45153</v>
      </c>
      <c r="F395" s="4" t="s">
        <v>469</v>
      </c>
      <c r="G395" s="8" t="n">
        <v>29.1</v>
      </c>
    </row>
    <row r="396" customFormat="false" ht="15" hidden="false" customHeight="false" outlineLevel="0" collapsed="false">
      <c r="A396" s="4" t="s">
        <v>1253</v>
      </c>
      <c r="B396" s="4" t="s">
        <v>1254</v>
      </c>
      <c r="C396" s="4" t="s">
        <v>30</v>
      </c>
      <c r="D396" s="4" t="s">
        <v>448</v>
      </c>
      <c r="E396" s="6" t="n">
        <v>45818</v>
      </c>
      <c r="F396" s="4" t="s">
        <v>480</v>
      </c>
      <c r="G396" s="8" t="n">
        <v>35</v>
      </c>
    </row>
    <row r="397" customFormat="false" ht="15" hidden="false" customHeight="false" outlineLevel="0" collapsed="false">
      <c r="A397" s="4" t="s">
        <v>1255</v>
      </c>
      <c r="B397" s="4" t="s">
        <v>1256</v>
      </c>
      <c r="C397" s="4" t="s">
        <v>6</v>
      </c>
      <c r="D397" s="4" t="s">
        <v>489</v>
      </c>
      <c r="E397" s="6" t="n">
        <v>44238</v>
      </c>
      <c r="F397" s="4" t="s">
        <v>462</v>
      </c>
      <c r="G397" s="8" t="n">
        <v>78.6</v>
      </c>
    </row>
    <row r="398" customFormat="false" ht="15" hidden="false" customHeight="false" outlineLevel="0" collapsed="false">
      <c r="A398" s="4" t="s">
        <v>1257</v>
      </c>
      <c r="B398" s="4" t="s">
        <v>1258</v>
      </c>
      <c r="C398" s="4" t="s">
        <v>24</v>
      </c>
      <c r="D398" s="4" t="s">
        <v>489</v>
      </c>
      <c r="E398" s="6" t="n">
        <v>44339</v>
      </c>
      <c r="F398" s="4" t="s">
        <v>455</v>
      </c>
      <c r="G398" s="8" t="n">
        <v>85.9</v>
      </c>
    </row>
    <row r="399" customFormat="false" ht="15" hidden="false" customHeight="false" outlineLevel="0" collapsed="false">
      <c r="A399" s="4" t="s">
        <v>1259</v>
      </c>
      <c r="B399" s="4" t="s">
        <v>1260</v>
      </c>
      <c r="C399" s="4" t="s">
        <v>24</v>
      </c>
      <c r="D399" s="4" t="s">
        <v>458</v>
      </c>
      <c r="E399" s="6" t="n">
        <v>43833</v>
      </c>
      <c r="F399" s="4" t="s">
        <v>449</v>
      </c>
      <c r="G399" s="8" t="n">
        <v>21</v>
      </c>
    </row>
    <row r="400" customFormat="false" ht="15" hidden="false" customHeight="false" outlineLevel="0" collapsed="false">
      <c r="A400" s="4" t="s">
        <v>1261</v>
      </c>
      <c r="B400" s="4" t="s">
        <v>1262</v>
      </c>
      <c r="C400" s="4" t="s">
        <v>12</v>
      </c>
      <c r="D400" s="4" t="s">
        <v>468</v>
      </c>
      <c r="E400" s="6" t="n">
        <v>44482</v>
      </c>
      <c r="F400" s="4" t="s">
        <v>469</v>
      </c>
      <c r="G400" s="8" t="n">
        <v>93.3</v>
      </c>
    </row>
    <row r="401" customFormat="false" ht="15" hidden="false" customHeight="false" outlineLevel="0" collapsed="false">
      <c r="A401" s="4" t="s">
        <v>1263</v>
      </c>
      <c r="B401" s="4" t="s">
        <v>1264</v>
      </c>
      <c r="C401" s="4" t="s">
        <v>18</v>
      </c>
      <c r="D401" s="4" t="s">
        <v>489</v>
      </c>
      <c r="E401" s="6" t="n">
        <v>45307</v>
      </c>
      <c r="F401" s="4" t="s">
        <v>495</v>
      </c>
      <c r="G401" s="8" t="n">
        <v>9.2</v>
      </c>
    </row>
    <row r="402" customFormat="false" ht="15" hidden="false" customHeight="false" outlineLevel="0" collapsed="false">
      <c r="A402" s="4" t="s">
        <v>1265</v>
      </c>
      <c r="B402" s="4" t="s">
        <v>1266</v>
      </c>
      <c r="C402" s="4" t="s">
        <v>12</v>
      </c>
      <c r="D402" s="4" t="s">
        <v>489</v>
      </c>
      <c r="E402" s="6" t="n">
        <v>45454</v>
      </c>
      <c r="F402" s="4" t="s">
        <v>462</v>
      </c>
      <c r="G402" s="8" t="n">
        <v>31.2</v>
      </c>
    </row>
    <row r="403" customFormat="false" ht="15" hidden="false" customHeight="false" outlineLevel="0" collapsed="false">
      <c r="A403" s="4" t="s">
        <v>1267</v>
      </c>
      <c r="B403" s="4" t="s">
        <v>1268</v>
      </c>
      <c r="C403" s="4" t="s">
        <v>12</v>
      </c>
      <c r="D403" s="4" t="s">
        <v>458</v>
      </c>
      <c r="E403" s="6" t="n">
        <v>44204</v>
      </c>
      <c r="F403" s="4" t="s">
        <v>550</v>
      </c>
      <c r="G403" s="8" t="n">
        <v>10.4</v>
      </c>
    </row>
    <row r="404" customFormat="false" ht="15" hidden="false" customHeight="false" outlineLevel="0" collapsed="false">
      <c r="A404" s="4" t="s">
        <v>1269</v>
      </c>
      <c r="B404" s="4" t="s">
        <v>1270</v>
      </c>
      <c r="C404" s="4" t="s">
        <v>12</v>
      </c>
      <c r="D404" s="4" t="s">
        <v>458</v>
      </c>
      <c r="E404" s="6" t="n">
        <v>44150</v>
      </c>
      <c r="F404" s="4" t="s">
        <v>543</v>
      </c>
      <c r="G404" s="8" t="n">
        <v>59.8</v>
      </c>
    </row>
    <row r="405" customFormat="false" ht="15" hidden="false" customHeight="false" outlineLevel="0" collapsed="false">
      <c r="A405" s="4" t="s">
        <v>1271</v>
      </c>
      <c r="B405" s="4" t="s">
        <v>1272</v>
      </c>
      <c r="C405" s="4" t="s">
        <v>30</v>
      </c>
      <c r="D405" s="4" t="s">
        <v>458</v>
      </c>
      <c r="E405" s="6" t="n">
        <v>43869</v>
      </c>
      <c r="F405" s="4" t="s">
        <v>475</v>
      </c>
      <c r="G405" s="8" t="n">
        <v>69.9</v>
      </c>
    </row>
    <row r="406" customFormat="false" ht="15" hidden="false" customHeight="false" outlineLevel="0" collapsed="false">
      <c r="A406" s="4" t="s">
        <v>1273</v>
      </c>
      <c r="B406" s="4" t="s">
        <v>1274</v>
      </c>
      <c r="C406" s="4" t="s">
        <v>6</v>
      </c>
      <c r="D406" s="4" t="s">
        <v>458</v>
      </c>
      <c r="E406" s="6" t="n">
        <v>44372</v>
      </c>
      <c r="F406" s="4" t="s">
        <v>459</v>
      </c>
      <c r="G406" s="8" t="n">
        <v>8</v>
      </c>
    </row>
    <row r="407" customFormat="false" ht="15" hidden="false" customHeight="false" outlineLevel="0" collapsed="false">
      <c r="A407" s="4" t="s">
        <v>1275</v>
      </c>
      <c r="B407" s="4" t="s">
        <v>1276</v>
      </c>
      <c r="C407" s="4" t="s">
        <v>24</v>
      </c>
      <c r="D407" s="4" t="s">
        <v>489</v>
      </c>
      <c r="E407" s="6" t="n">
        <v>44250</v>
      </c>
      <c r="F407" s="4" t="s">
        <v>452</v>
      </c>
      <c r="G407" s="8" t="n">
        <v>32</v>
      </c>
    </row>
    <row r="408" customFormat="false" ht="15" hidden="false" customHeight="false" outlineLevel="0" collapsed="false">
      <c r="A408" s="4" t="s">
        <v>1277</v>
      </c>
      <c r="B408" s="4" t="s">
        <v>1278</v>
      </c>
      <c r="C408" s="4" t="s">
        <v>18</v>
      </c>
      <c r="D408" s="4" t="s">
        <v>448</v>
      </c>
      <c r="E408" s="6" t="n">
        <v>45398</v>
      </c>
      <c r="F408" s="4" t="s">
        <v>480</v>
      </c>
      <c r="G408" s="8" t="n">
        <v>81.5</v>
      </c>
    </row>
    <row r="409" customFormat="false" ht="15" hidden="false" customHeight="false" outlineLevel="0" collapsed="false">
      <c r="A409" s="4" t="s">
        <v>1279</v>
      </c>
      <c r="B409" s="4" t="s">
        <v>1280</v>
      </c>
      <c r="C409" s="4" t="s">
        <v>12</v>
      </c>
      <c r="D409" s="4" t="s">
        <v>448</v>
      </c>
      <c r="E409" s="6" t="n">
        <v>44111</v>
      </c>
      <c r="F409" s="4" t="s">
        <v>524</v>
      </c>
      <c r="G409" s="8" t="n">
        <v>56.8</v>
      </c>
    </row>
    <row r="410" customFormat="false" ht="15" hidden="false" customHeight="false" outlineLevel="0" collapsed="false">
      <c r="A410" s="4" t="s">
        <v>1281</v>
      </c>
      <c r="B410" s="4" t="s">
        <v>1282</v>
      </c>
      <c r="C410" s="4" t="s">
        <v>30</v>
      </c>
      <c r="D410" s="4" t="s">
        <v>448</v>
      </c>
      <c r="E410" s="6" t="n">
        <v>45633</v>
      </c>
      <c r="F410" s="4" t="s">
        <v>490</v>
      </c>
      <c r="G410" s="8" t="n">
        <v>72.5</v>
      </c>
    </row>
    <row r="411" customFormat="false" ht="15" hidden="false" customHeight="false" outlineLevel="0" collapsed="false">
      <c r="A411" s="4" t="s">
        <v>1283</v>
      </c>
      <c r="B411" s="4" t="s">
        <v>1284</v>
      </c>
      <c r="C411" s="4" t="s">
        <v>12</v>
      </c>
      <c r="D411" s="4" t="s">
        <v>458</v>
      </c>
      <c r="E411" s="6" t="n">
        <v>45643</v>
      </c>
      <c r="F411" s="4" t="s">
        <v>469</v>
      </c>
      <c r="G411" s="8" t="n">
        <v>22.5</v>
      </c>
    </row>
    <row r="412" customFormat="false" ht="15" hidden="false" customHeight="false" outlineLevel="0" collapsed="false">
      <c r="A412" s="4" t="s">
        <v>1285</v>
      </c>
      <c r="B412" s="4" t="s">
        <v>1286</v>
      </c>
      <c r="C412" s="4" t="s">
        <v>6</v>
      </c>
      <c r="D412" s="4" t="s">
        <v>448</v>
      </c>
      <c r="E412" s="6" t="n">
        <v>44335</v>
      </c>
      <c r="F412" s="4" t="s">
        <v>465</v>
      </c>
      <c r="G412" s="8" t="n">
        <v>73.3</v>
      </c>
    </row>
    <row r="413" customFormat="false" ht="15" hidden="false" customHeight="false" outlineLevel="0" collapsed="false">
      <c r="A413" s="4" t="s">
        <v>1287</v>
      </c>
      <c r="B413" s="4" t="s">
        <v>1288</v>
      </c>
      <c r="C413" s="4" t="s">
        <v>18</v>
      </c>
      <c r="D413" s="4" t="s">
        <v>458</v>
      </c>
      <c r="E413" s="6" t="n">
        <v>45119</v>
      </c>
      <c r="F413" s="4" t="s">
        <v>480</v>
      </c>
      <c r="G413" s="8" t="n">
        <v>14.8</v>
      </c>
    </row>
    <row r="414" customFormat="false" ht="15" hidden="false" customHeight="false" outlineLevel="0" collapsed="false">
      <c r="A414" s="4" t="s">
        <v>1289</v>
      </c>
      <c r="B414" s="4" t="s">
        <v>1290</v>
      </c>
      <c r="C414" s="4" t="s">
        <v>18</v>
      </c>
      <c r="D414" s="4" t="s">
        <v>489</v>
      </c>
      <c r="E414" s="6" t="n">
        <v>44847</v>
      </c>
      <c r="F414" s="4" t="s">
        <v>524</v>
      </c>
      <c r="G414" s="8" t="n">
        <v>60.5</v>
      </c>
    </row>
    <row r="415" customFormat="false" ht="15" hidden="false" customHeight="false" outlineLevel="0" collapsed="false">
      <c r="A415" s="4" t="s">
        <v>1291</v>
      </c>
      <c r="B415" s="4" t="s">
        <v>1292</v>
      </c>
      <c r="C415" s="4" t="s">
        <v>30</v>
      </c>
      <c r="D415" s="4" t="s">
        <v>468</v>
      </c>
      <c r="E415" s="6" t="n">
        <v>43940</v>
      </c>
      <c r="F415" s="4" t="s">
        <v>469</v>
      </c>
      <c r="G415" s="8" t="n">
        <v>84.9</v>
      </c>
    </row>
    <row r="416" customFormat="false" ht="15" hidden="false" customHeight="false" outlineLevel="0" collapsed="false">
      <c r="A416" s="4" t="s">
        <v>1293</v>
      </c>
      <c r="B416" s="4" t="s">
        <v>1294</v>
      </c>
      <c r="C416" s="4" t="s">
        <v>18</v>
      </c>
      <c r="D416" s="4" t="s">
        <v>448</v>
      </c>
      <c r="E416" s="6" t="n">
        <v>45951</v>
      </c>
      <c r="F416" s="4" t="s">
        <v>465</v>
      </c>
      <c r="G416" s="8" t="n">
        <v>51.4</v>
      </c>
    </row>
    <row r="417" customFormat="false" ht="15" hidden="false" customHeight="false" outlineLevel="0" collapsed="false">
      <c r="A417" s="4" t="s">
        <v>1295</v>
      </c>
      <c r="B417" s="4" t="s">
        <v>1296</v>
      </c>
      <c r="C417" s="4" t="s">
        <v>24</v>
      </c>
      <c r="D417" s="4" t="s">
        <v>468</v>
      </c>
      <c r="E417" s="6" t="n">
        <v>44054</v>
      </c>
      <c r="F417" s="4" t="s">
        <v>480</v>
      </c>
      <c r="G417" s="8" t="n">
        <v>89.9</v>
      </c>
    </row>
    <row r="418" customFormat="false" ht="15" hidden="false" customHeight="false" outlineLevel="0" collapsed="false">
      <c r="A418" s="4" t="s">
        <v>1297</v>
      </c>
      <c r="B418" s="4" t="s">
        <v>1298</v>
      </c>
      <c r="C418" s="4" t="s">
        <v>12</v>
      </c>
      <c r="D418" s="4" t="s">
        <v>458</v>
      </c>
      <c r="E418" s="6" t="n">
        <v>45411</v>
      </c>
      <c r="F418" s="4" t="s">
        <v>452</v>
      </c>
      <c r="G418" s="8" t="n">
        <v>24.9</v>
      </c>
    </row>
    <row r="419" customFormat="false" ht="15" hidden="false" customHeight="false" outlineLevel="0" collapsed="false">
      <c r="A419" s="4" t="s">
        <v>1299</v>
      </c>
      <c r="B419" s="4" t="s">
        <v>1300</v>
      </c>
      <c r="C419" s="4" t="s">
        <v>30</v>
      </c>
      <c r="D419" s="4" t="s">
        <v>489</v>
      </c>
      <c r="E419" s="6" t="n">
        <v>45994</v>
      </c>
      <c r="F419" s="4" t="s">
        <v>455</v>
      </c>
      <c r="G419" s="8" t="n">
        <v>97.8</v>
      </c>
    </row>
    <row r="420" customFormat="false" ht="15" hidden="false" customHeight="false" outlineLevel="0" collapsed="false">
      <c r="A420" s="4" t="s">
        <v>1301</v>
      </c>
      <c r="B420" s="4" t="s">
        <v>1302</v>
      </c>
      <c r="C420" s="4" t="s">
        <v>18</v>
      </c>
      <c r="D420" s="4" t="s">
        <v>468</v>
      </c>
      <c r="E420" s="6" t="n">
        <v>44371</v>
      </c>
      <c r="F420" s="4" t="s">
        <v>449</v>
      </c>
      <c r="G420" s="8" t="n">
        <v>86.2</v>
      </c>
    </row>
    <row r="421" customFormat="false" ht="15" hidden="false" customHeight="false" outlineLevel="0" collapsed="false">
      <c r="A421" s="4" t="s">
        <v>1303</v>
      </c>
      <c r="B421" s="4" t="s">
        <v>1304</v>
      </c>
      <c r="C421" s="4" t="s">
        <v>30</v>
      </c>
      <c r="D421" s="4" t="s">
        <v>458</v>
      </c>
      <c r="E421" s="6" t="n">
        <v>45327</v>
      </c>
      <c r="F421" s="4" t="s">
        <v>524</v>
      </c>
      <c r="G421" s="8" t="n">
        <v>68.6</v>
      </c>
    </row>
    <row r="422" customFormat="false" ht="15" hidden="false" customHeight="false" outlineLevel="0" collapsed="false">
      <c r="A422" s="4" t="s">
        <v>1305</v>
      </c>
      <c r="B422" s="4" t="s">
        <v>1306</v>
      </c>
      <c r="C422" s="4" t="s">
        <v>24</v>
      </c>
      <c r="D422" s="4" t="s">
        <v>489</v>
      </c>
      <c r="E422" s="6" t="n">
        <v>43899</v>
      </c>
      <c r="F422" s="4" t="s">
        <v>465</v>
      </c>
      <c r="G422" s="8" t="n">
        <v>7.7</v>
      </c>
    </row>
    <row r="423" customFormat="false" ht="15" hidden="false" customHeight="false" outlineLevel="0" collapsed="false">
      <c r="A423" s="4" t="s">
        <v>1307</v>
      </c>
      <c r="B423" s="4" t="s">
        <v>1308</v>
      </c>
      <c r="C423" s="4" t="s">
        <v>18</v>
      </c>
      <c r="D423" s="4" t="s">
        <v>448</v>
      </c>
      <c r="E423" s="6" t="n">
        <v>43994</v>
      </c>
      <c r="F423" s="4" t="s">
        <v>455</v>
      </c>
      <c r="G423" s="8" t="n">
        <v>7</v>
      </c>
    </row>
    <row r="424" customFormat="false" ht="15" hidden="false" customHeight="false" outlineLevel="0" collapsed="false">
      <c r="A424" s="4" t="s">
        <v>1309</v>
      </c>
      <c r="B424" s="4" t="s">
        <v>1310</v>
      </c>
      <c r="C424" s="4" t="s">
        <v>24</v>
      </c>
      <c r="D424" s="4" t="s">
        <v>468</v>
      </c>
      <c r="E424" s="6" t="n">
        <v>45883</v>
      </c>
      <c r="F424" s="4" t="s">
        <v>480</v>
      </c>
      <c r="G424" s="8" t="n">
        <v>42.1</v>
      </c>
    </row>
    <row r="425" customFormat="false" ht="15" hidden="false" customHeight="false" outlineLevel="0" collapsed="false">
      <c r="A425" s="4" t="s">
        <v>1311</v>
      </c>
      <c r="B425" s="4" t="s">
        <v>1312</v>
      </c>
      <c r="C425" s="4" t="s">
        <v>24</v>
      </c>
      <c r="D425" s="4" t="s">
        <v>489</v>
      </c>
      <c r="E425" s="6" t="n">
        <v>46028</v>
      </c>
      <c r="F425" s="4" t="s">
        <v>524</v>
      </c>
      <c r="G425" s="8" t="n">
        <v>62</v>
      </c>
    </row>
    <row r="426" customFormat="false" ht="15" hidden="false" customHeight="false" outlineLevel="0" collapsed="false">
      <c r="A426" s="4" t="s">
        <v>1313</v>
      </c>
      <c r="B426" s="4" t="s">
        <v>1314</v>
      </c>
      <c r="C426" s="4" t="s">
        <v>18</v>
      </c>
      <c r="D426" s="4" t="s">
        <v>489</v>
      </c>
      <c r="E426" s="6" t="n">
        <v>45100</v>
      </c>
      <c r="F426" s="4" t="s">
        <v>452</v>
      </c>
      <c r="G426" s="8" t="n">
        <v>51.6</v>
      </c>
    </row>
    <row r="427" customFormat="false" ht="15" hidden="false" customHeight="false" outlineLevel="0" collapsed="false">
      <c r="A427" s="4" t="s">
        <v>1315</v>
      </c>
      <c r="B427" s="4" t="s">
        <v>1316</v>
      </c>
      <c r="C427" s="4" t="s">
        <v>12</v>
      </c>
      <c r="D427" s="4" t="s">
        <v>448</v>
      </c>
      <c r="E427" s="6" t="n">
        <v>46028</v>
      </c>
      <c r="F427" s="4" t="s">
        <v>490</v>
      </c>
      <c r="G427" s="8" t="n">
        <v>39.7</v>
      </c>
    </row>
    <row r="428" customFormat="false" ht="15" hidden="false" customHeight="false" outlineLevel="0" collapsed="false">
      <c r="A428" s="4" t="s">
        <v>1317</v>
      </c>
      <c r="B428" s="4" t="s">
        <v>1318</v>
      </c>
      <c r="C428" s="4" t="s">
        <v>6</v>
      </c>
      <c r="D428" s="4" t="s">
        <v>468</v>
      </c>
      <c r="E428" s="6" t="n">
        <v>45622</v>
      </c>
      <c r="F428" s="4" t="s">
        <v>550</v>
      </c>
      <c r="G428" s="8" t="n">
        <v>95.4</v>
      </c>
    </row>
    <row r="429" customFormat="false" ht="15" hidden="false" customHeight="false" outlineLevel="0" collapsed="false">
      <c r="A429" s="4" t="s">
        <v>1319</v>
      </c>
      <c r="B429" s="4" t="s">
        <v>1320</v>
      </c>
      <c r="C429" s="4" t="s">
        <v>12</v>
      </c>
      <c r="D429" s="4" t="s">
        <v>489</v>
      </c>
      <c r="E429" s="6" t="n">
        <v>44832</v>
      </c>
      <c r="F429" s="4" t="s">
        <v>452</v>
      </c>
      <c r="G429" s="8" t="n">
        <v>92.5</v>
      </c>
    </row>
    <row r="430" customFormat="false" ht="15" hidden="false" customHeight="false" outlineLevel="0" collapsed="false">
      <c r="A430" s="4" t="s">
        <v>1321</v>
      </c>
      <c r="B430" s="4" t="s">
        <v>1322</v>
      </c>
      <c r="C430" s="4" t="s">
        <v>6</v>
      </c>
      <c r="D430" s="4" t="s">
        <v>458</v>
      </c>
      <c r="E430" s="6" t="n">
        <v>44056</v>
      </c>
      <c r="F430" s="4" t="s">
        <v>495</v>
      </c>
      <c r="G430" s="8" t="n">
        <v>66.9</v>
      </c>
    </row>
    <row r="431" customFormat="false" ht="15" hidden="false" customHeight="false" outlineLevel="0" collapsed="false">
      <c r="A431" s="4" t="s">
        <v>1323</v>
      </c>
      <c r="B431" s="4" t="s">
        <v>1324</v>
      </c>
      <c r="C431" s="4" t="s">
        <v>12</v>
      </c>
      <c r="D431" s="4" t="s">
        <v>489</v>
      </c>
      <c r="E431" s="6" t="n">
        <v>43882</v>
      </c>
      <c r="F431" s="4" t="s">
        <v>550</v>
      </c>
      <c r="G431" s="8" t="n">
        <v>14.6</v>
      </c>
    </row>
    <row r="432" customFormat="false" ht="15" hidden="false" customHeight="false" outlineLevel="0" collapsed="false">
      <c r="A432" s="4" t="s">
        <v>1325</v>
      </c>
      <c r="B432" s="4" t="s">
        <v>1326</v>
      </c>
      <c r="C432" s="4" t="s">
        <v>6</v>
      </c>
      <c r="D432" s="4" t="s">
        <v>448</v>
      </c>
      <c r="E432" s="6" t="n">
        <v>45864</v>
      </c>
      <c r="F432" s="4" t="s">
        <v>490</v>
      </c>
      <c r="G432" s="8" t="n">
        <v>52.8</v>
      </c>
    </row>
    <row r="433" customFormat="false" ht="15" hidden="false" customHeight="false" outlineLevel="0" collapsed="false">
      <c r="A433" s="4" t="s">
        <v>1327</v>
      </c>
      <c r="B433" s="4" t="s">
        <v>1328</v>
      </c>
      <c r="C433" s="4" t="s">
        <v>18</v>
      </c>
      <c r="D433" s="4" t="s">
        <v>448</v>
      </c>
      <c r="E433" s="6" t="n">
        <v>45354</v>
      </c>
      <c r="F433" s="4" t="s">
        <v>543</v>
      </c>
      <c r="G433" s="8" t="n">
        <v>75.2</v>
      </c>
    </row>
    <row r="434" customFormat="false" ht="15" hidden="false" customHeight="false" outlineLevel="0" collapsed="false">
      <c r="A434" s="4" t="s">
        <v>1329</v>
      </c>
      <c r="B434" s="4" t="s">
        <v>1330</v>
      </c>
      <c r="C434" s="4" t="s">
        <v>18</v>
      </c>
      <c r="D434" s="4" t="s">
        <v>489</v>
      </c>
      <c r="E434" s="6" t="n">
        <v>43951</v>
      </c>
      <c r="F434" s="4" t="s">
        <v>490</v>
      </c>
      <c r="G434" s="8" t="n">
        <v>80.9</v>
      </c>
    </row>
    <row r="435" customFormat="false" ht="15" hidden="false" customHeight="false" outlineLevel="0" collapsed="false">
      <c r="A435" s="4" t="s">
        <v>1331</v>
      </c>
      <c r="B435" s="4" t="s">
        <v>1332</v>
      </c>
      <c r="C435" s="4" t="s">
        <v>18</v>
      </c>
      <c r="D435" s="4" t="s">
        <v>489</v>
      </c>
      <c r="E435" s="6" t="n">
        <v>44908</v>
      </c>
      <c r="F435" s="4" t="s">
        <v>550</v>
      </c>
      <c r="G435" s="8" t="n">
        <v>97.5</v>
      </c>
    </row>
    <row r="436" customFormat="false" ht="15" hidden="false" customHeight="false" outlineLevel="0" collapsed="false">
      <c r="A436" s="4" t="s">
        <v>1333</v>
      </c>
      <c r="B436" s="4" t="s">
        <v>1334</v>
      </c>
      <c r="C436" s="4" t="s">
        <v>6</v>
      </c>
      <c r="D436" s="4" t="s">
        <v>458</v>
      </c>
      <c r="E436" s="6" t="n">
        <v>45695</v>
      </c>
      <c r="F436" s="4" t="s">
        <v>524</v>
      </c>
      <c r="G436" s="8" t="n">
        <v>36.7</v>
      </c>
    </row>
    <row r="437" customFormat="false" ht="15" hidden="false" customHeight="false" outlineLevel="0" collapsed="false">
      <c r="A437" s="4" t="s">
        <v>1335</v>
      </c>
      <c r="B437" s="4" t="s">
        <v>1336</v>
      </c>
      <c r="C437" s="4" t="s">
        <v>24</v>
      </c>
      <c r="D437" s="4" t="s">
        <v>448</v>
      </c>
      <c r="E437" s="6" t="n">
        <v>45337</v>
      </c>
      <c r="F437" s="4" t="s">
        <v>543</v>
      </c>
      <c r="G437" s="8" t="n">
        <v>26.3</v>
      </c>
    </row>
    <row r="438" customFormat="false" ht="15" hidden="false" customHeight="false" outlineLevel="0" collapsed="false">
      <c r="A438" s="4" t="s">
        <v>1337</v>
      </c>
      <c r="B438" s="4" t="s">
        <v>1338</v>
      </c>
      <c r="C438" s="4" t="s">
        <v>6</v>
      </c>
      <c r="D438" s="4" t="s">
        <v>489</v>
      </c>
      <c r="E438" s="6" t="n">
        <v>44766</v>
      </c>
      <c r="F438" s="4" t="s">
        <v>550</v>
      </c>
      <c r="G438" s="8" t="n">
        <v>51.4</v>
      </c>
    </row>
    <row r="439" customFormat="false" ht="15" hidden="false" customHeight="false" outlineLevel="0" collapsed="false">
      <c r="A439" s="4" t="s">
        <v>1339</v>
      </c>
      <c r="B439" s="4" t="s">
        <v>1340</v>
      </c>
      <c r="C439" s="4" t="s">
        <v>6</v>
      </c>
      <c r="D439" s="4" t="s">
        <v>489</v>
      </c>
      <c r="E439" s="6" t="n">
        <v>44832</v>
      </c>
      <c r="F439" s="4" t="s">
        <v>475</v>
      </c>
      <c r="G439" s="8" t="n">
        <v>47.7</v>
      </c>
    </row>
    <row r="440" customFormat="false" ht="15" hidden="false" customHeight="false" outlineLevel="0" collapsed="false">
      <c r="A440" s="4" t="s">
        <v>1341</v>
      </c>
      <c r="B440" s="4" t="s">
        <v>1342</v>
      </c>
      <c r="C440" s="4" t="s">
        <v>24</v>
      </c>
      <c r="D440" s="4" t="s">
        <v>448</v>
      </c>
      <c r="E440" s="6" t="n">
        <v>44564</v>
      </c>
      <c r="F440" s="4" t="s">
        <v>455</v>
      </c>
      <c r="G440" s="8" t="n">
        <v>96.1</v>
      </c>
    </row>
    <row r="441" customFormat="false" ht="15" hidden="false" customHeight="false" outlineLevel="0" collapsed="false">
      <c r="A441" s="4" t="s">
        <v>1343</v>
      </c>
      <c r="B441" s="4" t="s">
        <v>1344</v>
      </c>
      <c r="C441" s="4" t="s">
        <v>6</v>
      </c>
      <c r="D441" s="4" t="s">
        <v>458</v>
      </c>
      <c r="E441" s="6" t="n">
        <v>44750</v>
      </c>
      <c r="F441" s="4" t="s">
        <v>490</v>
      </c>
      <c r="G441" s="8" t="n">
        <v>25.6</v>
      </c>
    </row>
    <row r="442" customFormat="false" ht="15" hidden="false" customHeight="false" outlineLevel="0" collapsed="false">
      <c r="A442" s="4" t="s">
        <v>1345</v>
      </c>
      <c r="B442" s="4" t="s">
        <v>1346</v>
      </c>
      <c r="C442" s="4" t="s">
        <v>18</v>
      </c>
      <c r="D442" s="4" t="s">
        <v>468</v>
      </c>
      <c r="E442" s="6" t="n">
        <v>44150</v>
      </c>
      <c r="F442" s="4" t="s">
        <v>465</v>
      </c>
      <c r="G442" s="8" t="n">
        <v>37.9</v>
      </c>
    </row>
    <row r="443" customFormat="false" ht="15" hidden="false" customHeight="false" outlineLevel="0" collapsed="false">
      <c r="A443" s="4" t="s">
        <v>1347</v>
      </c>
      <c r="B443" s="4" t="s">
        <v>1348</v>
      </c>
      <c r="C443" s="4" t="s">
        <v>30</v>
      </c>
      <c r="D443" s="4" t="s">
        <v>489</v>
      </c>
      <c r="E443" s="6" t="n">
        <v>44565</v>
      </c>
      <c r="F443" s="4" t="s">
        <v>472</v>
      </c>
      <c r="G443" s="8" t="n">
        <v>80.6</v>
      </c>
    </row>
    <row r="444" customFormat="false" ht="15" hidden="false" customHeight="false" outlineLevel="0" collapsed="false">
      <c r="A444" s="4" t="s">
        <v>1349</v>
      </c>
      <c r="B444" s="4" t="s">
        <v>1350</v>
      </c>
      <c r="C444" s="4" t="s">
        <v>6</v>
      </c>
      <c r="D444" s="4" t="s">
        <v>458</v>
      </c>
      <c r="E444" s="6" t="n">
        <v>44113</v>
      </c>
      <c r="F444" s="4" t="s">
        <v>455</v>
      </c>
      <c r="G444" s="8" t="n">
        <v>47</v>
      </c>
    </row>
    <row r="445" customFormat="false" ht="15" hidden="false" customHeight="false" outlineLevel="0" collapsed="false">
      <c r="A445" s="4" t="s">
        <v>1351</v>
      </c>
      <c r="B445" s="4" t="s">
        <v>1352</v>
      </c>
      <c r="C445" s="4" t="s">
        <v>18</v>
      </c>
      <c r="D445" s="4" t="s">
        <v>468</v>
      </c>
      <c r="E445" s="6" t="n">
        <v>45171</v>
      </c>
      <c r="F445" s="4" t="s">
        <v>452</v>
      </c>
      <c r="G445" s="8" t="n">
        <v>55.8</v>
      </c>
    </row>
    <row r="446" customFormat="false" ht="15" hidden="false" customHeight="false" outlineLevel="0" collapsed="false">
      <c r="A446" s="4" t="s">
        <v>1353</v>
      </c>
      <c r="B446" s="4" t="s">
        <v>1354</v>
      </c>
      <c r="C446" s="4" t="s">
        <v>6</v>
      </c>
      <c r="D446" s="4" t="s">
        <v>468</v>
      </c>
      <c r="E446" s="6" t="n">
        <v>44652</v>
      </c>
      <c r="F446" s="4" t="s">
        <v>495</v>
      </c>
      <c r="G446" s="8" t="n">
        <v>56.8</v>
      </c>
    </row>
    <row r="447" customFormat="false" ht="15" hidden="false" customHeight="false" outlineLevel="0" collapsed="false">
      <c r="A447" s="4" t="s">
        <v>1355</v>
      </c>
      <c r="B447" s="4" t="s">
        <v>1356</v>
      </c>
      <c r="C447" s="4" t="s">
        <v>18</v>
      </c>
      <c r="D447" s="4" t="s">
        <v>448</v>
      </c>
      <c r="E447" s="6" t="n">
        <v>45731</v>
      </c>
      <c r="F447" s="4" t="s">
        <v>490</v>
      </c>
      <c r="G447" s="8" t="n">
        <v>59.6</v>
      </c>
    </row>
    <row r="448" customFormat="false" ht="15" hidden="false" customHeight="false" outlineLevel="0" collapsed="false">
      <c r="A448" s="4" t="s">
        <v>1357</v>
      </c>
      <c r="B448" s="4" t="s">
        <v>1358</v>
      </c>
      <c r="C448" s="4" t="s">
        <v>24</v>
      </c>
      <c r="D448" s="4" t="s">
        <v>448</v>
      </c>
      <c r="E448" s="6" t="n">
        <v>46069</v>
      </c>
      <c r="F448" s="4" t="s">
        <v>480</v>
      </c>
      <c r="G448" s="8" t="n">
        <v>79.8</v>
      </c>
    </row>
    <row r="449" customFormat="false" ht="15" hidden="false" customHeight="false" outlineLevel="0" collapsed="false">
      <c r="A449" s="4" t="s">
        <v>1359</v>
      </c>
      <c r="B449" s="4" t="s">
        <v>1360</v>
      </c>
      <c r="C449" s="4" t="s">
        <v>12</v>
      </c>
      <c r="D449" s="4" t="s">
        <v>489</v>
      </c>
      <c r="E449" s="6" t="n">
        <v>45510</v>
      </c>
      <c r="F449" s="4" t="s">
        <v>475</v>
      </c>
      <c r="G449" s="8" t="n">
        <v>24.1</v>
      </c>
    </row>
    <row r="450" customFormat="false" ht="15" hidden="false" customHeight="false" outlineLevel="0" collapsed="false">
      <c r="A450" s="4" t="s">
        <v>1361</v>
      </c>
      <c r="B450" s="4" t="s">
        <v>1362</v>
      </c>
      <c r="C450" s="4" t="s">
        <v>18</v>
      </c>
      <c r="D450" s="4" t="s">
        <v>489</v>
      </c>
      <c r="E450" s="6" t="n">
        <v>45203</v>
      </c>
      <c r="F450" s="4" t="s">
        <v>475</v>
      </c>
      <c r="G450" s="8" t="n">
        <v>76.1</v>
      </c>
    </row>
    <row r="451" customFormat="false" ht="15" hidden="false" customHeight="false" outlineLevel="0" collapsed="false">
      <c r="A451" s="4" t="s">
        <v>1363</v>
      </c>
      <c r="B451" s="4" t="s">
        <v>1364</v>
      </c>
      <c r="C451" s="4" t="s">
        <v>24</v>
      </c>
      <c r="D451" s="4" t="s">
        <v>468</v>
      </c>
      <c r="E451" s="6" t="n">
        <v>44256</v>
      </c>
      <c r="F451" s="4" t="s">
        <v>472</v>
      </c>
      <c r="G451" s="8" t="n">
        <v>53.5</v>
      </c>
    </row>
    <row r="452" customFormat="false" ht="15" hidden="false" customHeight="false" outlineLevel="0" collapsed="false">
      <c r="A452" s="4" t="s">
        <v>1365</v>
      </c>
      <c r="B452" s="4" t="s">
        <v>1366</v>
      </c>
      <c r="C452" s="4" t="s">
        <v>12</v>
      </c>
      <c r="D452" s="4" t="s">
        <v>458</v>
      </c>
      <c r="E452" s="6" t="n">
        <v>45846</v>
      </c>
      <c r="F452" s="4" t="s">
        <v>475</v>
      </c>
      <c r="G452" s="8" t="n">
        <v>97.3</v>
      </c>
    </row>
    <row r="453" customFormat="false" ht="15" hidden="false" customHeight="false" outlineLevel="0" collapsed="false">
      <c r="A453" s="4" t="s">
        <v>1367</v>
      </c>
      <c r="B453" s="4" t="s">
        <v>1368</v>
      </c>
      <c r="C453" s="4" t="s">
        <v>12</v>
      </c>
      <c r="D453" s="4" t="s">
        <v>468</v>
      </c>
      <c r="E453" s="6" t="n">
        <v>44212</v>
      </c>
      <c r="F453" s="4" t="s">
        <v>475</v>
      </c>
      <c r="G453" s="8" t="n">
        <v>92.2</v>
      </c>
    </row>
    <row r="454" customFormat="false" ht="15" hidden="false" customHeight="false" outlineLevel="0" collapsed="false">
      <c r="A454" s="4" t="s">
        <v>1369</v>
      </c>
      <c r="B454" s="4" t="s">
        <v>1370</v>
      </c>
      <c r="C454" s="4" t="s">
        <v>30</v>
      </c>
      <c r="D454" s="4" t="s">
        <v>458</v>
      </c>
      <c r="E454" s="6" t="n">
        <v>45356</v>
      </c>
      <c r="F454" s="4" t="s">
        <v>459</v>
      </c>
      <c r="G454" s="8" t="n">
        <v>97.5</v>
      </c>
    </row>
    <row r="455" customFormat="false" ht="15" hidden="false" customHeight="false" outlineLevel="0" collapsed="false">
      <c r="A455" s="4" t="s">
        <v>1371</v>
      </c>
      <c r="B455" s="4" t="s">
        <v>1372</v>
      </c>
      <c r="C455" s="4" t="s">
        <v>6</v>
      </c>
      <c r="D455" s="4" t="s">
        <v>489</v>
      </c>
      <c r="E455" s="6" t="n">
        <v>45901</v>
      </c>
      <c r="F455" s="4" t="s">
        <v>543</v>
      </c>
      <c r="G455" s="8" t="n">
        <v>64.1</v>
      </c>
    </row>
    <row r="456" customFormat="false" ht="15" hidden="false" customHeight="false" outlineLevel="0" collapsed="false">
      <c r="A456" s="4" t="s">
        <v>1373</v>
      </c>
      <c r="B456" s="4" t="s">
        <v>1374</v>
      </c>
      <c r="C456" s="4" t="s">
        <v>24</v>
      </c>
      <c r="D456" s="4" t="s">
        <v>489</v>
      </c>
      <c r="E456" s="6" t="n">
        <v>44086</v>
      </c>
      <c r="F456" s="4" t="s">
        <v>449</v>
      </c>
      <c r="G456" s="8" t="n">
        <v>66.6</v>
      </c>
    </row>
    <row r="457" customFormat="false" ht="15" hidden="false" customHeight="false" outlineLevel="0" collapsed="false">
      <c r="A457" s="4" t="s">
        <v>1375</v>
      </c>
      <c r="B457" s="4" t="s">
        <v>1376</v>
      </c>
      <c r="C457" s="4" t="s">
        <v>12</v>
      </c>
      <c r="D457" s="4" t="s">
        <v>448</v>
      </c>
      <c r="E457" s="6" t="n">
        <v>45025</v>
      </c>
      <c r="F457" s="4" t="s">
        <v>495</v>
      </c>
      <c r="G457" s="8" t="n">
        <v>85.2</v>
      </c>
    </row>
    <row r="458" customFormat="false" ht="15" hidden="false" customHeight="false" outlineLevel="0" collapsed="false">
      <c r="A458" s="4" t="s">
        <v>1377</v>
      </c>
      <c r="B458" s="4" t="s">
        <v>1378</v>
      </c>
      <c r="C458" s="4" t="s">
        <v>24</v>
      </c>
      <c r="D458" s="4" t="s">
        <v>468</v>
      </c>
      <c r="E458" s="6" t="n">
        <v>45133</v>
      </c>
      <c r="F458" s="4" t="s">
        <v>459</v>
      </c>
      <c r="G458" s="8" t="n">
        <v>27.9</v>
      </c>
    </row>
    <row r="459" customFormat="false" ht="15" hidden="false" customHeight="false" outlineLevel="0" collapsed="false">
      <c r="A459" s="4" t="s">
        <v>1379</v>
      </c>
      <c r="B459" s="4" t="s">
        <v>1380</v>
      </c>
      <c r="C459" s="4" t="s">
        <v>6</v>
      </c>
      <c r="D459" s="4" t="s">
        <v>448</v>
      </c>
      <c r="E459" s="6" t="n">
        <v>44388</v>
      </c>
      <c r="F459" s="4" t="s">
        <v>480</v>
      </c>
      <c r="G459" s="8" t="n">
        <v>77.2</v>
      </c>
    </row>
    <row r="460" customFormat="false" ht="15" hidden="false" customHeight="false" outlineLevel="0" collapsed="false">
      <c r="A460" s="4" t="s">
        <v>1381</v>
      </c>
      <c r="B460" s="4" t="s">
        <v>1382</v>
      </c>
      <c r="C460" s="4" t="s">
        <v>6</v>
      </c>
      <c r="D460" s="4" t="s">
        <v>448</v>
      </c>
      <c r="E460" s="6" t="n">
        <v>44263</v>
      </c>
      <c r="F460" s="4" t="s">
        <v>543</v>
      </c>
      <c r="G460" s="8" t="n">
        <v>45.5</v>
      </c>
    </row>
    <row r="461" customFormat="false" ht="15" hidden="false" customHeight="false" outlineLevel="0" collapsed="false">
      <c r="A461" s="4" t="s">
        <v>1383</v>
      </c>
      <c r="B461" s="4" t="s">
        <v>1384</v>
      </c>
      <c r="C461" s="4" t="s">
        <v>18</v>
      </c>
      <c r="D461" s="4" t="s">
        <v>458</v>
      </c>
      <c r="E461" s="6" t="n">
        <v>44325</v>
      </c>
      <c r="F461" s="4" t="s">
        <v>524</v>
      </c>
      <c r="G461" s="8" t="n">
        <v>36.5</v>
      </c>
    </row>
    <row r="462" customFormat="false" ht="15" hidden="false" customHeight="false" outlineLevel="0" collapsed="false">
      <c r="A462" s="4" t="s">
        <v>1385</v>
      </c>
      <c r="B462" s="4" t="s">
        <v>1386</v>
      </c>
      <c r="C462" s="4" t="s">
        <v>12</v>
      </c>
      <c r="D462" s="4" t="s">
        <v>458</v>
      </c>
      <c r="E462" s="6" t="n">
        <v>45093</v>
      </c>
      <c r="F462" s="4" t="s">
        <v>459</v>
      </c>
      <c r="G462" s="8" t="n">
        <v>27.2</v>
      </c>
    </row>
    <row r="463" customFormat="false" ht="15" hidden="false" customHeight="false" outlineLevel="0" collapsed="false">
      <c r="A463" s="4" t="s">
        <v>1387</v>
      </c>
      <c r="B463" s="4" t="s">
        <v>1388</v>
      </c>
      <c r="C463" s="4" t="s">
        <v>6</v>
      </c>
      <c r="D463" s="4" t="s">
        <v>489</v>
      </c>
      <c r="E463" s="6" t="n">
        <v>44476</v>
      </c>
      <c r="F463" s="4" t="s">
        <v>480</v>
      </c>
      <c r="G463" s="8" t="n">
        <v>68.9</v>
      </c>
    </row>
    <row r="464" customFormat="false" ht="15" hidden="false" customHeight="false" outlineLevel="0" collapsed="false">
      <c r="A464" s="4" t="s">
        <v>1389</v>
      </c>
      <c r="B464" s="4" t="s">
        <v>1390</v>
      </c>
      <c r="C464" s="4" t="s">
        <v>30</v>
      </c>
      <c r="D464" s="4" t="s">
        <v>489</v>
      </c>
      <c r="E464" s="6" t="n">
        <v>44711</v>
      </c>
      <c r="F464" s="4" t="s">
        <v>469</v>
      </c>
      <c r="G464" s="8" t="n">
        <v>85.8</v>
      </c>
    </row>
    <row r="465" customFormat="false" ht="15" hidden="false" customHeight="false" outlineLevel="0" collapsed="false">
      <c r="A465" s="4" t="s">
        <v>1391</v>
      </c>
      <c r="B465" s="4" t="s">
        <v>1392</v>
      </c>
      <c r="C465" s="4" t="s">
        <v>12</v>
      </c>
      <c r="D465" s="4" t="s">
        <v>489</v>
      </c>
      <c r="E465" s="6" t="n">
        <v>44847</v>
      </c>
      <c r="F465" s="4" t="s">
        <v>490</v>
      </c>
      <c r="G465" s="8" t="n">
        <v>40.2</v>
      </c>
    </row>
    <row r="466" customFormat="false" ht="15" hidden="false" customHeight="false" outlineLevel="0" collapsed="false">
      <c r="A466" s="4" t="s">
        <v>1393</v>
      </c>
      <c r="B466" s="4" t="s">
        <v>1394</v>
      </c>
      <c r="C466" s="4" t="s">
        <v>6</v>
      </c>
      <c r="D466" s="4" t="s">
        <v>468</v>
      </c>
      <c r="E466" s="6" t="n">
        <v>44896</v>
      </c>
      <c r="F466" s="4" t="s">
        <v>469</v>
      </c>
      <c r="G466" s="8" t="n">
        <v>99.1</v>
      </c>
    </row>
    <row r="467" customFormat="false" ht="15" hidden="false" customHeight="false" outlineLevel="0" collapsed="false">
      <c r="A467" s="4" t="s">
        <v>1395</v>
      </c>
      <c r="B467" s="4" t="s">
        <v>1396</v>
      </c>
      <c r="C467" s="4" t="s">
        <v>6</v>
      </c>
      <c r="D467" s="4" t="s">
        <v>458</v>
      </c>
      <c r="E467" s="6" t="n">
        <v>45683</v>
      </c>
      <c r="F467" s="4" t="s">
        <v>524</v>
      </c>
      <c r="G467" s="8" t="n">
        <v>75.1</v>
      </c>
    </row>
    <row r="468" customFormat="false" ht="15" hidden="false" customHeight="false" outlineLevel="0" collapsed="false">
      <c r="A468" s="4" t="s">
        <v>1397</v>
      </c>
      <c r="B468" s="4" t="s">
        <v>1398</v>
      </c>
      <c r="C468" s="4" t="s">
        <v>12</v>
      </c>
      <c r="D468" s="4" t="s">
        <v>489</v>
      </c>
      <c r="E468" s="6" t="n">
        <v>45723</v>
      </c>
      <c r="F468" s="4" t="s">
        <v>452</v>
      </c>
      <c r="G468" s="8" t="n">
        <v>80.6</v>
      </c>
    </row>
    <row r="469" customFormat="false" ht="15" hidden="false" customHeight="false" outlineLevel="0" collapsed="false">
      <c r="A469" s="4" t="s">
        <v>1399</v>
      </c>
      <c r="B469" s="4" t="s">
        <v>1400</v>
      </c>
      <c r="C469" s="4" t="s">
        <v>12</v>
      </c>
      <c r="D469" s="4" t="s">
        <v>489</v>
      </c>
      <c r="E469" s="6" t="n">
        <v>43879</v>
      </c>
      <c r="F469" s="4" t="s">
        <v>475</v>
      </c>
      <c r="G469" s="8" t="n">
        <v>83.2</v>
      </c>
    </row>
    <row r="470" customFormat="false" ht="15" hidden="false" customHeight="false" outlineLevel="0" collapsed="false">
      <c r="A470" s="4" t="s">
        <v>1401</v>
      </c>
      <c r="B470" s="4" t="s">
        <v>1402</v>
      </c>
      <c r="C470" s="4" t="s">
        <v>12</v>
      </c>
      <c r="D470" s="4" t="s">
        <v>448</v>
      </c>
      <c r="E470" s="6" t="n">
        <v>44642</v>
      </c>
      <c r="F470" s="4" t="s">
        <v>469</v>
      </c>
      <c r="G470" s="8" t="n">
        <v>40.7</v>
      </c>
    </row>
    <row r="471" customFormat="false" ht="15" hidden="false" customHeight="false" outlineLevel="0" collapsed="false">
      <c r="A471" s="4" t="s">
        <v>1403</v>
      </c>
      <c r="B471" s="4" t="s">
        <v>1404</v>
      </c>
      <c r="C471" s="4" t="s">
        <v>6</v>
      </c>
      <c r="D471" s="4" t="s">
        <v>468</v>
      </c>
      <c r="E471" s="6" t="n">
        <v>44138</v>
      </c>
      <c r="F471" s="4" t="s">
        <v>475</v>
      </c>
      <c r="G471" s="8" t="n">
        <v>99.7</v>
      </c>
    </row>
    <row r="472" customFormat="false" ht="15" hidden="false" customHeight="false" outlineLevel="0" collapsed="false">
      <c r="A472" s="4" t="s">
        <v>1405</v>
      </c>
      <c r="B472" s="4" t="s">
        <v>1406</v>
      </c>
      <c r="C472" s="4" t="s">
        <v>12</v>
      </c>
      <c r="D472" s="4" t="s">
        <v>458</v>
      </c>
      <c r="E472" s="6" t="n">
        <v>44358</v>
      </c>
      <c r="F472" s="4" t="s">
        <v>452</v>
      </c>
      <c r="G472" s="8" t="n">
        <v>90.6</v>
      </c>
    </row>
    <row r="473" customFormat="false" ht="15" hidden="false" customHeight="false" outlineLevel="0" collapsed="false">
      <c r="A473" s="4" t="s">
        <v>1407</v>
      </c>
      <c r="B473" s="4" t="s">
        <v>1408</v>
      </c>
      <c r="C473" s="4" t="s">
        <v>18</v>
      </c>
      <c r="D473" s="4" t="s">
        <v>489</v>
      </c>
      <c r="E473" s="6" t="n">
        <v>44005</v>
      </c>
      <c r="F473" s="4" t="s">
        <v>459</v>
      </c>
      <c r="G473" s="8" t="n">
        <v>6</v>
      </c>
    </row>
    <row r="474" customFormat="false" ht="15" hidden="false" customHeight="false" outlineLevel="0" collapsed="false">
      <c r="A474" s="4" t="s">
        <v>1409</v>
      </c>
      <c r="B474" s="4" t="s">
        <v>1410</v>
      </c>
      <c r="C474" s="4" t="s">
        <v>30</v>
      </c>
      <c r="D474" s="4" t="s">
        <v>458</v>
      </c>
      <c r="E474" s="6" t="n">
        <v>45448</v>
      </c>
      <c r="F474" s="4" t="s">
        <v>459</v>
      </c>
      <c r="G474" s="8" t="n">
        <v>3.9</v>
      </c>
    </row>
    <row r="475" customFormat="false" ht="15" hidden="false" customHeight="false" outlineLevel="0" collapsed="false">
      <c r="A475" s="4" t="s">
        <v>1411</v>
      </c>
      <c r="B475" s="4" t="s">
        <v>1412</v>
      </c>
      <c r="C475" s="4" t="s">
        <v>24</v>
      </c>
      <c r="D475" s="4" t="s">
        <v>448</v>
      </c>
      <c r="E475" s="6" t="n">
        <v>45280</v>
      </c>
      <c r="F475" s="4" t="s">
        <v>472</v>
      </c>
      <c r="G475" s="8" t="n">
        <v>90.9</v>
      </c>
    </row>
    <row r="476" customFormat="false" ht="15" hidden="false" customHeight="false" outlineLevel="0" collapsed="false">
      <c r="A476" s="4" t="s">
        <v>1413</v>
      </c>
      <c r="B476" s="4" t="s">
        <v>1414</v>
      </c>
      <c r="C476" s="4" t="s">
        <v>18</v>
      </c>
      <c r="D476" s="4" t="s">
        <v>468</v>
      </c>
      <c r="E476" s="6" t="n">
        <v>45657</v>
      </c>
      <c r="F476" s="4" t="s">
        <v>455</v>
      </c>
      <c r="G476" s="8" t="n">
        <v>15.7</v>
      </c>
    </row>
    <row r="477" customFormat="false" ht="15" hidden="false" customHeight="false" outlineLevel="0" collapsed="false">
      <c r="A477" s="4" t="s">
        <v>1415</v>
      </c>
      <c r="B477" s="4" t="s">
        <v>1416</v>
      </c>
      <c r="C477" s="4" t="s">
        <v>30</v>
      </c>
      <c r="D477" s="4" t="s">
        <v>448</v>
      </c>
      <c r="E477" s="6" t="n">
        <v>45039</v>
      </c>
      <c r="F477" s="4" t="s">
        <v>459</v>
      </c>
      <c r="G477" s="8" t="n">
        <v>41.8</v>
      </c>
    </row>
    <row r="478" customFormat="false" ht="15" hidden="false" customHeight="false" outlineLevel="0" collapsed="false">
      <c r="A478" s="4" t="s">
        <v>1417</v>
      </c>
      <c r="B478" s="4" t="s">
        <v>1418</v>
      </c>
      <c r="C478" s="4" t="s">
        <v>30</v>
      </c>
      <c r="D478" s="4" t="s">
        <v>458</v>
      </c>
      <c r="E478" s="6" t="n">
        <v>44080</v>
      </c>
      <c r="F478" s="4" t="s">
        <v>452</v>
      </c>
      <c r="G478" s="8" t="n">
        <v>28.7</v>
      </c>
    </row>
    <row r="479" customFormat="false" ht="15" hidden="false" customHeight="false" outlineLevel="0" collapsed="false">
      <c r="A479" s="4" t="s">
        <v>1419</v>
      </c>
      <c r="B479" s="4" t="s">
        <v>1420</v>
      </c>
      <c r="C479" s="4" t="s">
        <v>12</v>
      </c>
      <c r="D479" s="4" t="s">
        <v>458</v>
      </c>
      <c r="E479" s="6" t="n">
        <v>44647</v>
      </c>
      <c r="F479" s="4" t="s">
        <v>462</v>
      </c>
      <c r="G479" s="8" t="n">
        <v>88.6</v>
      </c>
    </row>
    <row r="480" customFormat="false" ht="15" hidden="false" customHeight="false" outlineLevel="0" collapsed="false">
      <c r="A480" s="4" t="s">
        <v>1421</v>
      </c>
      <c r="B480" s="4" t="s">
        <v>1422</v>
      </c>
      <c r="C480" s="4" t="s">
        <v>30</v>
      </c>
      <c r="D480" s="4" t="s">
        <v>448</v>
      </c>
      <c r="E480" s="6" t="n">
        <v>46057</v>
      </c>
      <c r="F480" s="4" t="s">
        <v>480</v>
      </c>
      <c r="G480" s="8" t="n">
        <v>2.9</v>
      </c>
    </row>
    <row r="481" customFormat="false" ht="15" hidden="false" customHeight="false" outlineLevel="0" collapsed="false">
      <c r="A481" s="4" t="s">
        <v>1423</v>
      </c>
      <c r="B481" s="4" t="s">
        <v>1424</v>
      </c>
      <c r="C481" s="4" t="s">
        <v>24</v>
      </c>
      <c r="D481" s="4" t="s">
        <v>468</v>
      </c>
      <c r="E481" s="6" t="n">
        <v>45795</v>
      </c>
      <c r="F481" s="4" t="s">
        <v>524</v>
      </c>
      <c r="G481" s="8" t="n">
        <v>78.4</v>
      </c>
    </row>
    <row r="482" customFormat="false" ht="15" hidden="false" customHeight="false" outlineLevel="0" collapsed="false">
      <c r="A482" s="4" t="s">
        <v>1425</v>
      </c>
      <c r="B482" s="4" t="s">
        <v>1426</v>
      </c>
      <c r="C482" s="4" t="s">
        <v>18</v>
      </c>
      <c r="D482" s="4" t="s">
        <v>468</v>
      </c>
      <c r="E482" s="6" t="n">
        <v>45421</v>
      </c>
      <c r="F482" s="4" t="s">
        <v>495</v>
      </c>
      <c r="G482" s="8" t="n">
        <v>18.8</v>
      </c>
    </row>
    <row r="483" customFormat="false" ht="15" hidden="false" customHeight="false" outlineLevel="0" collapsed="false">
      <c r="A483" s="4" t="s">
        <v>1427</v>
      </c>
      <c r="B483" s="4" t="s">
        <v>1428</v>
      </c>
      <c r="C483" s="4" t="s">
        <v>18</v>
      </c>
      <c r="D483" s="4" t="s">
        <v>448</v>
      </c>
      <c r="E483" s="6" t="n">
        <v>43951</v>
      </c>
      <c r="F483" s="4" t="s">
        <v>455</v>
      </c>
      <c r="G483" s="8" t="n">
        <v>81.3</v>
      </c>
    </row>
    <row r="484" customFormat="false" ht="15" hidden="false" customHeight="false" outlineLevel="0" collapsed="false">
      <c r="A484" s="4" t="s">
        <v>1429</v>
      </c>
      <c r="B484" s="4" t="s">
        <v>1430</v>
      </c>
      <c r="C484" s="4" t="s">
        <v>18</v>
      </c>
      <c r="D484" s="4" t="s">
        <v>489</v>
      </c>
      <c r="E484" s="6" t="n">
        <v>45763</v>
      </c>
      <c r="F484" s="4" t="s">
        <v>524</v>
      </c>
      <c r="G484" s="8" t="n">
        <v>36.4</v>
      </c>
    </row>
    <row r="485" customFormat="false" ht="15" hidden="false" customHeight="false" outlineLevel="0" collapsed="false">
      <c r="A485" s="4" t="s">
        <v>1431</v>
      </c>
      <c r="B485" s="4" t="s">
        <v>1432</v>
      </c>
      <c r="C485" s="4" t="s">
        <v>30</v>
      </c>
      <c r="D485" s="4" t="s">
        <v>448</v>
      </c>
      <c r="E485" s="6" t="n">
        <v>44484</v>
      </c>
      <c r="F485" s="4" t="s">
        <v>452</v>
      </c>
      <c r="G485" s="8" t="n">
        <v>25.5</v>
      </c>
    </row>
    <row r="486" customFormat="false" ht="15" hidden="false" customHeight="false" outlineLevel="0" collapsed="false">
      <c r="A486" s="4" t="s">
        <v>1433</v>
      </c>
      <c r="B486" s="4" t="s">
        <v>1434</v>
      </c>
      <c r="C486" s="4" t="s">
        <v>12</v>
      </c>
      <c r="D486" s="4" t="s">
        <v>468</v>
      </c>
      <c r="E486" s="6" t="n">
        <v>46016</v>
      </c>
      <c r="F486" s="4" t="s">
        <v>469</v>
      </c>
      <c r="G486" s="8" t="n">
        <v>79.3</v>
      </c>
    </row>
    <row r="487" customFormat="false" ht="15" hidden="false" customHeight="false" outlineLevel="0" collapsed="false">
      <c r="A487" s="4" t="s">
        <v>1435</v>
      </c>
      <c r="B487" s="4" t="s">
        <v>1436</v>
      </c>
      <c r="C487" s="4" t="s">
        <v>6</v>
      </c>
      <c r="D487" s="4" t="s">
        <v>448</v>
      </c>
      <c r="E487" s="6" t="n">
        <v>45421</v>
      </c>
      <c r="F487" s="4" t="s">
        <v>490</v>
      </c>
      <c r="G487" s="8" t="n">
        <v>93.6</v>
      </c>
    </row>
    <row r="488" customFormat="false" ht="15" hidden="false" customHeight="false" outlineLevel="0" collapsed="false">
      <c r="A488" s="4" t="s">
        <v>1437</v>
      </c>
      <c r="B488" s="4" t="s">
        <v>1438</v>
      </c>
      <c r="C488" s="4" t="s">
        <v>12</v>
      </c>
      <c r="D488" s="4" t="s">
        <v>448</v>
      </c>
      <c r="E488" s="6" t="n">
        <v>44799</v>
      </c>
      <c r="F488" s="4" t="s">
        <v>465</v>
      </c>
      <c r="G488" s="8" t="n">
        <v>32.5</v>
      </c>
    </row>
    <row r="489" customFormat="false" ht="15" hidden="false" customHeight="false" outlineLevel="0" collapsed="false">
      <c r="A489" s="4" t="s">
        <v>1439</v>
      </c>
      <c r="B489" s="4" t="s">
        <v>1440</v>
      </c>
      <c r="C489" s="4" t="s">
        <v>18</v>
      </c>
      <c r="D489" s="4" t="s">
        <v>489</v>
      </c>
      <c r="E489" s="6" t="n">
        <v>45271</v>
      </c>
      <c r="F489" s="4" t="s">
        <v>465</v>
      </c>
      <c r="G489" s="8" t="n">
        <v>56.8</v>
      </c>
    </row>
    <row r="490" customFormat="false" ht="15" hidden="false" customHeight="false" outlineLevel="0" collapsed="false">
      <c r="A490" s="4" t="s">
        <v>1441</v>
      </c>
      <c r="B490" s="4" t="s">
        <v>1442</v>
      </c>
      <c r="C490" s="4" t="s">
        <v>30</v>
      </c>
      <c r="D490" s="4" t="s">
        <v>448</v>
      </c>
      <c r="E490" s="6" t="n">
        <v>45847</v>
      </c>
      <c r="F490" s="4" t="s">
        <v>524</v>
      </c>
      <c r="G490" s="8" t="n">
        <v>31.6</v>
      </c>
    </row>
    <row r="491" customFormat="false" ht="15" hidden="false" customHeight="false" outlineLevel="0" collapsed="false">
      <c r="A491" s="4" t="s">
        <v>1443</v>
      </c>
      <c r="B491" s="4" t="s">
        <v>1444</v>
      </c>
      <c r="C491" s="4" t="s">
        <v>24</v>
      </c>
      <c r="D491" s="4" t="s">
        <v>489</v>
      </c>
      <c r="E491" s="6" t="n">
        <v>44200</v>
      </c>
      <c r="F491" s="4" t="s">
        <v>475</v>
      </c>
      <c r="G491" s="8" t="n">
        <v>24</v>
      </c>
    </row>
    <row r="492" customFormat="false" ht="15" hidden="false" customHeight="false" outlineLevel="0" collapsed="false">
      <c r="A492" s="4" t="s">
        <v>1445</v>
      </c>
      <c r="B492" s="4" t="s">
        <v>1446</v>
      </c>
      <c r="C492" s="4" t="s">
        <v>12</v>
      </c>
      <c r="D492" s="4" t="s">
        <v>489</v>
      </c>
      <c r="E492" s="6" t="n">
        <v>45987</v>
      </c>
      <c r="F492" s="4" t="s">
        <v>459</v>
      </c>
      <c r="G492" s="8" t="n">
        <v>1.1</v>
      </c>
    </row>
    <row r="493" customFormat="false" ht="15" hidden="false" customHeight="false" outlineLevel="0" collapsed="false">
      <c r="A493" s="4" t="s">
        <v>1447</v>
      </c>
      <c r="B493" s="4" t="s">
        <v>1448</v>
      </c>
      <c r="C493" s="4" t="s">
        <v>30</v>
      </c>
      <c r="D493" s="4" t="s">
        <v>448</v>
      </c>
      <c r="E493" s="6" t="n">
        <v>44365</v>
      </c>
      <c r="F493" s="4" t="s">
        <v>490</v>
      </c>
      <c r="G493" s="8" t="n">
        <v>72</v>
      </c>
    </row>
    <row r="494" customFormat="false" ht="15" hidden="false" customHeight="false" outlineLevel="0" collapsed="false">
      <c r="A494" s="4" t="s">
        <v>1449</v>
      </c>
      <c r="B494" s="4" t="s">
        <v>1450</v>
      </c>
      <c r="C494" s="4" t="s">
        <v>18</v>
      </c>
      <c r="D494" s="4" t="s">
        <v>489</v>
      </c>
      <c r="E494" s="6" t="n">
        <v>43920</v>
      </c>
      <c r="F494" s="4" t="s">
        <v>543</v>
      </c>
      <c r="G494" s="8" t="n">
        <v>59.1</v>
      </c>
    </row>
    <row r="495" customFormat="false" ht="15" hidden="false" customHeight="false" outlineLevel="0" collapsed="false">
      <c r="A495" s="4" t="s">
        <v>1451</v>
      </c>
      <c r="B495" s="4" t="s">
        <v>1452</v>
      </c>
      <c r="C495" s="4" t="s">
        <v>12</v>
      </c>
      <c r="D495" s="4" t="s">
        <v>489</v>
      </c>
      <c r="E495" s="6" t="n">
        <v>45986</v>
      </c>
      <c r="F495" s="4" t="s">
        <v>469</v>
      </c>
      <c r="G495" s="8" t="n">
        <v>37.1</v>
      </c>
    </row>
    <row r="496" customFormat="false" ht="15" hidden="false" customHeight="false" outlineLevel="0" collapsed="false">
      <c r="A496" s="4" t="s">
        <v>1453</v>
      </c>
      <c r="B496" s="4" t="s">
        <v>1454</v>
      </c>
      <c r="C496" s="4" t="s">
        <v>6</v>
      </c>
      <c r="D496" s="4" t="s">
        <v>468</v>
      </c>
      <c r="E496" s="6" t="n">
        <v>45451</v>
      </c>
      <c r="F496" s="4" t="s">
        <v>465</v>
      </c>
      <c r="G496" s="8" t="n">
        <v>11</v>
      </c>
    </row>
    <row r="497" customFormat="false" ht="15" hidden="false" customHeight="false" outlineLevel="0" collapsed="false">
      <c r="A497" s="4" t="s">
        <v>1455</v>
      </c>
      <c r="B497" s="4" t="s">
        <v>1456</v>
      </c>
      <c r="C497" s="4" t="s">
        <v>18</v>
      </c>
      <c r="D497" s="4" t="s">
        <v>468</v>
      </c>
      <c r="E497" s="6" t="n">
        <v>44389</v>
      </c>
      <c r="F497" s="4" t="s">
        <v>543</v>
      </c>
      <c r="G497" s="8" t="n">
        <v>73.5</v>
      </c>
    </row>
    <row r="498" customFormat="false" ht="15" hidden="false" customHeight="false" outlineLevel="0" collapsed="false">
      <c r="A498" s="4" t="s">
        <v>1457</v>
      </c>
      <c r="B498" s="4" t="s">
        <v>1458</v>
      </c>
      <c r="C498" s="4" t="s">
        <v>24</v>
      </c>
      <c r="D498" s="4" t="s">
        <v>458</v>
      </c>
      <c r="E498" s="6" t="n">
        <v>45130</v>
      </c>
      <c r="F498" s="4" t="s">
        <v>543</v>
      </c>
      <c r="G498" s="8" t="n">
        <v>71</v>
      </c>
    </row>
    <row r="499" customFormat="false" ht="15" hidden="false" customHeight="false" outlineLevel="0" collapsed="false">
      <c r="A499" s="4" t="s">
        <v>1459</v>
      </c>
      <c r="B499" s="4" t="s">
        <v>1460</v>
      </c>
      <c r="C499" s="4" t="s">
        <v>30</v>
      </c>
      <c r="D499" s="4" t="s">
        <v>468</v>
      </c>
      <c r="E499" s="6" t="n">
        <v>44745</v>
      </c>
      <c r="F499" s="4" t="s">
        <v>462</v>
      </c>
      <c r="G499" s="8" t="n">
        <v>59.3</v>
      </c>
    </row>
    <row r="500" customFormat="false" ht="15" hidden="false" customHeight="false" outlineLevel="0" collapsed="false">
      <c r="A500" s="4" t="s">
        <v>1461</v>
      </c>
      <c r="B500" s="4" t="s">
        <v>1462</v>
      </c>
      <c r="C500" s="4" t="s">
        <v>12</v>
      </c>
      <c r="D500" s="4" t="s">
        <v>458</v>
      </c>
      <c r="E500" s="6" t="n">
        <v>45087</v>
      </c>
      <c r="F500" s="4" t="s">
        <v>550</v>
      </c>
      <c r="G500" s="8" t="n">
        <v>69.2</v>
      </c>
    </row>
    <row r="501" customFormat="false" ht="15" hidden="false" customHeight="false" outlineLevel="0" collapsed="false">
      <c r="A501" s="4" t="s">
        <v>1463</v>
      </c>
      <c r="B501" s="4" t="s">
        <v>1464</v>
      </c>
      <c r="C501" s="4" t="s">
        <v>12</v>
      </c>
      <c r="D501" s="4" t="s">
        <v>448</v>
      </c>
      <c r="E501" s="6" t="n">
        <v>43838</v>
      </c>
      <c r="F501" s="4" t="s">
        <v>550</v>
      </c>
      <c r="G501" s="8" t="n">
        <v>94.9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75"/>
    <col collapsed="false" customWidth="true" hidden="false" outlineLevel="0" max="2" min="2" style="1" width="13.25"/>
    <col collapsed="false" customWidth="true" hidden="false" outlineLevel="0" max="3" min="3" style="1" width="14.79"/>
    <col collapsed="false" customWidth="true" hidden="false" outlineLevel="0" max="4" min="4" style="1" width="12.7"/>
    <col collapsed="false" customWidth="true" hidden="false" outlineLevel="0" max="5" min="5" style="1" width="8.8"/>
    <col collapsed="false" customWidth="true" hidden="false" outlineLevel="0" max="6" min="6" style="1" width="11.45"/>
    <col collapsed="false" customWidth="true" hidden="false" outlineLevel="0" max="7" min="7" style="1" width="11.17"/>
    <col collapsed="false" customWidth="true" hidden="false" outlineLevel="0" max="8" min="8" style="1" width="12"/>
    <col collapsed="false" customWidth="true" hidden="false" outlineLevel="0" max="9" min="9" style="1" width="11.31"/>
    <col collapsed="false" customWidth="true" hidden="false" outlineLevel="0" max="10" min="10" style="1" width="10.89"/>
    <col collapsed="false" customWidth="true" hidden="false" outlineLevel="0" max="12" min="11" style="1" width="12.7"/>
  </cols>
  <sheetData>
    <row r="1" customFormat="false" ht="28" hidden="false" customHeight="true" outlineLevel="0" collapsed="false">
      <c r="A1" s="3" t="s">
        <v>1465</v>
      </c>
      <c r="B1" s="3" t="s">
        <v>1466</v>
      </c>
      <c r="C1" s="3" t="s">
        <v>440</v>
      </c>
      <c r="D1" s="3" t="s">
        <v>34</v>
      </c>
      <c r="E1" s="3" t="s">
        <v>0</v>
      </c>
      <c r="F1" s="3" t="s">
        <v>1</v>
      </c>
      <c r="G1" s="3" t="s">
        <v>1467</v>
      </c>
      <c r="H1" s="3" t="s">
        <v>36</v>
      </c>
      <c r="I1" s="3" t="s">
        <v>37</v>
      </c>
      <c r="J1" s="3" t="s">
        <v>1468</v>
      </c>
      <c r="K1" s="3" t="s">
        <v>1469</v>
      </c>
      <c r="L1" s="3" t="s">
        <v>1470</v>
      </c>
    </row>
    <row r="2" customFormat="false" ht="16.4" hidden="false" customHeight="false" outlineLevel="0" collapsed="false">
      <c r="A2" s="4" t="s">
        <v>1471</v>
      </c>
      <c r="B2" s="6" t="n">
        <v>45325</v>
      </c>
      <c r="C2" s="4" t="s">
        <v>1335</v>
      </c>
      <c r="D2" s="4" t="s">
        <v>240</v>
      </c>
      <c r="E2" s="4" t="s">
        <v>24</v>
      </c>
      <c r="F2" s="4" t="s">
        <v>13</v>
      </c>
      <c r="G2" s="4" t="n">
        <v>25</v>
      </c>
      <c r="H2" s="5" t="n">
        <v>679.95</v>
      </c>
      <c r="I2" s="5" t="n">
        <v>487.52</v>
      </c>
      <c r="J2" s="9" t="n">
        <v>0.08</v>
      </c>
      <c r="K2" s="5" t="n">
        <f aca="false">G2*H2*(1-J2)</f>
        <v>15638.85</v>
      </c>
      <c r="L2" s="5" t="n">
        <f aca="false">K2-(G2*I2)</f>
        <v>3450.85</v>
      </c>
    </row>
    <row r="3" customFormat="false" ht="16.4" hidden="false" customHeight="false" outlineLevel="0" collapsed="false">
      <c r="A3" s="4" t="s">
        <v>1472</v>
      </c>
      <c r="B3" s="6" t="n">
        <v>45946</v>
      </c>
      <c r="C3" s="4" t="s">
        <v>789</v>
      </c>
      <c r="D3" s="4" t="s">
        <v>348</v>
      </c>
      <c r="E3" s="4" t="s">
        <v>18</v>
      </c>
      <c r="F3" s="4" t="s">
        <v>7</v>
      </c>
      <c r="G3" s="4" t="n">
        <v>20</v>
      </c>
      <c r="H3" s="5" t="n">
        <v>471.94</v>
      </c>
      <c r="I3" s="5" t="n">
        <v>336.68</v>
      </c>
      <c r="J3" s="9" t="n">
        <v>0</v>
      </c>
      <c r="K3" s="5" t="n">
        <f aca="false">G3*H3*(1-J3)</f>
        <v>9438.8</v>
      </c>
      <c r="L3" s="5" t="n">
        <f aca="false">K3-(G3*I3)</f>
        <v>2705.2</v>
      </c>
    </row>
    <row r="4" customFormat="false" ht="16.4" hidden="false" customHeight="false" outlineLevel="0" collapsed="false">
      <c r="A4" s="4" t="s">
        <v>1473</v>
      </c>
      <c r="B4" s="6" t="n">
        <v>45371</v>
      </c>
      <c r="C4" s="4" t="s">
        <v>609</v>
      </c>
      <c r="D4" s="4" t="s">
        <v>294</v>
      </c>
      <c r="E4" s="4" t="s">
        <v>6</v>
      </c>
      <c r="F4" s="4" t="s">
        <v>13</v>
      </c>
      <c r="G4" s="4" t="n">
        <v>11</v>
      </c>
      <c r="H4" s="5" t="n">
        <v>1024.09</v>
      </c>
      <c r="I4" s="5" t="n">
        <v>604.38</v>
      </c>
      <c r="J4" s="9" t="n">
        <v>0.1</v>
      </c>
      <c r="K4" s="5" t="n">
        <f aca="false">G4*H4*(1-J4)</f>
        <v>10138.491</v>
      </c>
      <c r="L4" s="5" t="n">
        <f aca="false">K4-(G4*I4)</f>
        <v>3490.311</v>
      </c>
    </row>
    <row r="5" customFormat="false" ht="16.4" hidden="false" customHeight="false" outlineLevel="0" collapsed="false">
      <c r="A5" s="4" t="s">
        <v>1474</v>
      </c>
      <c r="B5" s="6" t="n">
        <v>46198</v>
      </c>
      <c r="C5" s="4" t="s">
        <v>791</v>
      </c>
      <c r="D5" s="4" t="s">
        <v>216</v>
      </c>
      <c r="E5" s="4" t="s">
        <v>12</v>
      </c>
      <c r="F5" s="4" t="s">
        <v>7</v>
      </c>
      <c r="G5" s="4" t="n">
        <v>6</v>
      </c>
      <c r="H5" s="5" t="n">
        <v>497.82</v>
      </c>
      <c r="I5" s="5" t="n">
        <v>233.11</v>
      </c>
      <c r="J5" s="9" t="n">
        <v>0.1</v>
      </c>
      <c r="K5" s="5" t="n">
        <f aca="false">G5*H5*(1-J5)</f>
        <v>2688.228</v>
      </c>
      <c r="L5" s="5" t="n">
        <f aca="false">K5-(G5*I5)</f>
        <v>1289.568</v>
      </c>
    </row>
    <row r="6" customFormat="false" ht="16.4" hidden="false" customHeight="false" outlineLevel="0" collapsed="false">
      <c r="A6" s="4" t="s">
        <v>1475</v>
      </c>
      <c r="B6" s="6" t="n">
        <v>46199</v>
      </c>
      <c r="C6" s="4" t="s">
        <v>1151</v>
      </c>
      <c r="D6" s="4" t="s">
        <v>402</v>
      </c>
      <c r="E6" s="4" t="s">
        <v>24</v>
      </c>
      <c r="F6" s="4" t="s">
        <v>19</v>
      </c>
      <c r="G6" s="4" t="n">
        <v>21</v>
      </c>
      <c r="H6" s="5" t="n">
        <v>311.38</v>
      </c>
      <c r="I6" s="5" t="n">
        <v>177.64</v>
      </c>
      <c r="J6" s="9" t="n">
        <v>0.1</v>
      </c>
      <c r="K6" s="5" t="n">
        <f aca="false">G6*H6*(1-J6)</f>
        <v>5885.082</v>
      </c>
      <c r="L6" s="5" t="n">
        <f aca="false">K6-(G6*I6)</f>
        <v>2154.642</v>
      </c>
    </row>
    <row r="7" customFormat="false" ht="16.4" hidden="false" customHeight="false" outlineLevel="0" collapsed="false">
      <c r="A7" s="4" t="s">
        <v>1476</v>
      </c>
      <c r="B7" s="6" t="n">
        <v>45547</v>
      </c>
      <c r="C7" s="4" t="s">
        <v>463</v>
      </c>
      <c r="D7" s="4" t="s">
        <v>268</v>
      </c>
      <c r="E7" s="4" t="s">
        <v>6</v>
      </c>
      <c r="F7" s="4" t="s">
        <v>7</v>
      </c>
      <c r="G7" s="4" t="n">
        <v>9</v>
      </c>
      <c r="H7" s="5" t="n">
        <v>1105.46</v>
      </c>
      <c r="I7" s="5" t="n">
        <v>820.57</v>
      </c>
      <c r="J7" s="9" t="n">
        <v>0</v>
      </c>
      <c r="K7" s="5" t="n">
        <f aca="false">G7*H7*(1-J7)</f>
        <v>9949.14</v>
      </c>
      <c r="L7" s="5" t="n">
        <f aca="false">K7-(G7*I7)</f>
        <v>2564.01</v>
      </c>
    </row>
    <row r="8" customFormat="false" ht="16.4" hidden="false" customHeight="false" outlineLevel="0" collapsed="false">
      <c r="A8" s="4" t="s">
        <v>1477</v>
      </c>
      <c r="B8" s="6" t="n">
        <v>45293</v>
      </c>
      <c r="C8" s="4" t="s">
        <v>727</v>
      </c>
      <c r="D8" s="4" t="s">
        <v>218</v>
      </c>
      <c r="E8" s="4" t="s">
        <v>30</v>
      </c>
      <c r="F8" s="4" t="s">
        <v>7</v>
      </c>
      <c r="G8" s="4" t="n">
        <v>4</v>
      </c>
      <c r="H8" s="5" t="n">
        <v>806.29</v>
      </c>
      <c r="I8" s="5" t="n">
        <v>404.48</v>
      </c>
      <c r="J8" s="9" t="n">
        <v>0.1</v>
      </c>
      <c r="K8" s="5" t="n">
        <f aca="false">G8*H8*(1-J8)</f>
        <v>2902.644</v>
      </c>
      <c r="L8" s="5" t="n">
        <f aca="false">K8-(G8*I8)</f>
        <v>1284.724</v>
      </c>
    </row>
    <row r="9" customFormat="false" ht="16.4" hidden="false" customHeight="false" outlineLevel="0" collapsed="false">
      <c r="A9" s="4" t="s">
        <v>1478</v>
      </c>
      <c r="B9" s="6" t="n">
        <v>45462</v>
      </c>
      <c r="C9" s="4" t="s">
        <v>913</v>
      </c>
      <c r="D9" s="4" t="s">
        <v>236</v>
      </c>
      <c r="E9" s="4" t="s">
        <v>24</v>
      </c>
      <c r="F9" s="4" t="s">
        <v>25</v>
      </c>
      <c r="G9" s="4" t="n">
        <v>24</v>
      </c>
      <c r="H9" s="5" t="n">
        <v>198.4</v>
      </c>
      <c r="I9" s="5" t="n">
        <v>124.01</v>
      </c>
      <c r="J9" s="9" t="n">
        <v>0.05</v>
      </c>
      <c r="K9" s="5" t="n">
        <f aca="false">G9*H9*(1-J9)</f>
        <v>4523.52</v>
      </c>
      <c r="L9" s="5" t="n">
        <f aca="false">K9-(G9*I9)</f>
        <v>1547.28</v>
      </c>
    </row>
    <row r="10" customFormat="false" ht="16.4" hidden="false" customHeight="false" outlineLevel="0" collapsed="false">
      <c r="A10" s="4" t="s">
        <v>1479</v>
      </c>
      <c r="B10" s="6" t="n">
        <v>45851</v>
      </c>
      <c r="C10" s="4" t="s">
        <v>1367</v>
      </c>
      <c r="D10" s="4" t="s">
        <v>292</v>
      </c>
      <c r="E10" s="4" t="s">
        <v>12</v>
      </c>
      <c r="F10" s="4" t="s">
        <v>25</v>
      </c>
      <c r="G10" s="4" t="n">
        <v>13</v>
      </c>
      <c r="H10" s="5" t="n">
        <v>720.71</v>
      </c>
      <c r="I10" s="5" t="n">
        <v>491.69</v>
      </c>
      <c r="J10" s="9" t="n">
        <v>0.02</v>
      </c>
      <c r="K10" s="5" t="n">
        <f aca="false">G10*H10*(1-J10)</f>
        <v>9181.8454</v>
      </c>
      <c r="L10" s="5" t="n">
        <f aca="false">K10-(G10*I10)</f>
        <v>2789.8754</v>
      </c>
    </row>
    <row r="11" customFormat="false" ht="16.4" hidden="false" customHeight="false" outlineLevel="0" collapsed="false">
      <c r="A11" s="4" t="s">
        <v>1480</v>
      </c>
      <c r="B11" s="6" t="n">
        <v>46176</v>
      </c>
      <c r="C11" s="4" t="s">
        <v>1313</v>
      </c>
      <c r="D11" s="4" t="s">
        <v>90</v>
      </c>
      <c r="E11" s="4" t="s">
        <v>18</v>
      </c>
      <c r="F11" s="4" t="s">
        <v>13</v>
      </c>
      <c r="G11" s="4" t="n">
        <v>16</v>
      </c>
      <c r="H11" s="5" t="n">
        <v>535.85</v>
      </c>
      <c r="I11" s="5" t="n">
        <v>284.8</v>
      </c>
      <c r="J11" s="9" t="n">
        <v>0.15</v>
      </c>
      <c r="K11" s="5" t="n">
        <f aca="false">G11*H11*(1-J11)</f>
        <v>7287.56</v>
      </c>
      <c r="L11" s="5" t="n">
        <f aca="false">K11-(G11*I11)</f>
        <v>2730.76</v>
      </c>
    </row>
    <row r="12" customFormat="false" ht="16.4" hidden="false" customHeight="false" outlineLevel="0" collapsed="false">
      <c r="A12" s="4" t="s">
        <v>1481</v>
      </c>
      <c r="B12" s="6" t="n">
        <v>46158</v>
      </c>
      <c r="C12" s="4" t="s">
        <v>927</v>
      </c>
      <c r="D12" s="4" t="s">
        <v>122</v>
      </c>
      <c r="E12" s="4" t="s">
        <v>30</v>
      </c>
      <c r="F12" s="4" t="s">
        <v>7</v>
      </c>
      <c r="G12" s="4" t="n">
        <v>3</v>
      </c>
      <c r="H12" s="5" t="n">
        <v>799.3</v>
      </c>
      <c r="I12" s="5" t="n">
        <v>393.03</v>
      </c>
      <c r="J12" s="9" t="n">
        <v>0.15</v>
      </c>
      <c r="K12" s="5" t="n">
        <f aca="false">G12*H12*(1-J12)</f>
        <v>2038.215</v>
      </c>
      <c r="L12" s="5" t="n">
        <f aca="false">K12-(G12*I12)</f>
        <v>859.125</v>
      </c>
    </row>
    <row r="13" customFormat="false" ht="16.4" hidden="false" customHeight="false" outlineLevel="0" collapsed="false">
      <c r="A13" s="4" t="s">
        <v>1482</v>
      </c>
      <c r="B13" s="6" t="n">
        <v>45399</v>
      </c>
      <c r="C13" s="4" t="s">
        <v>478</v>
      </c>
      <c r="D13" s="4" t="s">
        <v>190</v>
      </c>
      <c r="E13" s="4" t="s">
        <v>6</v>
      </c>
      <c r="F13" s="4" t="s">
        <v>7</v>
      </c>
      <c r="G13" s="4" t="n">
        <v>11</v>
      </c>
      <c r="H13" s="5" t="n">
        <v>1040.91</v>
      </c>
      <c r="I13" s="5" t="n">
        <v>770.78</v>
      </c>
      <c r="J13" s="9" t="n">
        <v>0.02</v>
      </c>
      <c r="K13" s="5" t="n">
        <f aca="false">G13*H13*(1-J13)</f>
        <v>11221.0098</v>
      </c>
      <c r="L13" s="5" t="n">
        <f aca="false">K13-(G13*I13)</f>
        <v>2742.4298</v>
      </c>
    </row>
    <row r="14" customFormat="false" ht="16.4" hidden="false" customHeight="false" outlineLevel="0" collapsed="false">
      <c r="A14" s="4" t="s">
        <v>1483</v>
      </c>
      <c r="B14" s="6" t="n">
        <v>46041</v>
      </c>
      <c r="C14" s="4" t="s">
        <v>639</v>
      </c>
      <c r="D14" s="4" t="s">
        <v>214</v>
      </c>
      <c r="E14" s="4" t="s">
        <v>24</v>
      </c>
      <c r="F14" s="4" t="s">
        <v>7</v>
      </c>
      <c r="G14" s="4" t="n">
        <v>13</v>
      </c>
      <c r="H14" s="5" t="n">
        <v>870.71</v>
      </c>
      <c r="I14" s="5" t="n">
        <v>409.35</v>
      </c>
      <c r="J14" s="9" t="n">
        <v>0</v>
      </c>
      <c r="K14" s="5" t="n">
        <f aca="false">G14*H14*(1-J14)</f>
        <v>11319.23</v>
      </c>
      <c r="L14" s="5" t="n">
        <f aca="false">K14-(G14*I14)</f>
        <v>5997.68</v>
      </c>
    </row>
    <row r="15" customFormat="false" ht="16.4" hidden="false" customHeight="false" outlineLevel="0" collapsed="false">
      <c r="A15" s="4" t="s">
        <v>1484</v>
      </c>
      <c r="B15" s="6" t="n">
        <v>45900</v>
      </c>
      <c r="C15" s="4" t="s">
        <v>1429</v>
      </c>
      <c r="D15" s="4" t="s">
        <v>320</v>
      </c>
      <c r="E15" s="4" t="s">
        <v>18</v>
      </c>
      <c r="F15" s="4" t="s">
        <v>25</v>
      </c>
      <c r="G15" s="4" t="n">
        <v>3</v>
      </c>
      <c r="H15" s="5" t="n">
        <v>956.7</v>
      </c>
      <c r="I15" s="5" t="n">
        <v>370.45</v>
      </c>
      <c r="J15" s="9" t="n">
        <v>0.02</v>
      </c>
      <c r="K15" s="5" t="n">
        <f aca="false">G15*H15*(1-J15)</f>
        <v>2812.698</v>
      </c>
      <c r="L15" s="5" t="n">
        <f aca="false">K15-(G15*I15)</f>
        <v>1701.348</v>
      </c>
    </row>
    <row r="16" customFormat="false" ht="16.4" hidden="false" customHeight="false" outlineLevel="0" collapsed="false">
      <c r="A16" s="4" t="s">
        <v>1485</v>
      </c>
      <c r="B16" s="6" t="n">
        <v>45460</v>
      </c>
      <c r="C16" s="4" t="s">
        <v>491</v>
      </c>
      <c r="D16" s="4" t="s">
        <v>400</v>
      </c>
      <c r="E16" s="4" t="s">
        <v>12</v>
      </c>
      <c r="F16" s="4" t="s">
        <v>25</v>
      </c>
      <c r="G16" s="4" t="n">
        <v>14</v>
      </c>
      <c r="H16" s="5" t="n">
        <v>622.92</v>
      </c>
      <c r="I16" s="5" t="n">
        <v>286.15</v>
      </c>
      <c r="J16" s="9" t="n">
        <v>0.1</v>
      </c>
      <c r="K16" s="5" t="n">
        <f aca="false">G16*H16*(1-J16)</f>
        <v>7848.792</v>
      </c>
      <c r="L16" s="5" t="n">
        <f aca="false">K16-(G16*I16)</f>
        <v>3842.692</v>
      </c>
    </row>
    <row r="17" customFormat="false" ht="16.4" hidden="false" customHeight="false" outlineLevel="0" collapsed="false">
      <c r="A17" s="4" t="s">
        <v>1486</v>
      </c>
      <c r="B17" s="6" t="n">
        <v>45502</v>
      </c>
      <c r="C17" s="4" t="s">
        <v>516</v>
      </c>
      <c r="D17" s="4" t="s">
        <v>120</v>
      </c>
      <c r="E17" s="4" t="s">
        <v>30</v>
      </c>
      <c r="F17" s="4" t="s">
        <v>13</v>
      </c>
      <c r="G17" s="4" t="n">
        <v>4</v>
      </c>
      <c r="H17" s="5" t="n">
        <v>946.93</v>
      </c>
      <c r="I17" s="5" t="n">
        <v>637.28</v>
      </c>
      <c r="J17" s="9" t="n">
        <v>0.02</v>
      </c>
      <c r="K17" s="5" t="n">
        <f aca="false">G17*H17*(1-J17)</f>
        <v>3711.9656</v>
      </c>
      <c r="L17" s="5" t="n">
        <f aca="false">K17-(G17*I17)</f>
        <v>1162.8456</v>
      </c>
    </row>
    <row r="18" customFormat="false" ht="16.4" hidden="false" customHeight="false" outlineLevel="0" collapsed="false">
      <c r="A18" s="4" t="s">
        <v>1487</v>
      </c>
      <c r="B18" s="6" t="n">
        <v>46039</v>
      </c>
      <c r="C18" s="4" t="s">
        <v>1177</v>
      </c>
      <c r="D18" s="4" t="s">
        <v>248</v>
      </c>
      <c r="E18" s="4" t="s">
        <v>12</v>
      </c>
      <c r="F18" s="4" t="s">
        <v>19</v>
      </c>
      <c r="G18" s="4" t="n">
        <v>18</v>
      </c>
      <c r="H18" s="5" t="n">
        <v>329.55</v>
      </c>
      <c r="I18" s="5" t="n">
        <v>147.93</v>
      </c>
      <c r="J18" s="9" t="n">
        <v>0.1</v>
      </c>
      <c r="K18" s="5" t="n">
        <f aca="false">G18*H18*(1-J18)</f>
        <v>5338.71</v>
      </c>
      <c r="L18" s="5" t="n">
        <f aca="false">K18-(G18*I18)</f>
        <v>2675.97</v>
      </c>
    </row>
    <row r="19" customFormat="false" ht="16.4" hidden="false" customHeight="false" outlineLevel="0" collapsed="false">
      <c r="A19" s="4" t="s">
        <v>1488</v>
      </c>
      <c r="B19" s="6" t="n">
        <v>45390</v>
      </c>
      <c r="C19" s="4" t="s">
        <v>753</v>
      </c>
      <c r="D19" s="4" t="s">
        <v>378</v>
      </c>
      <c r="E19" s="4" t="s">
        <v>24</v>
      </c>
      <c r="F19" s="4" t="s">
        <v>7</v>
      </c>
      <c r="G19" s="4" t="n">
        <v>10</v>
      </c>
      <c r="H19" s="5" t="n">
        <v>1163.64</v>
      </c>
      <c r="I19" s="5" t="n">
        <v>626.04</v>
      </c>
      <c r="J19" s="9" t="n">
        <v>0</v>
      </c>
      <c r="K19" s="5" t="n">
        <f aca="false">G19*H19*(1-J19)</f>
        <v>11636.4</v>
      </c>
      <c r="L19" s="5" t="n">
        <f aca="false">K19-(G19*I19)</f>
        <v>5376</v>
      </c>
    </row>
    <row r="20" customFormat="false" ht="16.4" hidden="false" customHeight="false" outlineLevel="0" collapsed="false">
      <c r="A20" s="4" t="s">
        <v>1489</v>
      </c>
      <c r="B20" s="6" t="n">
        <v>45794</v>
      </c>
      <c r="C20" s="4" t="s">
        <v>1049</v>
      </c>
      <c r="D20" s="4" t="s">
        <v>240</v>
      </c>
      <c r="E20" s="4" t="s">
        <v>24</v>
      </c>
      <c r="F20" s="4" t="s">
        <v>13</v>
      </c>
      <c r="G20" s="4" t="n">
        <v>18</v>
      </c>
      <c r="H20" s="5" t="n">
        <v>679.95</v>
      </c>
      <c r="I20" s="5" t="n">
        <v>487.52</v>
      </c>
      <c r="J20" s="9" t="n">
        <v>0.15</v>
      </c>
      <c r="K20" s="5" t="n">
        <f aca="false">G20*H20*(1-J20)</f>
        <v>10403.235</v>
      </c>
      <c r="L20" s="5" t="n">
        <f aca="false">K20-(G20*I20)</f>
        <v>1627.875</v>
      </c>
    </row>
    <row r="21" customFormat="false" ht="16.4" hidden="false" customHeight="false" outlineLevel="0" collapsed="false">
      <c r="A21" s="4" t="s">
        <v>1490</v>
      </c>
      <c r="B21" s="6" t="n">
        <v>45381</v>
      </c>
      <c r="C21" s="4" t="s">
        <v>833</v>
      </c>
      <c r="D21" s="4" t="s">
        <v>66</v>
      </c>
      <c r="E21" s="4" t="s">
        <v>30</v>
      </c>
      <c r="F21" s="4" t="s">
        <v>19</v>
      </c>
      <c r="G21" s="4" t="n">
        <v>1</v>
      </c>
      <c r="H21" s="5" t="n">
        <v>771.1</v>
      </c>
      <c r="I21" s="5" t="n">
        <v>434.64</v>
      </c>
      <c r="J21" s="9" t="n">
        <v>0.05</v>
      </c>
      <c r="K21" s="5" t="n">
        <f aca="false">G21*H21*(1-J21)</f>
        <v>732.545</v>
      </c>
      <c r="L21" s="5" t="n">
        <f aca="false">K21-(G21*I21)</f>
        <v>297.905</v>
      </c>
    </row>
    <row r="22" customFormat="false" ht="16.4" hidden="false" customHeight="false" outlineLevel="0" collapsed="false">
      <c r="A22" s="4" t="s">
        <v>1491</v>
      </c>
      <c r="B22" s="6" t="n">
        <v>45496</v>
      </c>
      <c r="C22" s="4" t="s">
        <v>1105</v>
      </c>
      <c r="D22" s="4" t="s">
        <v>378</v>
      </c>
      <c r="E22" s="4" t="s">
        <v>6</v>
      </c>
      <c r="F22" s="4" t="s">
        <v>7</v>
      </c>
      <c r="G22" s="4" t="n">
        <v>20</v>
      </c>
      <c r="H22" s="5" t="n">
        <v>1163.64</v>
      </c>
      <c r="I22" s="5" t="n">
        <v>626.04</v>
      </c>
      <c r="J22" s="9" t="n">
        <v>0.05</v>
      </c>
      <c r="K22" s="5" t="n">
        <f aca="false">G22*H22*(1-J22)</f>
        <v>22109.16</v>
      </c>
      <c r="L22" s="5" t="n">
        <f aca="false">K22-(G22*I22)</f>
        <v>9588.36</v>
      </c>
    </row>
    <row r="23" customFormat="false" ht="16.4" hidden="false" customHeight="false" outlineLevel="0" collapsed="false">
      <c r="A23" s="4" t="s">
        <v>1492</v>
      </c>
      <c r="B23" s="6" t="n">
        <v>45590</v>
      </c>
      <c r="C23" s="4" t="s">
        <v>675</v>
      </c>
      <c r="D23" s="4" t="s">
        <v>52</v>
      </c>
      <c r="E23" s="4" t="s">
        <v>12</v>
      </c>
      <c r="F23" s="4" t="s">
        <v>7</v>
      </c>
      <c r="G23" s="4" t="n">
        <v>6</v>
      </c>
      <c r="H23" s="5" t="n">
        <v>145.1</v>
      </c>
      <c r="I23" s="5" t="n">
        <v>72.84</v>
      </c>
      <c r="J23" s="9" t="n">
        <v>0.1</v>
      </c>
      <c r="K23" s="5" t="n">
        <f aca="false">G23*H23*(1-J23)</f>
        <v>783.54</v>
      </c>
      <c r="L23" s="5" t="n">
        <f aca="false">K23-(G23*I23)</f>
        <v>346.5</v>
      </c>
    </row>
    <row r="24" customFormat="false" ht="16.4" hidden="false" customHeight="false" outlineLevel="0" collapsed="false">
      <c r="A24" s="4" t="s">
        <v>1493</v>
      </c>
      <c r="B24" s="6" t="n">
        <v>46095</v>
      </c>
      <c r="C24" s="4" t="s">
        <v>1329</v>
      </c>
      <c r="D24" s="4" t="s">
        <v>282</v>
      </c>
      <c r="E24" s="4" t="s">
        <v>18</v>
      </c>
      <c r="F24" s="4" t="s">
        <v>25</v>
      </c>
      <c r="G24" s="4" t="n">
        <v>4</v>
      </c>
      <c r="H24" s="5" t="n">
        <v>259.25</v>
      </c>
      <c r="I24" s="5" t="n">
        <v>92.85</v>
      </c>
      <c r="J24" s="9" t="n">
        <v>0.02</v>
      </c>
      <c r="K24" s="5" t="n">
        <f aca="false">G24*H24*(1-J24)</f>
        <v>1016.26</v>
      </c>
      <c r="L24" s="5" t="n">
        <f aca="false">K24-(G24*I24)</f>
        <v>644.86</v>
      </c>
    </row>
    <row r="25" customFormat="false" ht="16.4" hidden="false" customHeight="false" outlineLevel="0" collapsed="false">
      <c r="A25" s="4" t="s">
        <v>1494</v>
      </c>
      <c r="B25" s="6" t="n">
        <v>45385</v>
      </c>
      <c r="C25" s="4" t="s">
        <v>965</v>
      </c>
      <c r="D25" s="4" t="s">
        <v>280</v>
      </c>
      <c r="E25" s="4" t="s">
        <v>30</v>
      </c>
      <c r="F25" s="4" t="s">
        <v>25</v>
      </c>
      <c r="G25" s="4" t="n">
        <v>22</v>
      </c>
      <c r="H25" s="5" t="n">
        <v>942.95</v>
      </c>
      <c r="I25" s="5" t="n">
        <v>575.86</v>
      </c>
      <c r="J25" s="9" t="n">
        <v>0.02</v>
      </c>
      <c r="K25" s="5" t="n">
        <f aca="false">G25*H25*(1-J25)</f>
        <v>20330.002</v>
      </c>
      <c r="L25" s="5" t="n">
        <f aca="false">K25-(G25*I25)</f>
        <v>7661.082</v>
      </c>
    </row>
    <row r="26" customFormat="false" ht="16.4" hidden="false" customHeight="false" outlineLevel="0" collapsed="false">
      <c r="A26" s="4" t="s">
        <v>1495</v>
      </c>
      <c r="B26" s="6" t="n">
        <v>45483</v>
      </c>
      <c r="C26" s="4" t="s">
        <v>843</v>
      </c>
      <c r="D26" s="4" t="s">
        <v>134</v>
      </c>
      <c r="E26" s="4" t="s">
        <v>6</v>
      </c>
      <c r="F26" s="4" t="s">
        <v>25</v>
      </c>
      <c r="G26" s="4" t="n">
        <v>13</v>
      </c>
      <c r="H26" s="5" t="n">
        <v>1113.48</v>
      </c>
      <c r="I26" s="5" t="n">
        <v>767.72</v>
      </c>
      <c r="J26" s="9" t="n">
        <v>0.02</v>
      </c>
      <c r="K26" s="5" t="n">
        <f aca="false">G26*H26*(1-J26)</f>
        <v>14185.7352</v>
      </c>
      <c r="L26" s="5" t="n">
        <f aca="false">K26-(G26*I26)</f>
        <v>4205.3752</v>
      </c>
    </row>
    <row r="27" customFormat="false" ht="16.4" hidden="false" customHeight="false" outlineLevel="0" collapsed="false">
      <c r="A27" s="4" t="s">
        <v>1496</v>
      </c>
      <c r="B27" s="6" t="n">
        <v>45561</v>
      </c>
      <c r="C27" s="4" t="s">
        <v>733</v>
      </c>
      <c r="D27" s="4" t="s">
        <v>62</v>
      </c>
      <c r="E27" s="4" t="s">
        <v>6</v>
      </c>
      <c r="F27" s="4" t="s">
        <v>13</v>
      </c>
      <c r="G27" s="4" t="n">
        <v>15</v>
      </c>
      <c r="H27" s="5" t="n">
        <v>351.62</v>
      </c>
      <c r="I27" s="5" t="n">
        <v>212.47</v>
      </c>
      <c r="J27" s="9" t="n">
        <v>0.05</v>
      </c>
      <c r="K27" s="5" t="n">
        <f aca="false">G27*H27*(1-J27)</f>
        <v>5010.585</v>
      </c>
      <c r="L27" s="5" t="n">
        <f aca="false">K27-(G27*I27)</f>
        <v>1823.535</v>
      </c>
    </row>
    <row r="28" customFormat="false" ht="16.4" hidden="false" customHeight="false" outlineLevel="0" collapsed="false">
      <c r="A28" s="4" t="s">
        <v>1497</v>
      </c>
      <c r="B28" s="6" t="n">
        <v>46062</v>
      </c>
      <c r="C28" s="4" t="s">
        <v>1041</v>
      </c>
      <c r="D28" s="4" t="s">
        <v>176</v>
      </c>
      <c r="E28" s="4" t="s">
        <v>12</v>
      </c>
      <c r="F28" s="4" t="s">
        <v>7</v>
      </c>
      <c r="G28" s="4" t="n">
        <v>2</v>
      </c>
      <c r="H28" s="5" t="n">
        <v>931.07</v>
      </c>
      <c r="I28" s="5" t="n">
        <v>563.15</v>
      </c>
      <c r="J28" s="9" t="n">
        <v>0</v>
      </c>
      <c r="K28" s="5" t="n">
        <f aca="false">G28*H28*(1-J28)</f>
        <v>1862.14</v>
      </c>
      <c r="L28" s="5" t="n">
        <f aca="false">K28-(G28*I28)</f>
        <v>735.84</v>
      </c>
    </row>
    <row r="29" customFormat="false" ht="16.4" hidden="false" customHeight="false" outlineLevel="0" collapsed="false">
      <c r="A29" s="4" t="s">
        <v>1498</v>
      </c>
      <c r="B29" s="6" t="n">
        <v>45846</v>
      </c>
      <c r="C29" s="4" t="s">
        <v>1149</v>
      </c>
      <c r="D29" s="4" t="s">
        <v>82</v>
      </c>
      <c r="E29" s="4" t="s">
        <v>24</v>
      </c>
      <c r="F29" s="4" t="s">
        <v>25</v>
      </c>
      <c r="G29" s="4" t="n">
        <v>12</v>
      </c>
      <c r="H29" s="5" t="n">
        <v>762.25</v>
      </c>
      <c r="I29" s="5" t="n">
        <v>508.29</v>
      </c>
      <c r="J29" s="9" t="n">
        <v>0.15</v>
      </c>
      <c r="K29" s="5" t="n">
        <f aca="false">G29*H29*(1-J29)</f>
        <v>7774.95</v>
      </c>
      <c r="L29" s="5" t="n">
        <f aca="false">K29-(G29*I29)</f>
        <v>1675.47</v>
      </c>
    </row>
    <row r="30" customFormat="false" ht="16.4" hidden="false" customHeight="false" outlineLevel="0" collapsed="false">
      <c r="A30" s="4" t="s">
        <v>1499</v>
      </c>
      <c r="B30" s="6" t="n">
        <v>45354</v>
      </c>
      <c r="C30" s="4" t="s">
        <v>1067</v>
      </c>
      <c r="D30" s="4" t="s">
        <v>426</v>
      </c>
      <c r="E30" s="4" t="s">
        <v>24</v>
      </c>
      <c r="F30" s="4" t="s">
        <v>25</v>
      </c>
      <c r="G30" s="4" t="n">
        <v>8</v>
      </c>
      <c r="H30" s="5" t="n">
        <v>576.65</v>
      </c>
      <c r="I30" s="5" t="n">
        <v>425.38</v>
      </c>
      <c r="J30" s="9" t="n">
        <v>0.08</v>
      </c>
      <c r="K30" s="5" t="n">
        <f aca="false">G30*H30*(1-J30)</f>
        <v>4244.144</v>
      </c>
      <c r="L30" s="5" t="n">
        <f aca="false">K30-(G30*I30)</f>
        <v>841.104</v>
      </c>
    </row>
    <row r="31" customFormat="false" ht="16.4" hidden="false" customHeight="false" outlineLevel="0" collapsed="false">
      <c r="A31" s="4" t="s">
        <v>1500</v>
      </c>
      <c r="B31" s="6" t="n">
        <v>46179</v>
      </c>
      <c r="C31" s="4" t="s">
        <v>893</v>
      </c>
      <c r="D31" s="4" t="s">
        <v>306</v>
      </c>
      <c r="E31" s="4" t="s">
        <v>12</v>
      </c>
      <c r="F31" s="4" t="s">
        <v>25</v>
      </c>
      <c r="G31" s="4" t="n">
        <v>18</v>
      </c>
      <c r="H31" s="5" t="n">
        <v>995.24</v>
      </c>
      <c r="I31" s="5" t="n">
        <v>584.2</v>
      </c>
      <c r="J31" s="9" t="n">
        <v>0.1</v>
      </c>
      <c r="K31" s="5" t="n">
        <f aca="false">G31*H31*(1-J31)</f>
        <v>16122.888</v>
      </c>
      <c r="L31" s="5" t="n">
        <f aca="false">K31-(G31*I31)</f>
        <v>5607.288</v>
      </c>
    </row>
    <row r="32" customFormat="false" ht="16.4" hidden="false" customHeight="false" outlineLevel="0" collapsed="false">
      <c r="A32" s="4" t="s">
        <v>1501</v>
      </c>
      <c r="B32" s="6" t="n">
        <v>45598</v>
      </c>
      <c r="C32" s="4" t="s">
        <v>1367</v>
      </c>
      <c r="D32" s="4" t="s">
        <v>332</v>
      </c>
      <c r="E32" s="4" t="s">
        <v>12</v>
      </c>
      <c r="F32" s="4" t="s">
        <v>7</v>
      </c>
      <c r="G32" s="4" t="n">
        <v>8</v>
      </c>
      <c r="H32" s="5" t="n">
        <v>1003.34</v>
      </c>
      <c r="I32" s="5" t="n">
        <v>470.06</v>
      </c>
      <c r="J32" s="9" t="n">
        <v>0.05</v>
      </c>
      <c r="K32" s="5" t="n">
        <f aca="false">G32*H32*(1-J32)</f>
        <v>7625.384</v>
      </c>
      <c r="L32" s="5" t="n">
        <f aca="false">K32-(G32*I32)</f>
        <v>3864.904</v>
      </c>
    </row>
    <row r="33" customFormat="false" ht="16.4" hidden="false" customHeight="false" outlineLevel="0" collapsed="false">
      <c r="A33" s="4" t="s">
        <v>1502</v>
      </c>
      <c r="B33" s="6" t="n">
        <v>45806</v>
      </c>
      <c r="C33" s="4" t="s">
        <v>1389</v>
      </c>
      <c r="D33" s="4" t="s">
        <v>242</v>
      </c>
      <c r="E33" s="4" t="s">
        <v>30</v>
      </c>
      <c r="F33" s="4" t="s">
        <v>13</v>
      </c>
      <c r="G33" s="4" t="n">
        <v>23</v>
      </c>
      <c r="H33" s="5" t="n">
        <v>966.66</v>
      </c>
      <c r="I33" s="5" t="n">
        <v>596.46</v>
      </c>
      <c r="J33" s="9" t="n">
        <v>0</v>
      </c>
      <c r="K33" s="5" t="n">
        <f aca="false">G33*H33*(1-J33)</f>
        <v>22233.18</v>
      </c>
      <c r="L33" s="5" t="n">
        <f aca="false">K33-(G33*I33)</f>
        <v>8514.6</v>
      </c>
    </row>
    <row r="34" customFormat="false" ht="16.4" hidden="false" customHeight="false" outlineLevel="0" collapsed="false">
      <c r="A34" s="4" t="s">
        <v>1503</v>
      </c>
      <c r="B34" s="6" t="n">
        <v>45469</v>
      </c>
      <c r="C34" s="4" t="s">
        <v>1437</v>
      </c>
      <c r="D34" s="4" t="s">
        <v>100</v>
      </c>
      <c r="E34" s="4" t="s">
        <v>12</v>
      </c>
      <c r="F34" s="4" t="s">
        <v>13</v>
      </c>
      <c r="G34" s="4" t="n">
        <v>25</v>
      </c>
      <c r="H34" s="5" t="n">
        <v>93.06</v>
      </c>
      <c r="I34" s="5" t="n">
        <v>65.25</v>
      </c>
      <c r="J34" s="9" t="n">
        <v>0.05</v>
      </c>
      <c r="K34" s="5" t="n">
        <f aca="false">G34*H34*(1-J34)</f>
        <v>2210.175</v>
      </c>
      <c r="L34" s="5" t="n">
        <f aca="false">K34-(G34*I34)</f>
        <v>578.925</v>
      </c>
    </row>
    <row r="35" customFormat="false" ht="16.4" hidden="false" customHeight="false" outlineLevel="0" collapsed="false">
      <c r="A35" s="4" t="s">
        <v>1504</v>
      </c>
      <c r="B35" s="6" t="n">
        <v>45335</v>
      </c>
      <c r="C35" s="4" t="s">
        <v>1291</v>
      </c>
      <c r="D35" s="4" t="s">
        <v>148</v>
      </c>
      <c r="E35" s="4" t="s">
        <v>30</v>
      </c>
      <c r="F35" s="4" t="s">
        <v>25</v>
      </c>
      <c r="G35" s="4" t="n">
        <v>7</v>
      </c>
      <c r="H35" s="5" t="n">
        <v>104.85</v>
      </c>
      <c r="I35" s="5" t="n">
        <v>72.84</v>
      </c>
      <c r="J35" s="9" t="n">
        <v>0</v>
      </c>
      <c r="K35" s="5" t="n">
        <f aca="false">G35*H35*(1-J35)</f>
        <v>733.95</v>
      </c>
      <c r="L35" s="5" t="n">
        <f aca="false">K35-(G35*I35)</f>
        <v>224.07</v>
      </c>
    </row>
    <row r="36" customFormat="false" ht="16.4" hidden="false" customHeight="false" outlineLevel="0" collapsed="false">
      <c r="A36" s="4" t="s">
        <v>1505</v>
      </c>
      <c r="B36" s="6" t="n">
        <v>46134</v>
      </c>
      <c r="C36" s="4" t="s">
        <v>1163</v>
      </c>
      <c r="D36" s="4" t="s">
        <v>80</v>
      </c>
      <c r="E36" s="4" t="s">
        <v>30</v>
      </c>
      <c r="F36" s="4" t="s">
        <v>13</v>
      </c>
      <c r="G36" s="4" t="n">
        <v>14</v>
      </c>
      <c r="H36" s="5" t="n">
        <v>623.69</v>
      </c>
      <c r="I36" s="5" t="n">
        <v>240.97</v>
      </c>
      <c r="J36" s="9" t="n">
        <v>0</v>
      </c>
      <c r="K36" s="5" t="n">
        <f aca="false">G36*H36*(1-J36)</f>
        <v>8731.66</v>
      </c>
      <c r="L36" s="5" t="n">
        <f aca="false">K36-(G36*I36)</f>
        <v>5358.08</v>
      </c>
    </row>
    <row r="37" customFormat="false" ht="16.4" hidden="false" customHeight="false" outlineLevel="0" collapsed="false">
      <c r="A37" s="4" t="s">
        <v>1506</v>
      </c>
      <c r="B37" s="6" t="n">
        <v>46118</v>
      </c>
      <c r="C37" s="4" t="s">
        <v>729</v>
      </c>
      <c r="D37" s="4" t="s">
        <v>344</v>
      </c>
      <c r="E37" s="4" t="s">
        <v>30</v>
      </c>
      <c r="F37" s="4" t="s">
        <v>7</v>
      </c>
      <c r="G37" s="4" t="n">
        <v>11</v>
      </c>
      <c r="H37" s="5" t="n">
        <v>200.31</v>
      </c>
      <c r="I37" s="5" t="n">
        <v>115.21</v>
      </c>
      <c r="J37" s="9" t="n">
        <v>0.1</v>
      </c>
      <c r="K37" s="5" t="n">
        <f aca="false">G37*H37*(1-J37)</f>
        <v>1983.069</v>
      </c>
      <c r="L37" s="5" t="n">
        <f aca="false">K37-(G37*I37)</f>
        <v>715.759</v>
      </c>
    </row>
    <row r="38" customFormat="false" ht="16.4" hidden="false" customHeight="false" outlineLevel="0" collapsed="false">
      <c r="A38" s="4" t="s">
        <v>1507</v>
      </c>
      <c r="B38" s="6" t="n">
        <v>45857</v>
      </c>
      <c r="C38" s="4" t="s">
        <v>861</v>
      </c>
      <c r="D38" s="4" t="s">
        <v>84</v>
      </c>
      <c r="E38" s="4" t="s">
        <v>24</v>
      </c>
      <c r="F38" s="4" t="s">
        <v>19</v>
      </c>
      <c r="G38" s="4" t="n">
        <v>18</v>
      </c>
      <c r="H38" s="5" t="n">
        <v>473.4</v>
      </c>
      <c r="I38" s="5" t="n">
        <v>354.32</v>
      </c>
      <c r="J38" s="9" t="n">
        <v>0.05</v>
      </c>
      <c r="K38" s="5" t="n">
        <f aca="false">G38*H38*(1-J38)</f>
        <v>8095.14</v>
      </c>
      <c r="L38" s="5" t="n">
        <f aca="false">K38-(G38*I38)</f>
        <v>1717.38</v>
      </c>
    </row>
    <row r="39" customFormat="false" ht="16.4" hidden="false" customHeight="false" outlineLevel="0" collapsed="false">
      <c r="A39" s="4" t="s">
        <v>1508</v>
      </c>
      <c r="B39" s="6" t="n">
        <v>45304</v>
      </c>
      <c r="C39" s="4" t="s">
        <v>997</v>
      </c>
      <c r="D39" s="4" t="s">
        <v>180</v>
      </c>
      <c r="E39" s="4" t="s">
        <v>6</v>
      </c>
      <c r="F39" s="4" t="s">
        <v>25</v>
      </c>
      <c r="G39" s="4" t="n">
        <v>15</v>
      </c>
      <c r="H39" s="5" t="n">
        <v>1135.43</v>
      </c>
      <c r="I39" s="5" t="n">
        <v>711.24</v>
      </c>
      <c r="J39" s="9" t="n">
        <v>0.15</v>
      </c>
      <c r="K39" s="5" t="n">
        <f aca="false">G39*H39*(1-J39)</f>
        <v>14476.7325</v>
      </c>
      <c r="L39" s="5" t="n">
        <f aca="false">K39-(G39*I39)</f>
        <v>3808.1325</v>
      </c>
    </row>
    <row r="40" customFormat="false" ht="16.4" hidden="false" customHeight="false" outlineLevel="0" collapsed="false">
      <c r="A40" s="4" t="s">
        <v>1509</v>
      </c>
      <c r="B40" s="6" t="n">
        <v>45872</v>
      </c>
      <c r="C40" s="4" t="s">
        <v>889</v>
      </c>
      <c r="D40" s="4" t="s">
        <v>96</v>
      </c>
      <c r="E40" s="4" t="s">
        <v>18</v>
      </c>
      <c r="F40" s="4" t="s">
        <v>7</v>
      </c>
      <c r="G40" s="4" t="n">
        <v>5</v>
      </c>
      <c r="H40" s="5" t="n">
        <v>1145.36</v>
      </c>
      <c r="I40" s="5" t="n">
        <v>823.48</v>
      </c>
      <c r="J40" s="9" t="n">
        <v>0</v>
      </c>
      <c r="K40" s="5" t="n">
        <f aca="false">G40*H40*(1-J40)</f>
        <v>5726.8</v>
      </c>
      <c r="L40" s="5" t="n">
        <f aca="false">K40-(G40*I40)</f>
        <v>1609.4</v>
      </c>
    </row>
    <row r="41" customFormat="false" ht="16.4" hidden="false" customHeight="false" outlineLevel="0" collapsed="false">
      <c r="A41" s="4" t="s">
        <v>1510</v>
      </c>
      <c r="B41" s="6" t="n">
        <v>46096</v>
      </c>
      <c r="C41" s="4" t="s">
        <v>1041</v>
      </c>
      <c r="D41" s="4" t="s">
        <v>94</v>
      </c>
      <c r="E41" s="4" t="s">
        <v>12</v>
      </c>
      <c r="F41" s="4" t="s">
        <v>19</v>
      </c>
      <c r="G41" s="4" t="n">
        <v>25</v>
      </c>
      <c r="H41" s="5" t="n">
        <v>740.54</v>
      </c>
      <c r="I41" s="5" t="n">
        <v>304.46</v>
      </c>
      <c r="J41" s="9" t="n">
        <v>0</v>
      </c>
      <c r="K41" s="5" t="n">
        <f aca="false">G41*H41*(1-J41)</f>
        <v>18513.5</v>
      </c>
      <c r="L41" s="5" t="n">
        <f aca="false">K41-(G41*I41)</f>
        <v>10902</v>
      </c>
    </row>
    <row r="42" customFormat="false" ht="16.4" hidden="false" customHeight="false" outlineLevel="0" collapsed="false">
      <c r="A42" s="4" t="s">
        <v>1511</v>
      </c>
      <c r="B42" s="6" t="n">
        <v>45562</v>
      </c>
      <c r="C42" s="4" t="s">
        <v>1365</v>
      </c>
      <c r="D42" s="4" t="s">
        <v>314</v>
      </c>
      <c r="E42" s="4" t="s">
        <v>12</v>
      </c>
      <c r="F42" s="4" t="s">
        <v>25</v>
      </c>
      <c r="G42" s="4" t="n">
        <v>12</v>
      </c>
      <c r="H42" s="5" t="n">
        <v>353.6</v>
      </c>
      <c r="I42" s="5" t="n">
        <v>208.08</v>
      </c>
      <c r="J42" s="9" t="n">
        <v>0.05</v>
      </c>
      <c r="K42" s="5" t="n">
        <f aca="false">G42*H42*(1-J42)</f>
        <v>4031.04</v>
      </c>
      <c r="L42" s="5" t="n">
        <f aca="false">K42-(G42*I42)</f>
        <v>1534.08</v>
      </c>
    </row>
    <row r="43" customFormat="false" ht="16.4" hidden="false" customHeight="false" outlineLevel="0" collapsed="false">
      <c r="A43" s="4" t="s">
        <v>1512</v>
      </c>
      <c r="B43" s="6" t="n">
        <v>45776</v>
      </c>
      <c r="C43" s="4" t="s">
        <v>961</v>
      </c>
      <c r="D43" s="4" t="s">
        <v>374</v>
      </c>
      <c r="E43" s="4" t="s">
        <v>30</v>
      </c>
      <c r="F43" s="4" t="s">
        <v>7</v>
      </c>
      <c r="G43" s="4" t="n">
        <v>19</v>
      </c>
      <c r="H43" s="5" t="n">
        <v>702.09</v>
      </c>
      <c r="I43" s="5" t="n">
        <v>460.04</v>
      </c>
      <c r="J43" s="9" t="n">
        <v>0.08</v>
      </c>
      <c r="K43" s="5" t="n">
        <f aca="false">G43*H43*(1-J43)</f>
        <v>12272.5332</v>
      </c>
      <c r="L43" s="5" t="n">
        <f aca="false">K43-(G43*I43)</f>
        <v>3531.7732</v>
      </c>
    </row>
    <row r="44" customFormat="false" ht="16.4" hidden="false" customHeight="false" outlineLevel="0" collapsed="false">
      <c r="A44" s="4" t="s">
        <v>1513</v>
      </c>
      <c r="B44" s="6" t="n">
        <v>45925</v>
      </c>
      <c r="C44" s="4" t="s">
        <v>747</v>
      </c>
      <c r="D44" s="4" t="s">
        <v>128</v>
      </c>
      <c r="E44" s="4" t="s">
        <v>12</v>
      </c>
      <c r="F44" s="4" t="s">
        <v>25</v>
      </c>
      <c r="G44" s="4" t="n">
        <v>13</v>
      </c>
      <c r="H44" s="5" t="n">
        <v>248.5</v>
      </c>
      <c r="I44" s="5" t="n">
        <v>131.57</v>
      </c>
      <c r="J44" s="9" t="n">
        <v>0</v>
      </c>
      <c r="K44" s="5" t="n">
        <f aca="false">G44*H44*(1-J44)</f>
        <v>3230.5</v>
      </c>
      <c r="L44" s="5" t="n">
        <f aca="false">K44-(G44*I44)</f>
        <v>1520.09</v>
      </c>
    </row>
    <row r="45" customFormat="false" ht="16.4" hidden="false" customHeight="false" outlineLevel="0" collapsed="false">
      <c r="A45" s="4" t="s">
        <v>1514</v>
      </c>
      <c r="B45" s="6" t="n">
        <v>45535</v>
      </c>
      <c r="C45" s="4" t="s">
        <v>869</v>
      </c>
      <c r="D45" s="4" t="s">
        <v>58</v>
      </c>
      <c r="E45" s="4" t="s">
        <v>30</v>
      </c>
      <c r="F45" s="4" t="s">
        <v>7</v>
      </c>
      <c r="G45" s="4" t="n">
        <v>11</v>
      </c>
      <c r="H45" s="5" t="n">
        <v>250.94</v>
      </c>
      <c r="I45" s="5" t="n">
        <v>94.81</v>
      </c>
      <c r="J45" s="9" t="n">
        <v>0.1</v>
      </c>
      <c r="K45" s="5" t="n">
        <f aca="false">G45*H45*(1-J45)</f>
        <v>2484.306</v>
      </c>
      <c r="L45" s="5" t="n">
        <f aca="false">K45-(G45*I45)</f>
        <v>1441.396</v>
      </c>
    </row>
    <row r="46" customFormat="false" ht="16.4" hidden="false" customHeight="false" outlineLevel="0" collapsed="false">
      <c r="A46" s="4" t="s">
        <v>1515</v>
      </c>
      <c r="B46" s="6" t="n">
        <v>45312</v>
      </c>
      <c r="C46" s="4" t="s">
        <v>951</v>
      </c>
      <c r="D46" s="4" t="s">
        <v>420</v>
      </c>
      <c r="E46" s="4" t="s">
        <v>24</v>
      </c>
      <c r="F46" s="4" t="s">
        <v>19</v>
      </c>
      <c r="G46" s="4" t="n">
        <v>9</v>
      </c>
      <c r="H46" s="5" t="n">
        <v>1158.67</v>
      </c>
      <c r="I46" s="5" t="n">
        <v>464.05</v>
      </c>
      <c r="J46" s="9" t="n">
        <v>0.02</v>
      </c>
      <c r="K46" s="5" t="n">
        <f aca="false">G46*H46*(1-J46)</f>
        <v>10219.4694</v>
      </c>
      <c r="L46" s="5" t="n">
        <f aca="false">K46-(G46*I46)</f>
        <v>6043.0194</v>
      </c>
    </row>
    <row r="47" customFormat="false" ht="16.4" hidden="false" customHeight="false" outlineLevel="0" collapsed="false">
      <c r="A47" s="4" t="s">
        <v>1516</v>
      </c>
      <c r="B47" s="6" t="n">
        <v>45795</v>
      </c>
      <c r="C47" s="4" t="s">
        <v>783</v>
      </c>
      <c r="D47" s="4" t="s">
        <v>194</v>
      </c>
      <c r="E47" s="4" t="s">
        <v>24</v>
      </c>
      <c r="F47" s="4" t="s">
        <v>7</v>
      </c>
      <c r="G47" s="4" t="n">
        <v>9</v>
      </c>
      <c r="H47" s="5" t="n">
        <v>338.5</v>
      </c>
      <c r="I47" s="5" t="n">
        <v>225.09</v>
      </c>
      <c r="J47" s="9" t="n">
        <v>0.15</v>
      </c>
      <c r="K47" s="5" t="n">
        <f aca="false">G47*H47*(1-J47)</f>
        <v>2589.525</v>
      </c>
      <c r="L47" s="5" t="n">
        <f aca="false">K47-(G47*I47)</f>
        <v>563.715</v>
      </c>
    </row>
    <row r="48" customFormat="false" ht="16.4" hidden="false" customHeight="false" outlineLevel="0" collapsed="false">
      <c r="A48" s="4" t="s">
        <v>1517</v>
      </c>
      <c r="B48" s="6" t="n">
        <v>45745</v>
      </c>
      <c r="C48" s="4" t="s">
        <v>601</v>
      </c>
      <c r="D48" s="4" t="s">
        <v>156</v>
      </c>
      <c r="E48" s="4" t="s">
        <v>30</v>
      </c>
      <c r="F48" s="4" t="s">
        <v>19</v>
      </c>
      <c r="G48" s="4" t="n">
        <v>10</v>
      </c>
      <c r="H48" s="5" t="n">
        <v>814.24</v>
      </c>
      <c r="I48" s="5" t="n">
        <v>382.69</v>
      </c>
      <c r="J48" s="9" t="n">
        <v>0.1</v>
      </c>
      <c r="K48" s="5" t="n">
        <f aca="false">G48*H48*(1-J48)</f>
        <v>7328.16</v>
      </c>
      <c r="L48" s="5" t="n">
        <f aca="false">K48-(G48*I48)</f>
        <v>3501.26</v>
      </c>
    </row>
    <row r="49" customFormat="false" ht="16.4" hidden="false" customHeight="false" outlineLevel="0" collapsed="false">
      <c r="A49" s="4" t="s">
        <v>1518</v>
      </c>
      <c r="B49" s="6" t="n">
        <v>45953</v>
      </c>
      <c r="C49" s="4" t="s">
        <v>1211</v>
      </c>
      <c r="D49" s="4" t="s">
        <v>176</v>
      </c>
      <c r="E49" s="4" t="s">
        <v>24</v>
      </c>
      <c r="F49" s="4" t="s">
        <v>7</v>
      </c>
      <c r="G49" s="4" t="n">
        <v>14</v>
      </c>
      <c r="H49" s="5" t="n">
        <v>931.07</v>
      </c>
      <c r="I49" s="5" t="n">
        <v>563.15</v>
      </c>
      <c r="J49" s="9" t="n">
        <v>0.08</v>
      </c>
      <c r="K49" s="5" t="n">
        <f aca="false">G49*H49*(1-J49)</f>
        <v>11992.1816</v>
      </c>
      <c r="L49" s="5" t="n">
        <f aca="false">K49-(G49*I49)</f>
        <v>4108.0816</v>
      </c>
    </row>
    <row r="50" customFormat="false" ht="16.4" hidden="false" customHeight="false" outlineLevel="0" collapsed="false">
      <c r="A50" s="4" t="s">
        <v>1519</v>
      </c>
      <c r="B50" s="6" t="n">
        <v>45708</v>
      </c>
      <c r="C50" s="4" t="s">
        <v>917</v>
      </c>
      <c r="D50" s="4" t="s">
        <v>136</v>
      </c>
      <c r="E50" s="4" t="s">
        <v>30</v>
      </c>
      <c r="F50" s="4" t="s">
        <v>25</v>
      </c>
      <c r="G50" s="4" t="n">
        <v>7</v>
      </c>
      <c r="H50" s="5" t="n">
        <v>590.6</v>
      </c>
      <c r="I50" s="5" t="n">
        <v>410.98</v>
      </c>
      <c r="J50" s="9" t="n">
        <v>0.15</v>
      </c>
      <c r="K50" s="5" t="n">
        <f aca="false">G50*H50*(1-J50)</f>
        <v>3514.07</v>
      </c>
      <c r="L50" s="5" t="n">
        <f aca="false">K50-(G50*I50)</f>
        <v>637.21</v>
      </c>
    </row>
    <row r="51" customFormat="false" ht="16.4" hidden="false" customHeight="false" outlineLevel="0" collapsed="false">
      <c r="A51" s="4" t="s">
        <v>1520</v>
      </c>
      <c r="B51" s="6" t="n">
        <v>45349</v>
      </c>
      <c r="C51" s="4" t="s">
        <v>993</v>
      </c>
      <c r="D51" s="4" t="s">
        <v>428</v>
      </c>
      <c r="E51" s="4" t="s">
        <v>6</v>
      </c>
      <c r="F51" s="4" t="s">
        <v>13</v>
      </c>
      <c r="G51" s="4" t="n">
        <v>12</v>
      </c>
      <c r="H51" s="5" t="n">
        <v>1025.82</v>
      </c>
      <c r="I51" s="5" t="n">
        <v>708.78</v>
      </c>
      <c r="J51" s="9" t="n">
        <v>0.15</v>
      </c>
      <c r="K51" s="5" t="n">
        <f aca="false">G51*H51*(1-J51)</f>
        <v>10463.364</v>
      </c>
      <c r="L51" s="5" t="n">
        <f aca="false">K51-(G51*I51)</f>
        <v>1958.004</v>
      </c>
    </row>
    <row r="52" customFormat="false" ht="16.4" hidden="false" customHeight="false" outlineLevel="0" collapsed="false">
      <c r="A52" s="4" t="s">
        <v>1521</v>
      </c>
      <c r="B52" s="6" t="n">
        <v>45705</v>
      </c>
      <c r="C52" s="4" t="s">
        <v>783</v>
      </c>
      <c r="D52" s="4" t="s">
        <v>72</v>
      </c>
      <c r="E52" s="4" t="s">
        <v>24</v>
      </c>
      <c r="F52" s="4" t="s">
        <v>13</v>
      </c>
      <c r="G52" s="4" t="n">
        <v>23</v>
      </c>
      <c r="H52" s="5" t="n">
        <v>496.37</v>
      </c>
      <c r="I52" s="5" t="n">
        <v>186.87</v>
      </c>
      <c r="J52" s="9" t="n">
        <v>0.08</v>
      </c>
      <c r="K52" s="5" t="n">
        <f aca="false">G52*H52*(1-J52)</f>
        <v>10503.1892</v>
      </c>
      <c r="L52" s="5" t="n">
        <f aca="false">K52-(G52*I52)</f>
        <v>6205.1792</v>
      </c>
    </row>
    <row r="53" customFormat="false" ht="16.4" hidden="false" customHeight="false" outlineLevel="0" collapsed="false">
      <c r="A53" s="4" t="s">
        <v>1522</v>
      </c>
      <c r="B53" s="6" t="n">
        <v>45321</v>
      </c>
      <c r="C53" s="4" t="s">
        <v>1335</v>
      </c>
      <c r="D53" s="4" t="s">
        <v>438</v>
      </c>
      <c r="E53" s="4" t="s">
        <v>24</v>
      </c>
      <c r="F53" s="4" t="s">
        <v>13</v>
      </c>
      <c r="G53" s="4" t="n">
        <v>17</v>
      </c>
      <c r="H53" s="5" t="n">
        <v>960.47</v>
      </c>
      <c r="I53" s="5" t="n">
        <v>448.87</v>
      </c>
      <c r="J53" s="9" t="n">
        <v>0.08</v>
      </c>
      <c r="K53" s="5" t="n">
        <f aca="false">G53*H53*(1-J53)</f>
        <v>15021.7508</v>
      </c>
      <c r="L53" s="5" t="n">
        <f aca="false">K53-(G53*I53)</f>
        <v>7390.9608</v>
      </c>
    </row>
    <row r="54" customFormat="false" ht="16.4" hidden="false" customHeight="false" outlineLevel="0" collapsed="false">
      <c r="A54" s="4" t="s">
        <v>1523</v>
      </c>
      <c r="B54" s="6" t="n">
        <v>45351</v>
      </c>
      <c r="C54" s="4" t="s">
        <v>1361</v>
      </c>
      <c r="D54" s="4" t="s">
        <v>138</v>
      </c>
      <c r="E54" s="4" t="s">
        <v>18</v>
      </c>
      <c r="F54" s="4" t="s">
        <v>13</v>
      </c>
      <c r="G54" s="4" t="n">
        <v>7</v>
      </c>
      <c r="H54" s="5" t="n">
        <v>27.53</v>
      </c>
      <c r="I54" s="5" t="n">
        <v>13.93</v>
      </c>
      <c r="J54" s="9" t="n">
        <v>0.15</v>
      </c>
      <c r="K54" s="5" t="n">
        <f aca="false">G54*H54*(1-J54)</f>
        <v>163.8035</v>
      </c>
      <c r="L54" s="5" t="n">
        <f aca="false">K54-(G54*I54)</f>
        <v>66.2935</v>
      </c>
    </row>
    <row r="55" customFormat="false" ht="16.4" hidden="false" customHeight="false" outlineLevel="0" collapsed="false">
      <c r="A55" s="4" t="s">
        <v>1524</v>
      </c>
      <c r="B55" s="6" t="n">
        <v>46013</v>
      </c>
      <c r="C55" s="4" t="s">
        <v>931</v>
      </c>
      <c r="D55" s="4" t="s">
        <v>56</v>
      </c>
      <c r="E55" s="4" t="s">
        <v>24</v>
      </c>
      <c r="F55" s="4" t="s">
        <v>13</v>
      </c>
      <c r="G55" s="4" t="n">
        <v>2</v>
      </c>
      <c r="H55" s="5" t="n">
        <v>117.59</v>
      </c>
      <c r="I55" s="5" t="n">
        <v>54.95</v>
      </c>
      <c r="J55" s="9" t="n">
        <v>0.02</v>
      </c>
      <c r="K55" s="5" t="n">
        <f aca="false">G55*H55*(1-J55)</f>
        <v>230.4764</v>
      </c>
      <c r="L55" s="5" t="n">
        <f aca="false">K55-(G55*I55)</f>
        <v>120.5764</v>
      </c>
    </row>
    <row r="56" customFormat="false" ht="16.4" hidden="false" customHeight="false" outlineLevel="0" collapsed="false">
      <c r="A56" s="4" t="s">
        <v>1525</v>
      </c>
      <c r="B56" s="6" t="n">
        <v>45698</v>
      </c>
      <c r="C56" s="4" t="s">
        <v>841</v>
      </c>
      <c r="D56" s="4" t="s">
        <v>180</v>
      </c>
      <c r="E56" s="4" t="s">
        <v>24</v>
      </c>
      <c r="F56" s="4" t="s">
        <v>7</v>
      </c>
      <c r="G56" s="4" t="n">
        <v>15</v>
      </c>
      <c r="H56" s="5" t="n">
        <v>1135.43</v>
      </c>
      <c r="I56" s="5" t="n">
        <v>711.24</v>
      </c>
      <c r="J56" s="9" t="n">
        <v>0.08</v>
      </c>
      <c r="K56" s="5" t="n">
        <f aca="false">G56*H56*(1-J56)</f>
        <v>15668.934</v>
      </c>
      <c r="L56" s="5" t="n">
        <f aca="false">K56-(G56*I56)</f>
        <v>5000.334</v>
      </c>
    </row>
    <row r="57" customFormat="false" ht="16.4" hidden="false" customHeight="false" outlineLevel="0" collapsed="false">
      <c r="A57" s="4" t="s">
        <v>1526</v>
      </c>
      <c r="B57" s="6" t="n">
        <v>45792</v>
      </c>
      <c r="C57" s="4" t="s">
        <v>491</v>
      </c>
      <c r="D57" s="4" t="s">
        <v>388</v>
      </c>
      <c r="E57" s="4" t="s">
        <v>12</v>
      </c>
      <c r="F57" s="4" t="s">
        <v>25</v>
      </c>
      <c r="G57" s="4" t="n">
        <v>8</v>
      </c>
      <c r="H57" s="5" t="n">
        <v>88.69</v>
      </c>
      <c r="I57" s="5" t="n">
        <v>49.43</v>
      </c>
      <c r="J57" s="9" t="n">
        <v>0.02</v>
      </c>
      <c r="K57" s="5" t="n">
        <f aca="false">G57*H57*(1-J57)</f>
        <v>695.3296</v>
      </c>
      <c r="L57" s="5" t="n">
        <f aca="false">K57-(G57*I57)</f>
        <v>299.8896</v>
      </c>
    </row>
    <row r="58" customFormat="false" ht="16.4" hidden="false" customHeight="false" outlineLevel="0" collapsed="false">
      <c r="A58" s="4" t="s">
        <v>1527</v>
      </c>
      <c r="B58" s="6" t="n">
        <v>45856</v>
      </c>
      <c r="C58" s="4" t="s">
        <v>1447</v>
      </c>
      <c r="D58" s="4" t="s">
        <v>130</v>
      </c>
      <c r="E58" s="4" t="s">
        <v>30</v>
      </c>
      <c r="F58" s="4" t="s">
        <v>19</v>
      </c>
      <c r="G58" s="4" t="n">
        <v>16</v>
      </c>
      <c r="H58" s="5" t="n">
        <v>568.59</v>
      </c>
      <c r="I58" s="5" t="n">
        <v>397.9</v>
      </c>
      <c r="J58" s="9" t="n">
        <v>0.08</v>
      </c>
      <c r="K58" s="5" t="n">
        <f aca="false">G58*H58*(1-J58)</f>
        <v>8369.6448</v>
      </c>
      <c r="L58" s="5" t="n">
        <f aca="false">K58-(G58*I58)</f>
        <v>2003.2448</v>
      </c>
    </row>
    <row r="59" customFormat="false" ht="16.4" hidden="false" customHeight="false" outlineLevel="0" collapsed="false">
      <c r="A59" s="4" t="s">
        <v>1528</v>
      </c>
      <c r="B59" s="6" t="n">
        <v>46142</v>
      </c>
      <c r="C59" s="4" t="s">
        <v>631</v>
      </c>
      <c r="D59" s="4" t="s">
        <v>216</v>
      </c>
      <c r="E59" s="4" t="s">
        <v>12</v>
      </c>
      <c r="F59" s="4" t="s">
        <v>7</v>
      </c>
      <c r="G59" s="4" t="n">
        <v>9</v>
      </c>
      <c r="H59" s="5" t="n">
        <v>497.82</v>
      </c>
      <c r="I59" s="5" t="n">
        <v>233.11</v>
      </c>
      <c r="J59" s="9" t="n">
        <v>0.1</v>
      </c>
      <c r="K59" s="5" t="n">
        <f aca="false">G59*H59*(1-J59)</f>
        <v>4032.342</v>
      </c>
      <c r="L59" s="5" t="n">
        <f aca="false">K59-(G59*I59)</f>
        <v>1934.352</v>
      </c>
    </row>
    <row r="60" customFormat="false" ht="16.4" hidden="false" customHeight="false" outlineLevel="0" collapsed="false">
      <c r="A60" s="4" t="s">
        <v>1529</v>
      </c>
      <c r="B60" s="6" t="n">
        <v>45458</v>
      </c>
      <c r="C60" s="4" t="s">
        <v>487</v>
      </c>
      <c r="D60" s="4" t="s">
        <v>184</v>
      </c>
      <c r="E60" s="4" t="s">
        <v>12</v>
      </c>
      <c r="F60" s="4" t="s">
        <v>13</v>
      </c>
      <c r="G60" s="4" t="n">
        <v>13</v>
      </c>
      <c r="H60" s="5" t="n">
        <v>453.47</v>
      </c>
      <c r="I60" s="5" t="n">
        <v>327.97</v>
      </c>
      <c r="J60" s="9" t="n">
        <v>0</v>
      </c>
      <c r="K60" s="5" t="n">
        <f aca="false">G60*H60*(1-J60)</f>
        <v>5895.11</v>
      </c>
      <c r="L60" s="5" t="n">
        <f aca="false">K60-(G60*I60)</f>
        <v>1631.5</v>
      </c>
    </row>
    <row r="61" customFormat="false" ht="16.4" hidden="false" customHeight="false" outlineLevel="0" collapsed="false">
      <c r="A61" s="4" t="s">
        <v>1530</v>
      </c>
      <c r="B61" s="6" t="n">
        <v>45503</v>
      </c>
      <c r="C61" s="4" t="s">
        <v>1127</v>
      </c>
      <c r="D61" s="4" t="s">
        <v>152</v>
      </c>
      <c r="E61" s="4" t="s">
        <v>12</v>
      </c>
      <c r="F61" s="4" t="s">
        <v>19</v>
      </c>
      <c r="G61" s="4" t="n">
        <v>8</v>
      </c>
      <c r="H61" s="5" t="n">
        <v>797.41</v>
      </c>
      <c r="I61" s="5" t="n">
        <v>459.38</v>
      </c>
      <c r="J61" s="9" t="n">
        <v>0.1</v>
      </c>
      <c r="K61" s="5" t="n">
        <f aca="false">G61*H61*(1-J61)</f>
        <v>5741.352</v>
      </c>
      <c r="L61" s="5" t="n">
        <f aca="false">K61-(G61*I61)</f>
        <v>2066.312</v>
      </c>
    </row>
    <row r="62" customFormat="false" ht="16.4" hidden="false" customHeight="false" outlineLevel="0" collapsed="false">
      <c r="A62" s="4" t="s">
        <v>1531</v>
      </c>
      <c r="B62" s="6" t="n">
        <v>46177</v>
      </c>
      <c r="C62" s="4" t="s">
        <v>883</v>
      </c>
      <c r="D62" s="4" t="s">
        <v>372</v>
      </c>
      <c r="E62" s="4" t="s">
        <v>30</v>
      </c>
      <c r="F62" s="4" t="s">
        <v>7</v>
      </c>
      <c r="G62" s="4" t="n">
        <v>17</v>
      </c>
      <c r="H62" s="5" t="n">
        <v>1155.25</v>
      </c>
      <c r="I62" s="5" t="n">
        <v>790.63</v>
      </c>
      <c r="J62" s="9" t="n">
        <v>0</v>
      </c>
      <c r="K62" s="5" t="n">
        <f aca="false">G62*H62*(1-J62)</f>
        <v>19639.25</v>
      </c>
      <c r="L62" s="5" t="n">
        <f aca="false">K62-(G62*I62)</f>
        <v>6198.54</v>
      </c>
    </row>
    <row r="63" customFormat="false" ht="16.4" hidden="false" customHeight="false" outlineLevel="0" collapsed="false">
      <c r="A63" s="4" t="s">
        <v>1532</v>
      </c>
      <c r="B63" s="6" t="n">
        <v>45469</v>
      </c>
      <c r="C63" s="4" t="s">
        <v>1397</v>
      </c>
      <c r="D63" s="4" t="s">
        <v>282</v>
      </c>
      <c r="E63" s="4" t="s">
        <v>12</v>
      </c>
      <c r="F63" s="4" t="s">
        <v>7</v>
      </c>
      <c r="G63" s="4" t="n">
        <v>5</v>
      </c>
      <c r="H63" s="5" t="n">
        <v>259.25</v>
      </c>
      <c r="I63" s="5" t="n">
        <v>92.85</v>
      </c>
      <c r="J63" s="9" t="n">
        <v>0.1</v>
      </c>
      <c r="K63" s="5" t="n">
        <f aca="false">G63*H63*(1-J63)</f>
        <v>1166.625</v>
      </c>
      <c r="L63" s="5" t="n">
        <f aca="false">K63-(G63*I63)</f>
        <v>702.375</v>
      </c>
    </row>
    <row r="64" customFormat="false" ht="16.4" hidden="false" customHeight="false" outlineLevel="0" collapsed="false">
      <c r="A64" s="4" t="s">
        <v>1533</v>
      </c>
      <c r="B64" s="6" t="n">
        <v>45604</v>
      </c>
      <c r="C64" s="4" t="s">
        <v>723</v>
      </c>
      <c r="D64" s="4" t="s">
        <v>154</v>
      </c>
      <c r="E64" s="4" t="s">
        <v>12</v>
      </c>
      <c r="F64" s="4" t="s">
        <v>19</v>
      </c>
      <c r="G64" s="4" t="n">
        <v>20</v>
      </c>
      <c r="H64" s="5" t="n">
        <v>811.93</v>
      </c>
      <c r="I64" s="5" t="n">
        <v>386.21</v>
      </c>
      <c r="J64" s="9" t="n">
        <v>0.15</v>
      </c>
      <c r="K64" s="5" t="n">
        <f aca="false">G64*H64*(1-J64)</f>
        <v>13802.81</v>
      </c>
      <c r="L64" s="5" t="n">
        <f aca="false">K64-(G64*I64)</f>
        <v>6078.61</v>
      </c>
    </row>
    <row r="65" customFormat="false" ht="16.4" hidden="false" customHeight="false" outlineLevel="0" collapsed="false">
      <c r="A65" s="4" t="s">
        <v>1534</v>
      </c>
      <c r="B65" s="6" t="n">
        <v>45649</v>
      </c>
      <c r="C65" s="4" t="s">
        <v>1381</v>
      </c>
      <c r="D65" s="4" t="s">
        <v>256</v>
      </c>
      <c r="E65" s="4" t="s">
        <v>6</v>
      </c>
      <c r="F65" s="4" t="s">
        <v>25</v>
      </c>
      <c r="G65" s="4" t="n">
        <v>13</v>
      </c>
      <c r="H65" s="5" t="n">
        <v>512.47</v>
      </c>
      <c r="I65" s="5" t="n">
        <v>247.19</v>
      </c>
      <c r="J65" s="9" t="n">
        <v>0.15</v>
      </c>
      <c r="K65" s="5" t="n">
        <f aca="false">G65*H65*(1-J65)</f>
        <v>5662.7935</v>
      </c>
      <c r="L65" s="5" t="n">
        <f aca="false">K65-(G65*I65)</f>
        <v>2449.3235</v>
      </c>
    </row>
    <row r="66" customFormat="false" ht="16.4" hidden="false" customHeight="false" outlineLevel="0" collapsed="false">
      <c r="A66" s="4" t="s">
        <v>1535</v>
      </c>
      <c r="B66" s="6" t="n">
        <v>45985</v>
      </c>
      <c r="C66" s="4" t="s">
        <v>687</v>
      </c>
      <c r="D66" s="4" t="s">
        <v>168</v>
      </c>
      <c r="E66" s="4" t="s">
        <v>24</v>
      </c>
      <c r="F66" s="4" t="s">
        <v>25</v>
      </c>
      <c r="G66" s="4" t="n">
        <v>15</v>
      </c>
      <c r="H66" s="5" t="n">
        <v>160.63</v>
      </c>
      <c r="I66" s="5" t="n">
        <v>63.1</v>
      </c>
      <c r="J66" s="9" t="n">
        <v>0.02</v>
      </c>
      <c r="K66" s="5" t="n">
        <f aca="false">G66*H66*(1-J66)</f>
        <v>2361.261</v>
      </c>
      <c r="L66" s="5" t="n">
        <f aca="false">K66-(G66*I66)</f>
        <v>1414.761</v>
      </c>
    </row>
    <row r="67" customFormat="false" ht="16.4" hidden="false" customHeight="false" outlineLevel="0" collapsed="false">
      <c r="A67" s="4" t="s">
        <v>1536</v>
      </c>
      <c r="B67" s="6" t="n">
        <v>45970</v>
      </c>
      <c r="C67" s="4" t="s">
        <v>569</v>
      </c>
      <c r="D67" s="4" t="s">
        <v>338</v>
      </c>
      <c r="E67" s="4" t="s">
        <v>18</v>
      </c>
      <c r="F67" s="4" t="s">
        <v>19</v>
      </c>
      <c r="G67" s="4" t="n">
        <v>1</v>
      </c>
      <c r="H67" s="5" t="n">
        <v>1050.45</v>
      </c>
      <c r="I67" s="5" t="n">
        <v>608.87</v>
      </c>
      <c r="J67" s="9" t="n">
        <v>0.08</v>
      </c>
      <c r="K67" s="5" t="n">
        <f aca="false">G67*H67*(1-J67)</f>
        <v>966.414</v>
      </c>
      <c r="L67" s="5" t="n">
        <f aca="false">K67-(G67*I67)</f>
        <v>357.544</v>
      </c>
    </row>
    <row r="68" customFormat="false" ht="16.4" hidden="false" customHeight="false" outlineLevel="0" collapsed="false">
      <c r="A68" s="4" t="s">
        <v>1537</v>
      </c>
      <c r="B68" s="6" t="n">
        <v>45581</v>
      </c>
      <c r="C68" s="4" t="s">
        <v>1127</v>
      </c>
      <c r="D68" s="4" t="s">
        <v>326</v>
      </c>
      <c r="E68" s="4" t="s">
        <v>12</v>
      </c>
      <c r="F68" s="4" t="s">
        <v>19</v>
      </c>
      <c r="G68" s="4" t="n">
        <v>20</v>
      </c>
      <c r="H68" s="5" t="n">
        <v>385.28</v>
      </c>
      <c r="I68" s="5" t="n">
        <v>170.38</v>
      </c>
      <c r="J68" s="9" t="n">
        <v>0.08</v>
      </c>
      <c r="K68" s="5" t="n">
        <f aca="false">G68*H68*(1-J68)</f>
        <v>7089.152</v>
      </c>
      <c r="L68" s="5" t="n">
        <f aca="false">K68-(G68*I68)</f>
        <v>3681.552</v>
      </c>
    </row>
    <row r="69" customFormat="false" ht="16.4" hidden="false" customHeight="false" outlineLevel="0" collapsed="false">
      <c r="A69" s="4" t="s">
        <v>1538</v>
      </c>
      <c r="B69" s="6" t="n">
        <v>45636</v>
      </c>
      <c r="C69" s="4" t="s">
        <v>575</v>
      </c>
      <c r="D69" s="4" t="s">
        <v>390</v>
      </c>
      <c r="E69" s="4" t="s">
        <v>30</v>
      </c>
      <c r="F69" s="4" t="s">
        <v>19</v>
      </c>
      <c r="G69" s="4" t="n">
        <v>16</v>
      </c>
      <c r="H69" s="5" t="n">
        <v>917.99</v>
      </c>
      <c r="I69" s="5" t="n">
        <v>396.04</v>
      </c>
      <c r="J69" s="9" t="n">
        <v>0</v>
      </c>
      <c r="K69" s="5" t="n">
        <f aca="false">G69*H69*(1-J69)</f>
        <v>14687.84</v>
      </c>
      <c r="L69" s="5" t="n">
        <f aca="false">K69-(G69*I69)</f>
        <v>8351.2</v>
      </c>
    </row>
    <row r="70" customFormat="false" ht="16.4" hidden="false" customHeight="false" outlineLevel="0" collapsed="false">
      <c r="A70" s="4" t="s">
        <v>1539</v>
      </c>
      <c r="B70" s="6" t="n">
        <v>45963</v>
      </c>
      <c r="C70" s="4" t="s">
        <v>797</v>
      </c>
      <c r="D70" s="4" t="s">
        <v>366</v>
      </c>
      <c r="E70" s="4" t="s">
        <v>24</v>
      </c>
      <c r="F70" s="4" t="s">
        <v>19</v>
      </c>
      <c r="G70" s="4" t="n">
        <v>9</v>
      </c>
      <c r="H70" s="5" t="n">
        <v>171.12</v>
      </c>
      <c r="I70" s="5" t="n">
        <v>107.03</v>
      </c>
      <c r="J70" s="9" t="n">
        <v>0.02</v>
      </c>
      <c r="K70" s="5" t="n">
        <f aca="false">G70*H70*(1-J70)</f>
        <v>1509.2784</v>
      </c>
      <c r="L70" s="5" t="n">
        <f aca="false">K70-(G70*I70)</f>
        <v>546.0084</v>
      </c>
    </row>
    <row r="71" customFormat="false" ht="16.4" hidden="false" customHeight="false" outlineLevel="0" collapsed="false">
      <c r="A71" s="4" t="s">
        <v>1540</v>
      </c>
      <c r="B71" s="6" t="n">
        <v>45538</v>
      </c>
      <c r="C71" s="4" t="s">
        <v>617</v>
      </c>
      <c r="D71" s="4" t="s">
        <v>136</v>
      </c>
      <c r="E71" s="4" t="s">
        <v>18</v>
      </c>
      <c r="F71" s="4" t="s">
        <v>7</v>
      </c>
      <c r="G71" s="4" t="n">
        <v>17</v>
      </c>
      <c r="H71" s="5" t="n">
        <v>590.6</v>
      </c>
      <c r="I71" s="5" t="n">
        <v>410.98</v>
      </c>
      <c r="J71" s="9" t="n">
        <v>0.15</v>
      </c>
      <c r="K71" s="5" t="n">
        <f aca="false">G71*H71*(1-J71)</f>
        <v>8534.17</v>
      </c>
      <c r="L71" s="5" t="n">
        <f aca="false">K71-(G71*I71)</f>
        <v>1547.51</v>
      </c>
    </row>
    <row r="72" customFormat="false" ht="16.4" hidden="false" customHeight="false" outlineLevel="0" collapsed="false">
      <c r="A72" s="4" t="s">
        <v>1541</v>
      </c>
      <c r="B72" s="6" t="n">
        <v>45989</v>
      </c>
      <c r="C72" s="4" t="s">
        <v>877</v>
      </c>
      <c r="D72" s="4" t="s">
        <v>346</v>
      </c>
      <c r="E72" s="4" t="s">
        <v>30</v>
      </c>
      <c r="F72" s="4" t="s">
        <v>13</v>
      </c>
      <c r="G72" s="4" t="n">
        <v>22</v>
      </c>
      <c r="H72" s="5" t="n">
        <v>164.18</v>
      </c>
      <c r="I72" s="5" t="n">
        <v>107.67</v>
      </c>
      <c r="J72" s="9" t="n">
        <v>0.02</v>
      </c>
      <c r="K72" s="5" t="n">
        <f aca="false">G72*H72*(1-J72)</f>
        <v>3539.7208</v>
      </c>
      <c r="L72" s="5" t="n">
        <f aca="false">K72-(G72*I72)</f>
        <v>1170.9808</v>
      </c>
    </row>
    <row r="73" customFormat="false" ht="16.4" hidden="false" customHeight="false" outlineLevel="0" collapsed="false">
      <c r="A73" s="4" t="s">
        <v>1542</v>
      </c>
      <c r="B73" s="6" t="n">
        <v>45594</v>
      </c>
      <c r="C73" s="4" t="s">
        <v>485</v>
      </c>
      <c r="D73" s="4" t="s">
        <v>408</v>
      </c>
      <c r="E73" s="4" t="s">
        <v>6</v>
      </c>
      <c r="F73" s="4" t="s">
        <v>19</v>
      </c>
      <c r="G73" s="4" t="n">
        <v>21</v>
      </c>
      <c r="H73" s="5" t="n">
        <v>357.34</v>
      </c>
      <c r="I73" s="5" t="n">
        <v>167.74</v>
      </c>
      <c r="J73" s="9" t="n">
        <v>0.05</v>
      </c>
      <c r="K73" s="5" t="n">
        <f aca="false">G73*H73*(1-J73)</f>
        <v>7128.933</v>
      </c>
      <c r="L73" s="5" t="n">
        <f aca="false">K73-(G73*I73)</f>
        <v>3606.393</v>
      </c>
    </row>
    <row r="74" customFormat="false" ht="16.4" hidden="false" customHeight="false" outlineLevel="0" collapsed="false">
      <c r="A74" s="4" t="s">
        <v>1543</v>
      </c>
      <c r="B74" s="6" t="n">
        <v>45328</v>
      </c>
      <c r="C74" s="4" t="s">
        <v>879</v>
      </c>
      <c r="D74" s="4" t="s">
        <v>254</v>
      </c>
      <c r="E74" s="4" t="s">
        <v>6</v>
      </c>
      <c r="F74" s="4" t="s">
        <v>13</v>
      </c>
      <c r="G74" s="4" t="n">
        <v>13</v>
      </c>
      <c r="H74" s="5" t="n">
        <v>202.23</v>
      </c>
      <c r="I74" s="5" t="n">
        <v>101.76</v>
      </c>
      <c r="J74" s="9" t="n">
        <v>0.1</v>
      </c>
      <c r="K74" s="5" t="n">
        <f aca="false">G74*H74*(1-J74)</f>
        <v>2366.091</v>
      </c>
      <c r="L74" s="5" t="n">
        <f aca="false">K74-(G74*I74)</f>
        <v>1043.211</v>
      </c>
    </row>
    <row r="75" customFormat="false" ht="16.4" hidden="false" customHeight="false" outlineLevel="0" collapsed="false">
      <c r="A75" s="4" t="s">
        <v>1544</v>
      </c>
      <c r="B75" s="6" t="n">
        <v>45994</v>
      </c>
      <c r="C75" s="4" t="s">
        <v>1207</v>
      </c>
      <c r="D75" s="4" t="s">
        <v>214</v>
      </c>
      <c r="E75" s="4" t="s">
        <v>6</v>
      </c>
      <c r="F75" s="4" t="s">
        <v>25</v>
      </c>
      <c r="G75" s="4" t="n">
        <v>23</v>
      </c>
      <c r="H75" s="5" t="n">
        <v>870.71</v>
      </c>
      <c r="I75" s="5" t="n">
        <v>409.35</v>
      </c>
      <c r="J75" s="9" t="n">
        <v>0</v>
      </c>
      <c r="K75" s="5" t="n">
        <f aca="false">G75*H75*(1-J75)</f>
        <v>20026.33</v>
      </c>
      <c r="L75" s="5" t="n">
        <f aca="false">K75-(G75*I75)</f>
        <v>10611.28</v>
      </c>
    </row>
    <row r="76" customFormat="false" ht="16.4" hidden="false" customHeight="false" outlineLevel="0" collapsed="false">
      <c r="A76" s="4" t="s">
        <v>1545</v>
      </c>
      <c r="B76" s="6" t="n">
        <v>46157</v>
      </c>
      <c r="C76" s="4" t="s">
        <v>831</v>
      </c>
      <c r="D76" s="4" t="s">
        <v>382</v>
      </c>
      <c r="E76" s="4" t="s">
        <v>18</v>
      </c>
      <c r="F76" s="4" t="s">
        <v>13</v>
      </c>
      <c r="G76" s="4" t="n">
        <v>17</v>
      </c>
      <c r="H76" s="5" t="n">
        <v>363.66</v>
      </c>
      <c r="I76" s="5" t="n">
        <v>264.77</v>
      </c>
      <c r="J76" s="9" t="n">
        <v>0.02</v>
      </c>
      <c r="K76" s="5" t="n">
        <f aca="false">G76*H76*(1-J76)</f>
        <v>6058.5756</v>
      </c>
      <c r="L76" s="5" t="n">
        <f aca="false">K76-(G76*I76)</f>
        <v>1557.4856</v>
      </c>
    </row>
    <row r="77" customFormat="false" ht="16.4" hidden="false" customHeight="false" outlineLevel="0" collapsed="false">
      <c r="A77" s="4" t="s">
        <v>1546</v>
      </c>
      <c r="B77" s="6" t="n">
        <v>45592</v>
      </c>
      <c r="C77" s="4" t="s">
        <v>1361</v>
      </c>
      <c r="D77" s="4" t="s">
        <v>376</v>
      </c>
      <c r="E77" s="4" t="s">
        <v>18</v>
      </c>
      <c r="F77" s="4" t="s">
        <v>7</v>
      </c>
      <c r="G77" s="4" t="n">
        <v>18</v>
      </c>
      <c r="H77" s="5" t="n">
        <v>790.52</v>
      </c>
      <c r="I77" s="5" t="n">
        <v>566.35</v>
      </c>
      <c r="J77" s="9" t="n">
        <v>0</v>
      </c>
      <c r="K77" s="5" t="n">
        <f aca="false">G77*H77*(1-J77)</f>
        <v>14229.36</v>
      </c>
      <c r="L77" s="5" t="n">
        <f aca="false">K77-(G77*I77)</f>
        <v>4035.06</v>
      </c>
    </row>
    <row r="78" customFormat="false" ht="16.4" hidden="false" customHeight="false" outlineLevel="0" collapsed="false">
      <c r="A78" s="4" t="s">
        <v>1547</v>
      </c>
      <c r="B78" s="6" t="n">
        <v>46034</v>
      </c>
      <c r="C78" s="4" t="s">
        <v>595</v>
      </c>
      <c r="D78" s="4" t="s">
        <v>280</v>
      </c>
      <c r="E78" s="4" t="s">
        <v>18</v>
      </c>
      <c r="F78" s="4" t="s">
        <v>13</v>
      </c>
      <c r="G78" s="4" t="n">
        <v>24</v>
      </c>
      <c r="H78" s="5" t="n">
        <v>942.95</v>
      </c>
      <c r="I78" s="5" t="n">
        <v>575.86</v>
      </c>
      <c r="J78" s="9" t="n">
        <v>0.02</v>
      </c>
      <c r="K78" s="5" t="n">
        <f aca="false">G78*H78*(1-J78)</f>
        <v>22178.184</v>
      </c>
      <c r="L78" s="5" t="n">
        <f aca="false">K78-(G78*I78)</f>
        <v>8357.544</v>
      </c>
    </row>
    <row r="79" customFormat="false" ht="16.4" hidden="false" customHeight="false" outlineLevel="0" collapsed="false">
      <c r="A79" s="4" t="s">
        <v>1548</v>
      </c>
      <c r="B79" s="6" t="n">
        <v>45383</v>
      </c>
      <c r="C79" s="4" t="s">
        <v>1385</v>
      </c>
      <c r="D79" s="4" t="s">
        <v>388</v>
      </c>
      <c r="E79" s="4" t="s">
        <v>12</v>
      </c>
      <c r="F79" s="4" t="s">
        <v>13</v>
      </c>
      <c r="G79" s="4" t="n">
        <v>11</v>
      </c>
      <c r="H79" s="5" t="n">
        <v>88.69</v>
      </c>
      <c r="I79" s="5" t="n">
        <v>49.43</v>
      </c>
      <c r="J79" s="9" t="n">
        <v>0.1</v>
      </c>
      <c r="K79" s="5" t="n">
        <f aca="false">G79*H79*(1-J79)</f>
        <v>878.031</v>
      </c>
      <c r="L79" s="5" t="n">
        <f aca="false">K79-(G79*I79)</f>
        <v>334.301</v>
      </c>
    </row>
    <row r="80" customFormat="false" ht="16.4" hidden="false" customHeight="false" outlineLevel="0" collapsed="false">
      <c r="A80" s="4" t="s">
        <v>1549</v>
      </c>
      <c r="B80" s="6" t="n">
        <v>45606</v>
      </c>
      <c r="C80" s="4" t="s">
        <v>693</v>
      </c>
      <c r="D80" s="4" t="s">
        <v>220</v>
      </c>
      <c r="E80" s="4" t="s">
        <v>30</v>
      </c>
      <c r="F80" s="4" t="s">
        <v>25</v>
      </c>
      <c r="G80" s="4" t="n">
        <v>24</v>
      </c>
      <c r="H80" s="5" t="n">
        <v>693.7</v>
      </c>
      <c r="I80" s="5" t="n">
        <v>355.47</v>
      </c>
      <c r="J80" s="9" t="n">
        <v>0.15</v>
      </c>
      <c r="K80" s="5" t="n">
        <f aca="false">G80*H80*(1-J80)</f>
        <v>14151.48</v>
      </c>
      <c r="L80" s="5" t="n">
        <f aca="false">K80-(G80*I80)</f>
        <v>5620.2</v>
      </c>
    </row>
    <row r="81" customFormat="false" ht="16.4" hidden="false" customHeight="false" outlineLevel="0" collapsed="false">
      <c r="A81" s="4" t="s">
        <v>1550</v>
      </c>
      <c r="B81" s="6" t="n">
        <v>45593</v>
      </c>
      <c r="C81" s="4" t="s">
        <v>845</v>
      </c>
      <c r="D81" s="4" t="s">
        <v>208</v>
      </c>
      <c r="E81" s="4" t="s">
        <v>12</v>
      </c>
      <c r="F81" s="4" t="s">
        <v>25</v>
      </c>
      <c r="G81" s="4" t="n">
        <v>9</v>
      </c>
      <c r="H81" s="5" t="n">
        <v>737.3</v>
      </c>
      <c r="I81" s="5" t="n">
        <v>408.88</v>
      </c>
      <c r="J81" s="9" t="n">
        <v>0.08</v>
      </c>
      <c r="K81" s="5" t="n">
        <f aca="false">G81*H81*(1-J81)</f>
        <v>6104.844</v>
      </c>
      <c r="L81" s="5" t="n">
        <f aca="false">K81-(G81*I81)</f>
        <v>2424.924</v>
      </c>
    </row>
    <row r="82" customFormat="false" ht="16.4" hidden="false" customHeight="false" outlineLevel="0" collapsed="false">
      <c r="A82" s="4" t="s">
        <v>1551</v>
      </c>
      <c r="B82" s="6" t="n">
        <v>45941</v>
      </c>
      <c r="C82" s="4" t="s">
        <v>945</v>
      </c>
      <c r="D82" s="4" t="s">
        <v>100</v>
      </c>
      <c r="E82" s="4" t="s">
        <v>6</v>
      </c>
      <c r="F82" s="4" t="s">
        <v>7</v>
      </c>
      <c r="G82" s="4" t="n">
        <v>2</v>
      </c>
      <c r="H82" s="5" t="n">
        <v>93.06</v>
      </c>
      <c r="I82" s="5" t="n">
        <v>65.25</v>
      </c>
      <c r="J82" s="9" t="n">
        <v>0.15</v>
      </c>
      <c r="K82" s="5" t="n">
        <f aca="false">G82*H82*(1-J82)</f>
        <v>158.202</v>
      </c>
      <c r="L82" s="5" t="n">
        <f aca="false">K82-(G82*I82)</f>
        <v>27.702</v>
      </c>
    </row>
    <row r="83" customFormat="false" ht="16.4" hidden="false" customHeight="false" outlineLevel="0" collapsed="false">
      <c r="A83" s="4" t="s">
        <v>1552</v>
      </c>
      <c r="B83" s="6" t="n">
        <v>45414</v>
      </c>
      <c r="C83" s="4" t="s">
        <v>1375</v>
      </c>
      <c r="D83" s="4" t="s">
        <v>280</v>
      </c>
      <c r="E83" s="4" t="s">
        <v>12</v>
      </c>
      <c r="F83" s="4" t="s">
        <v>25</v>
      </c>
      <c r="G83" s="4" t="n">
        <v>7</v>
      </c>
      <c r="H83" s="5" t="n">
        <v>942.95</v>
      </c>
      <c r="I83" s="5" t="n">
        <v>575.86</v>
      </c>
      <c r="J83" s="9" t="n">
        <v>0.08</v>
      </c>
      <c r="K83" s="5" t="n">
        <f aca="false">G83*H83*(1-J83)</f>
        <v>6072.598</v>
      </c>
      <c r="L83" s="5" t="n">
        <f aca="false">K83-(G83*I83)</f>
        <v>2041.578</v>
      </c>
    </row>
    <row r="84" customFormat="false" ht="16.4" hidden="false" customHeight="false" outlineLevel="0" collapsed="false">
      <c r="A84" s="4" t="s">
        <v>1553</v>
      </c>
      <c r="B84" s="6" t="n">
        <v>46183</v>
      </c>
      <c r="C84" s="4" t="s">
        <v>769</v>
      </c>
      <c r="D84" s="4" t="s">
        <v>310</v>
      </c>
      <c r="E84" s="4" t="s">
        <v>24</v>
      </c>
      <c r="F84" s="4" t="s">
        <v>13</v>
      </c>
      <c r="G84" s="4" t="n">
        <v>14</v>
      </c>
      <c r="H84" s="5" t="n">
        <v>742.14</v>
      </c>
      <c r="I84" s="5" t="n">
        <v>372.25</v>
      </c>
      <c r="J84" s="9" t="n">
        <v>0</v>
      </c>
      <c r="K84" s="5" t="n">
        <f aca="false">G84*H84*(1-J84)</f>
        <v>10389.96</v>
      </c>
      <c r="L84" s="5" t="n">
        <f aca="false">K84-(G84*I84)</f>
        <v>5178.46</v>
      </c>
    </row>
    <row r="85" customFormat="false" ht="16.4" hidden="false" customHeight="false" outlineLevel="0" collapsed="false">
      <c r="A85" s="4" t="s">
        <v>1554</v>
      </c>
      <c r="B85" s="6" t="n">
        <v>45875</v>
      </c>
      <c r="C85" s="4" t="s">
        <v>669</v>
      </c>
      <c r="D85" s="4" t="s">
        <v>110</v>
      </c>
      <c r="E85" s="4" t="s">
        <v>24</v>
      </c>
      <c r="F85" s="4" t="s">
        <v>25</v>
      </c>
      <c r="G85" s="4" t="n">
        <v>11</v>
      </c>
      <c r="H85" s="5" t="n">
        <v>555.5</v>
      </c>
      <c r="I85" s="5" t="n">
        <v>249.51</v>
      </c>
      <c r="J85" s="9" t="n">
        <v>0.05</v>
      </c>
      <c r="K85" s="5" t="n">
        <f aca="false">G85*H85*(1-J85)</f>
        <v>5804.975</v>
      </c>
      <c r="L85" s="5" t="n">
        <f aca="false">K85-(G85*I85)</f>
        <v>3060.365</v>
      </c>
    </row>
    <row r="86" customFormat="false" ht="16.4" hidden="false" customHeight="false" outlineLevel="0" collapsed="false">
      <c r="A86" s="4" t="s">
        <v>1555</v>
      </c>
      <c r="B86" s="6" t="n">
        <v>46089</v>
      </c>
      <c r="C86" s="4" t="s">
        <v>787</v>
      </c>
      <c r="D86" s="4" t="s">
        <v>112</v>
      </c>
      <c r="E86" s="4" t="s">
        <v>18</v>
      </c>
      <c r="F86" s="4" t="s">
        <v>7</v>
      </c>
      <c r="G86" s="4" t="n">
        <v>23</v>
      </c>
      <c r="H86" s="5" t="n">
        <v>716.26</v>
      </c>
      <c r="I86" s="5" t="n">
        <v>316.62</v>
      </c>
      <c r="J86" s="9" t="n">
        <v>0</v>
      </c>
      <c r="K86" s="5" t="n">
        <f aca="false">G86*H86*(1-J86)</f>
        <v>16473.98</v>
      </c>
      <c r="L86" s="5" t="n">
        <f aca="false">K86-(G86*I86)</f>
        <v>9191.72</v>
      </c>
    </row>
    <row r="87" customFormat="false" ht="16.4" hidden="false" customHeight="false" outlineLevel="0" collapsed="false">
      <c r="A87" s="4" t="s">
        <v>1556</v>
      </c>
      <c r="B87" s="6" t="n">
        <v>45612</v>
      </c>
      <c r="C87" s="4" t="s">
        <v>805</v>
      </c>
      <c r="D87" s="4" t="s">
        <v>288</v>
      </c>
      <c r="E87" s="4" t="s">
        <v>6</v>
      </c>
      <c r="F87" s="4" t="s">
        <v>7</v>
      </c>
      <c r="G87" s="4" t="n">
        <v>21</v>
      </c>
      <c r="H87" s="5" t="n">
        <v>1158.55</v>
      </c>
      <c r="I87" s="5" t="n">
        <v>455.59</v>
      </c>
      <c r="J87" s="9" t="n">
        <v>0</v>
      </c>
      <c r="K87" s="5" t="n">
        <f aca="false">G87*H87*(1-J87)</f>
        <v>24329.55</v>
      </c>
      <c r="L87" s="5" t="n">
        <f aca="false">K87-(G87*I87)</f>
        <v>14762.16</v>
      </c>
    </row>
    <row r="88" customFormat="false" ht="16.4" hidden="false" customHeight="false" outlineLevel="0" collapsed="false">
      <c r="A88" s="4" t="s">
        <v>1557</v>
      </c>
      <c r="B88" s="6" t="n">
        <v>46071</v>
      </c>
      <c r="C88" s="4" t="s">
        <v>927</v>
      </c>
      <c r="D88" s="4" t="s">
        <v>42</v>
      </c>
      <c r="E88" s="4" t="s">
        <v>30</v>
      </c>
      <c r="F88" s="4" t="s">
        <v>13</v>
      </c>
      <c r="G88" s="4" t="n">
        <v>9</v>
      </c>
      <c r="H88" s="5" t="n">
        <v>820.12</v>
      </c>
      <c r="I88" s="5" t="n">
        <v>579.72</v>
      </c>
      <c r="J88" s="9" t="n">
        <v>0</v>
      </c>
      <c r="K88" s="5" t="n">
        <f aca="false">G88*H88*(1-J88)</f>
        <v>7381.08</v>
      </c>
      <c r="L88" s="5" t="n">
        <f aca="false">K88-(G88*I88)</f>
        <v>2163.6</v>
      </c>
    </row>
    <row r="89" customFormat="false" ht="16.4" hidden="false" customHeight="false" outlineLevel="0" collapsed="false">
      <c r="A89" s="4" t="s">
        <v>1558</v>
      </c>
      <c r="B89" s="6" t="n">
        <v>46096</v>
      </c>
      <c r="C89" s="4" t="s">
        <v>1247</v>
      </c>
      <c r="D89" s="4" t="s">
        <v>334</v>
      </c>
      <c r="E89" s="4" t="s">
        <v>6</v>
      </c>
      <c r="F89" s="4" t="s">
        <v>7</v>
      </c>
      <c r="G89" s="4" t="n">
        <v>6</v>
      </c>
      <c r="H89" s="5" t="n">
        <v>41.62</v>
      </c>
      <c r="I89" s="5" t="n">
        <v>23.46</v>
      </c>
      <c r="J89" s="9" t="n">
        <v>0.05</v>
      </c>
      <c r="K89" s="5" t="n">
        <f aca="false">G89*H89*(1-J89)</f>
        <v>237.234</v>
      </c>
      <c r="L89" s="5" t="n">
        <f aca="false">K89-(G89*I89)</f>
        <v>96.474</v>
      </c>
    </row>
    <row r="90" customFormat="false" ht="16.4" hidden="false" customHeight="false" outlineLevel="0" collapsed="false">
      <c r="A90" s="4" t="s">
        <v>1559</v>
      </c>
      <c r="B90" s="6" t="n">
        <v>45731</v>
      </c>
      <c r="C90" s="4" t="s">
        <v>1093</v>
      </c>
      <c r="D90" s="4" t="s">
        <v>106</v>
      </c>
      <c r="E90" s="4" t="s">
        <v>12</v>
      </c>
      <c r="F90" s="4" t="s">
        <v>25</v>
      </c>
      <c r="G90" s="4" t="n">
        <v>14</v>
      </c>
      <c r="H90" s="5" t="n">
        <v>1050.11</v>
      </c>
      <c r="I90" s="5" t="n">
        <v>545.28</v>
      </c>
      <c r="J90" s="9" t="n">
        <v>0.1</v>
      </c>
      <c r="K90" s="5" t="n">
        <f aca="false">G90*H90*(1-J90)</f>
        <v>13231.386</v>
      </c>
      <c r="L90" s="5" t="n">
        <f aca="false">K90-(G90*I90)</f>
        <v>5597.466</v>
      </c>
    </row>
    <row r="91" customFormat="false" ht="16.4" hidden="false" customHeight="false" outlineLevel="0" collapsed="false">
      <c r="A91" s="4" t="s">
        <v>1560</v>
      </c>
      <c r="B91" s="6" t="n">
        <v>45296</v>
      </c>
      <c r="C91" s="4" t="s">
        <v>1453</v>
      </c>
      <c r="D91" s="4" t="s">
        <v>258</v>
      </c>
      <c r="E91" s="4" t="s">
        <v>6</v>
      </c>
      <c r="F91" s="4" t="s">
        <v>7</v>
      </c>
      <c r="G91" s="4" t="n">
        <v>16</v>
      </c>
      <c r="H91" s="5" t="n">
        <v>268.03</v>
      </c>
      <c r="I91" s="5" t="n">
        <v>138.85</v>
      </c>
      <c r="J91" s="9" t="n">
        <v>0.05</v>
      </c>
      <c r="K91" s="5" t="n">
        <f aca="false">G91*H91*(1-J91)</f>
        <v>4074.056</v>
      </c>
      <c r="L91" s="5" t="n">
        <f aca="false">K91-(G91*I91)</f>
        <v>1852.456</v>
      </c>
    </row>
    <row r="92" customFormat="false" ht="16.4" hidden="false" customHeight="false" outlineLevel="0" collapsed="false">
      <c r="A92" s="4" t="s">
        <v>1561</v>
      </c>
      <c r="B92" s="6" t="n">
        <v>45306</v>
      </c>
      <c r="C92" s="4" t="s">
        <v>669</v>
      </c>
      <c r="D92" s="4" t="s">
        <v>312</v>
      </c>
      <c r="E92" s="4" t="s">
        <v>24</v>
      </c>
      <c r="F92" s="4" t="s">
        <v>19</v>
      </c>
      <c r="G92" s="4" t="n">
        <v>24</v>
      </c>
      <c r="H92" s="5" t="n">
        <v>238.66</v>
      </c>
      <c r="I92" s="5" t="n">
        <v>103.78</v>
      </c>
      <c r="J92" s="9" t="n">
        <v>0.02</v>
      </c>
      <c r="K92" s="5" t="n">
        <f aca="false">G92*H92*(1-J92)</f>
        <v>5613.2832</v>
      </c>
      <c r="L92" s="5" t="n">
        <f aca="false">K92-(G92*I92)</f>
        <v>3122.5632</v>
      </c>
    </row>
    <row r="93" customFormat="false" ht="16.4" hidden="false" customHeight="false" outlineLevel="0" collapsed="false">
      <c r="A93" s="4" t="s">
        <v>1562</v>
      </c>
      <c r="B93" s="6" t="n">
        <v>45310</v>
      </c>
      <c r="C93" s="4" t="s">
        <v>1317</v>
      </c>
      <c r="D93" s="4" t="s">
        <v>426</v>
      </c>
      <c r="E93" s="4" t="s">
        <v>6</v>
      </c>
      <c r="F93" s="4" t="s">
        <v>7</v>
      </c>
      <c r="G93" s="4" t="n">
        <v>17</v>
      </c>
      <c r="H93" s="5" t="n">
        <v>576.65</v>
      </c>
      <c r="I93" s="5" t="n">
        <v>425.38</v>
      </c>
      <c r="J93" s="9" t="n">
        <v>0</v>
      </c>
      <c r="K93" s="5" t="n">
        <f aca="false">G93*H93*(1-J93)</f>
        <v>9803.05</v>
      </c>
      <c r="L93" s="5" t="n">
        <f aca="false">K93-(G93*I93)</f>
        <v>2571.59</v>
      </c>
    </row>
    <row r="94" customFormat="false" ht="16.4" hidden="false" customHeight="false" outlineLevel="0" collapsed="false">
      <c r="A94" s="4" t="s">
        <v>1563</v>
      </c>
      <c r="B94" s="6" t="n">
        <v>46002</v>
      </c>
      <c r="C94" s="4" t="s">
        <v>1215</v>
      </c>
      <c r="D94" s="4" t="s">
        <v>360</v>
      </c>
      <c r="E94" s="4" t="s">
        <v>18</v>
      </c>
      <c r="F94" s="4" t="s">
        <v>19</v>
      </c>
      <c r="G94" s="4" t="n">
        <v>8</v>
      </c>
      <c r="H94" s="5" t="n">
        <v>1110.6</v>
      </c>
      <c r="I94" s="5" t="n">
        <v>738.69</v>
      </c>
      <c r="J94" s="9" t="n">
        <v>0</v>
      </c>
      <c r="K94" s="5" t="n">
        <f aca="false">G94*H94*(1-J94)</f>
        <v>8884.8</v>
      </c>
      <c r="L94" s="5" t="n">
        <f aca="false">K94-(G94*I94)</f>
        <v>2975.28</v>
      </c>
    </row>
    <row r="95" customFormat="false" ht="16.4" hidden="false" customHeight="false" outlineLevel="0" collapsed="false">
      <c r="A95" s="4" t="s">
        <v>1564</v>
      </c>
      <c r="B95" s="6" t="n">
        <v>45807</v>
      </c>
      <c r="C95" s="4" t="s">
        <v>597</v>
      </c>
      <c r="D95" s="4" t="s">
        <v>198</v>
      </c>
      <c r="E95" s="4" t="s">
        <v>30</v>
      </c>
      <c r="F95" s="4" t="s">
        <v>19</v>
      </c>
      <c r="G95" s="4" t="n">
        <v>4</v>
      </c>
      <c r="H95" s="5" t="n">
        <v>383.6</v>
      </c>
      <c r="I95" s="5" t="n">
        <v>256.3</v>
      </c>
      <c r="J95" s="9" t="n">
        <v>0.05</v>
      </c>
      <c r="K95" s="5" t="n">
        <f aca="false">G95*H95*(1-J95)</f>
        <v>1457.68</v>
      </c>
      <c r="L95" s="5" t="n">
        <f aca="false">K95-(G95*I95)</f>
        <v>432.48</v>
      </c>
    </row>
    <row r="96" customFormat="false" ht="16.4" hidden="false" customHeight="false" outlineLevel="0" collapsed="false">
      <c r="A96" s="4" t="s">
        <v>1565</v>
      </c>
      <c r="B96" s="6" t="n">
        <v>45589</v>
      </c>
      <c r="C96" s="4" t="s">
        <v>529</v>
      </c>
      <c r="D96" s="4" t="s">
        <v>124</v>
      </c>
      <c r="E96" s="4" t="s">
        <v>30</v>
      </c>
      <c r="F96" s="4" t="s">
        <v>25</v>
      </c>
      <c r="G96" s="4" t="n">
        <v>2</v>
      </c>
      <c r="H96" s="5" t="n">
        <v>816.2</v>
      </c>
      <c r="I96" s="5" t="n">
        <v>606.98</v>
      </c>
      <c r="J96" s="9" t="n">
        <v>0.02</v>
      </c>
      <c r="K96" s="5" t="n">
        <f aca="false">G96*H96*(1-J96)</f>
        <v>1599.752</v>
      </c>
      <c r="L96" s="5" t="n">
        <f aca="false">K96-(G96*I96)</f>
        <v>385.792</v>
      </c>
    </row>
    <row r="97" customFormat="false" ht="16.4" hidden="false" customHeight="false" outlineLevel="0" collapsed="false">
      <c r="A97" s="4" t="s">
        <v>1566</v>
      </c>
      <c r="B97" s="6" t="n">
        <v>45637</v>
      </c>
      <c r="C97" s="4" t="s">
        <v>997</v>
      </c>
      <c r="D97" s="4" t="s">
        <v>412</v>
      </c>
      <c r="E97" s="4" t="s">
        <v>6</v>
      </c>
      <c r="F97" s="4" t="s">
        <v>25</v>
      </c>
      <c r="G97" s="4" t="n">
        <v>20</v>
      </c>
      <c r="H97" s="5" t="n">
        <v>1121.1</v>
      </c>
      <c r="I97" s="5" t="n">
        <v>782.35</v>
      </c>
      <c r="J97" s="9" t="n">
        <v>0.08</v>
      </c>
      <c r="K97" s="5" t="n">
        <f aca="false">G97*H97*(1-J97)</f>
        <v>20628.24</v>
      </c>
      <c r="L97" s="5" t="n">
        <f aca="false">K97-(G97*I97)</f>
        <v>4981.24</v>
      </c>
    </row>
    <row r="98" customFormat="false" ht="16.4" hidden="false" customHeight="false" outlineLevel="0" collapsed="false">
      <c r="A98" s="4" t="s">
        <v>1567</v>
      </c>
      <c r="B98" s="6" t="n">
        <v>45659</v>
      </c>
      <c r="C98" s="4" t="s">
        <v>601</v>
      </c>
      <c r="D98" s="4" t="s">
        <v>390</v>
      </c>
      <c r="E98" s="4" t="s">
        <v>30</v>
      </c>
      <c r="F98" s="4" t="s">
        <v>13</v>
      </c>
      <c r="G98" s="4" t="n">
        <v>11</v>
      </c>
      <c r="H98" s="5" t="n">
        <v>917.99</v>
      </c>
      <c r="I98" s="5" t="n">
        <v>396.04</v>
      </c>
      <c r="J98" s="9" t="n">
        <v>0.05</v>
      </c>
      <c r="K98" s="5" t="n">
        <f aca="false">G98*H98*(1-J98)</f>
        <v>9592.9955</v>
      </c>
      <c r="L98" s="5" t="n">
        <f aca="false">K98-(G98*I98)</f>
        <v>5236.5555</v>
      </c>
    </row>
    <row r="99" customFormat="false" ht="16.4" hidden="false" customHeight="false" outlineLevel="0" collapsed="false">
      <c r="A99" s="4" t="s">
        <v>1568</v>
      </c>
      <c r="B99" s="6" t="n">
        <v>45525</v>
      </c>
      <c r="C99" s="4" t="s">
        <v>1435</v>
      </c>
      <c r="D99" s="4" t="s">
        <v>124</v>
      </c>
      <c r="E99" s="4" t="s">
        <v>6</v>
      </c>
      <c r="F99" s="4" t="s">
        <v>13</v>
      </c>
      <c r="G99" s="4" t="n">
        <v>13</v>
      </c>
      <c r="H99" s="5" t="n">
        <v>816.2</v>
      </c>
      <c r="I99" s="5" t="n">
        <v>606.98</v>
      </c>
      <c r="J99" s="9" t="n">
        <v>0</v>
      </c>
      <c r="K99" s="5" t="n">
        <f aca="false">G99*H99*(1-J99)</f>
        <v>10610.6</v>
      </c>
      <c r="L99" s="5" t="n">
        <f aca="false">K99-(G99*I99)</f>
        <v>2719.86</v>
      </c>
    </row>
    <row r="100" customFormat="false" ht="16.4" hidden="false" customHeight="false" outlineLevel="0" collapsed="false">
      <c r="A100" s="4" t="s">
        <v>1569</v>
      </c>
      <c r="B100" s="6" t="n">
        <v>45314</v>
      </c>
      <c r="C100" s="4" t="s">
        <v>599</v>
      </c>
      <c r="D100" s="4" t="s">
        <v>412</v>
      </c>
      <c r="E100" s="4" t="s">
        <v>24</v>
      </c>
      <c r="F100" s="4" t="s">
        <v>13</v>
      </c>
      <c r="G100" s="4" t="n">
        <v>7</v>
      </c>
      <c r="H100" s="5" t="n">
        <v>1121.1</v>
      </c>
      <c r="I100" s="5" t="n">
        <v>782.35</v>
      </c>
      <c r="J100" s="9" t="n">
        <v>0.1</v>
      </c>
      <c r="K100" s="5" t="n">
        <f aca="false">G100*H100*(1-J100)</f>
        <v>7062.93</v>
      </c>
      <c r="L100" s="5" t="n">
        <f aca="false">K100-(G100*I100)</f>
        <v>1586.48</v>
      </c>
    </row>
    <row r="101" customFormat="false" ht="16.4" hidden="false" customHeight="false" outlineLevel="0" collapsed="false">
      <c r="A101" s="4" t="s">
        <v>1570</v>
      </c>
      <c r="B101" s="6" t="n">
        <v>46103</v>
      </c>
      <c r="C101" s="4" t="s">
        <v>839</v>
      </c>
      <c r="D101" s="4" t="s">
        <v>102</v>
      </c>
      <c r="E101" s="4" t="s">
        <v>12</v>
      </c>
      <c r="F101" s="4" t="s">
        <v>7</v>
      </c>
      <c r="G101" s="4" t="n">
        <v>23</v>
      </c>
      <c r="H101" s="5" t="n">
        <v>983.83</v>
      </c>
      <c r="I101" s="5" t="n">
        <v>729.21</v>
      </c>
      <c r="J101" s="9" t="n">
        <v>0.1</v>
      </c>
      <c r="K101" s="5" t="n">
        <f aca="false">G101*H101*(1-J101)</f>
        <v>20365.281</v>
      </c>
      <c r="L101" s="5" t="n">
        <f aca="false">K101-(G101*I101)</f>
        <v>3593.451</v>
      </c>
    </row>
    <row r="102" customFormat="false" ht="16.4" hidden="false" customHeight="false" outlineLevel="0" collapsed="false">
      <c r="A102" s="4" t="s">
        <v>1571</v>
      </c>
      <c r="B102" s="6" t="n">
        <v>46081</v>
      </c>
      <c r="C102" s="4" t="s">
        <v>1361</v>
      </c>
      <c r="D102" s="4" t="s">
        <v>232</v>
      </c>
      <c r="E102" s="4" t="s">
        <v>18</v>
      </c>
      <c r="F102" s="4" t="s">
        <v>7</v>
      </c>
      <c r="G102" s="4" t="n">
        <v>21</v>
      </c>
      <c r="H102" s="5" t="n">
        <v>743.25</v>
      </c>
      <c r="I102" s="5" t="n">
        <v>488.61</v>
      </c>
      <c r="J102" s="9" t="n">
        <v>0.02</v>
      </c>
      <c r="K102" s="5" t="n">
        <f aca="false">G102*H102*(1-J102)</f>
        <v>15296.085</v>
      </c>
      <c r="L102" s="5" t="n">
        <f aca="false">K102-(G102*I102)</f>
        <v>5035.275</v>
      </c>
    </row>
    <row r="103" customFormat="false" ht="16.4" hidden="false" customHeight="false" outlineLevel="0" collapsed="false">
      <c r="A103" s="4" t="s">
        <v>1572</v>
      </c>
      <c r="B103" s="6" t="n">
        <v>45961</v>
      </c>
      <c r="C103" s="4" t="s">
        <v>510</v>
      </c>
      <c r="D103" s="4" t="s">
        <v>344</v>
      </c>
      <c r="E103" s="4" t="s">
        <v>24</v>
      </c>
      <c r="F103" s="4" t="s">
        <v>7</v>
      </c>
      <c r="G103" s="4" t="n">
        <v>22</v>
      </c>
      <c r="H103" s="5" t="n">
        <v>200.31</v>
      </c>
      <c r="I103" s="5" t="n">
        <v>115.21</v>
      </c>
      <c r="J103" s="9" t="n">
        <v>0</v>
      </c>
      <c r="K103" s="5" t="n">
        <f aca="false">G103*H103*(1-J103)</f>
        <v>4406.82</v>
      </c>
      <c r="L103" s="5" t="n">
        <f aca="false">K103-(G103*I103)</f>
        <v>1872.2</v>
      </c>
    </row>
    <row r="104" customFormat="false" ht="16.4" hidden="false" customHeight="false" outlineLevel="0" collapsed="false">
      <c r="A104" s="4" t="s">
        <v>1573</v>
      </c>
      <c r="B104" s="6" t="n">
        <v>45746</v>
      </c>
      <c r="C104" s="4" t="s">
        <v>1171</v>
      </c>
      <c r="D104" s="4" t="s">
        <v>64</v>
      </c>
      <c r="E104" s="4" t="s">
        <v>12</v>
      </c>
      <c r="F104" s="4" t="s">
        <v>25</v>
      </c>
      <c r="G104" s="4" t="n">
        <v>4</v>
      </c>
      <c r="H104" s="5" t="n">
        <v>442.44</v>
      </c>
      <c r="I104" s="5" t="n">
        <v>273.46</v>
      </c>
      <c r="J104" s="9" t="n">
        <v>0.05</v>
      </c>
      <c r="K104" s="5" t="n">
        <f aca="false">G104*H104*(1-J104)</f>
        <v>1681.272</v>
      </c>
      <c r="L104" s="5" t="n">
        <f aca="false">K104-(G104*I104)</f>
        <v>587.432</v>
      </c>
    </row>
    <row r="105" customFormat="false" ht="16.4" hidden="false" customHeight="false" outlineLevel="0" collapsed="false">
      <c r="A105" s="4" t="s">
        <v>1574</v>
      </c>
      <c r="B105" s="6" t="n">
        <v>46010</v>
      </c>
      <c r="C105" s="4" t="s">
        <v>1025</v>
      </c>
      <c r="D105" s="4" t="s">
        <v>102</v>
      </c>
      <c r="E105" s="4" t="s">
        <v>30</v>
      </c>
      <c r="F105" s="4" t="s">
        <v>13</v>
      </c>
      <c r="G105" s="4" t="n">
        <v>9</v>
      </c>
      <c r="H105" s="5" t="n">
        <v>983.83</v>
      </c>
      <c r="I105" s="5" t="n">
        <v>729.21</v>
      </c>
      <c r="J105" s="9" t="n">
        <v>0.05</v>
      </c>
      <c r="K105" s="5" t="n">
        <f aca="false">G105*H105*(1-J105)</f>
        <v>8411.7465</v>
      </c>
      <c r="L105" s="5" t="n">
        <f aca="false">K105-(G105*I105)</f>
        <v>1848.8565</v>
      </c>
    </row>
    <row r="106" customFormat="false" ht="16.4" hidden="false" customHeight="false" outlineLevel="0" collapsed="false">
      <c r="A106" s="4" t="s">
        <v>1575</v>
      </c>
      <c r="B106" s="6" t="n">
        <v>45301</v>
      </c>
      <c r="C106" s="4" t="s">
        <v>1175</v>
      </c>
      <c r="D106" s="4" t="s">
        <v>144</v>
      </c>
      <c r="E106" s="4" t="s">
        <v>6</v>
      </c>
      <c r="F106" s="4" t="s">
        <v>19</v>
      </c>
      <c r="G106" s="4" t="n">
        <v>22</v>
      </c>
      <c r="H106" s="5" t="n">
        <v>92.17</v>
      </c>
      <c r="I106" s="5" t="n">
        <v>53.8</v>
      </c>
      <c r="J106" s="9" t="n">
        <v>0.1</v>
      </c>
      <c r="K106" s="5" t="n">
        <f aca="false">G106*H106*(1-J106)</f>
        <v>1824.966</v>
      </c>
      <c r="L106" s="5" t="n">
        <f aca="false">K106-(G106*I106)</f>
        <v>641.366</v>
      </c>
    </row>
    <row r="107" customFormat="false" ht="16.4" hidden="false" customHeight="false" outlineLevel="0" collapsed="false">
      <c r="A107" s="4" t="s">
        <v>1576</v>
      </c>
      <c r="B107" s="6" t="n">
        <v>45824</v>
      </c>
      <c r="C107" s="4" t="s">
        <v>1141</v>
      </c>
      <c r="D107" s="4" t="s">
        <v>254</v>
      </c>
      <c r="E107" s="4" t="s">
        <v>18</v>
      </c>
      <c r="F107" s="4" t="s">
        <v>19</v>
      </c>
      <c r="G107" s="4" t="n">
        <v>4</v>
      </c>
      <c r="H107" s="5" t="n">
        <v>202.23</v>
      </c>
      <c r="I107" s="5" t="n">
        <v>101.76</v>
      </c>
      <c r="J107" s="9" t="n">
        <v>0.1</v>
      </c>
      <c r="K107" s="5" t="n">
        <f aca="false">G107*H107*(1-J107)</f>
        <v>728.028</v>
      </c>
      <c r="L107" s="5" t="n">
        <f aca="false">K107-(G107*I107)</f>
        <v>320.988</v>
      </c>
    </row>
    <row r="108" customFormat="false" ht="16.4" hidden="false" customHeight="false" outlineLevel="0" collapsed="false">
      <c r="A108" s="4" t="s">
        <v>1577</v>
      </c>
      <c r="B108" s="6" t="n">
        <v>45720</v>
      </c>
      <c r="C108" s="4" t="s">
        <v>1085</v>
      </c>
      <c r="D108" s="4" t="s">
        <v>358</v>
      </c>
      <c r="E108" s="4" t="s">
        <v>18</v>
      </c>
      <c r="F108" s="4" t="s">
        <v>7</v>
      </c>
      <c r="G108" s="4" t="n">
        <v>23</v>
      </c>
      <c r="H108" s="5" t="n">
        <v>855.67</v>
      </c>
      <c r="I108" s="5" t="n">
        <v>540.09</v>
      </c>
      <c r="J108" s="9" t="n">
        <v>0</v>
      </c>
      <c r="K108" s="5" t="n">
        <f aca="false">G108*H108*(1-J108)</f>
        <v>19680.41</v>
      </c>
      <c r="L108" s="5" t="n">
        <f aca="false">K108-(G108*I108)</f>
        <v>7258.34</v>
      </c>
    </row>
    <row r="109" customFormat="false" ht="16.4" hidden="false" customHeight="false" outlineLevel="0" collapsed="false">
      <c r="A109" s="4" t="s">
        <v>1578</v>
      </c>
      <c r="B109" s="6" t="n">
        <v>45581</v>
      </c>
      <c r="C109" s="4" t="s">
        <v>1201</v>
      </c>
      <c r="D109" s="4" t="s">
        <v>300</v>
      </c>
      <c r="E109" s="4" t="s">
        <v>24</v>
      </c>
      <c r="F109" s="4" t="s">
        <v>7</v>
      </c>
      <c r="G109" s="4" t="n">
        <v>20</v>
      </c>
      <c r="H109" s="5" t="n">
        <v>771.81</v>
      </c>
      <c r="I109" s="5" t="n">
        <v>525.98</v>
      </c>
      <c r="J109" s="9" t="n">
        <v>0</v>
      </c>
      <c r="K109" s="5" t="n">
        <f aca="false">G109*H109*(1-J109)</f>
        <v>15436.2</v>
      </c>
      <c r="L109" s="5" t="n">
        <f aca="false">K109-(G109*I109)</f>
        <v>4916.6</v>
      </c>
    </row>
    <row r="110" customFormat="false" ht="16.4" hidden="false" customHeight="false" outlineLevel="0" collapsed="false">
      <c r="A110" s="4" t="s">
        <v>1579</v>
      </c>
      <c r="B110" s="6" t="n">
        <v>45496</v>
      </c>
      <c r="C110" s="4" t="s">
        <v>973</v>
      </c>
      <c r="D110" s="4" t="s">
        <v>94</v>
      </c>
      <c r="E110" s="4" t="s">
        <v>12</v>
      </c>
      <c r="F110" s="4" t="s">
        <v>19</v>
      </c>
      <c r="G110" s="4" t="n">
        <v>7</v>
      </c>
      <c r="H110" s="5" t="n">
        <v>740.54</v>
      </c>
      <c r="I110" s="5" t="n">
        <v>304.46</v>
      </c>
      <c r="J110" s="9" t="n">
        <v>0.08</v>
      </c>
      <c r="K110" s="5" t="n">
        <f aca="false">G110*H110*(1-J110)</f>
        <v>4769.0776</v>
      </c>
      <c r="L110" s="5" t="n">
        <f aca="false">K110-(G110*I110)</f>
        <v>2637.8576</v>
      </c>
    </row>
    <row r="111" customFormat="false" ht="16.4" hidden="false" customHeight="false" outlineLevel="0" collapsed="false">
      <c r="A111" s="4" t="s">
        <v>1580</v>
      </c>
      <c r="B111" s="6" t="n">
        <v>46012</v>
      </c>
      <c r="C111" s="4" t="s">
        <v>1461</v>
      </c>
      <c r="D111" s="4" t="s">
        <v>306</v>
      </c>
      <c r="E111" s="4" t="s">
        <v>12</v>
      </c>
      <c r="F111" s="4" t="s">
        <v>25</v>
      </c>
      <c r="G111" s="4" t="n">
        <v>7</v>
      </c>
      <c r="H111" s="5" t="n">
        <v>995.24</v>
      </c>
      <c r="I111" s="5" t="n">
        <v>584.2</v>
      </c>
      <c r="J111" s="9" t="n">
        <v>0.02</v>
      </c>
      <c r="K111" s="5" t="n">
        <f aca="false">G111*H111*(1-J111)</f>
        <v>6827.3464</v>
      </c>
      <c r="L111" s="5" t="n">
        <f aca="false">K111-(G111*I111)</f>
        <v>2737.9464</v>
      </c>
    </row>
    <row r="112" customFormat="false" ht="16.4" hidden="false" customHeight="false" outlineLevel="0" collapsed="false">
      <c r="A112" s="4" t="s">
        <v>1581</v>
      </c>
      <c r="B112" s="6" t="n">
        <v>45800</v>
      </c>
      <c r="C112" s="4" t="s">
        <v>629</v>
      </c>
      <c r="D112" s="4" t="s">
        <v>190</v>
      </c>
      <c r="E112" s="4" t="s">
        <v>30</v>
      </c>
      <c r="F112" s="4" t="s">
        <v>13</v>
      </c>
      <c r="G112" s="4" t="n">
        <v>2</v>
      </c>
      <c r="H112" s="5" t="n">
        <v>1040.91</v>
      </c>
      <c r="I112" s="5" t="n">
        <v>770.78</v>
      </c>
      <c r="J112" s="9" t="n">
        <v>0.08</v>
      </c>
      <c r="K112" s="5" t="n">
        <f aca="false">G112*H112*(1-J112)</f>
        <v>1915.2744</v>
      </c>
      <c r="L112" s="5" t="n">
        <f aca="false">K112-(G112*I112)</f>
        <v>373.7144</v>
      </c>
    </row>
    <row r="113" customFormat="false" ht="16.4" hidden="false" customHeight="false" outlineLevel="0" collapsed="false">
      <c r="A113" s="4" t="s">
        <v>1582</v>
      </c>
      <c r="B113" s="6" t="n">
        <v>45532</v>
      </c>
      <c r="C113" s="4" t="s">
        <v>1419</v>
      </c>
      <c r="D113" s="4" t="s">
        <v>392</v>
      </c>
      <c r="E113" s="4" t="s">
        <v>12</v>
      </c>
      <c r="F113" s="4" t="s">
        <v>7</v>
      </c>
      <c r="G113" s="4" t="n">
        <v>16</v>
      </c>
      <c r="H113" s="5" t="n">
        <v>539.79</v>
      </c>
      <c r="I113" s="5" t="n">
        <v>339.69</v>
      </c>
      <c r="J113" s="9" t="n">
        <v>0.02</v>
      </c>
      <c r="K113" s="5" t="n">
        <f aca="false">G113*H113*(1-J113)</f>
        <v>8463.9072</v>
      </c>
      <c r="L113" s="5" t="n">
        <f aca="false">K113-(G113*I113)</f>
        <v>3028.8672</v>
      </c>
    </row>
    <row r="114" customFormat="false" ht="16.4" hidden="false" customHeight="false" outlineLevel="0" collapsed="false">
      <c r="A114" s="4" t="s">
        <v>1583</v>
      </c>
      <c r="B114" s="6" t="n">
        <v>46147</v>
      </c>
      <c r="C114" s="4" t="s">
        <v>1151</v>
      </c>
      <c r="D114" s="4" t="s">
        <v>46</v>
      </c>
      <c r="E114" s="4" t="s">
        <v>24</v>
      </c>
      <c r="F114" s="4" t="s">
        <v>25</v>
      </c>
      <c r="G114" s="4" t="n">
        <v>3</v>
      </c>
      <c r="H114" s="5" t="n">
        <v>258.63</v>
      </c>
      <c r="I114" s="5" t="n">
        <v>157.75</v>
      </c>
      <c r="J114" s="9" t="n">
        <v>0</v>
      </c>
      <c r="K114" s="5" t="n">
        <f aca="false">G114*H114*(1-J114)</f>
        <v>775.89</v>
      </c>
      <c r="L114" s="5" t="n">
        <f aca="false">K114-(G114*I114)</f>
        <v>302.64</v>
      </c>
    </row>
    <row r="115" customFormat="false" ht="16.4" hidden="false" customHeight="false" outlineLevel="0" collapsed="false">
      <c r="A115" s="4" t="s">
        <v>1584</v>
      </c>
      <c r="B115" s="6" t="n">
        <v>45815</v>
      </c>
      <c r="C115" s="4" t="s">
        <v>1437</v>
      </c>
      <c r="D115" s="4" t="s">
        <v>116</v>
      </c>
      <c r="E115" s="4" t="s">
        <v>12</v>
      </c>
      <c r="F115" s="4" t="s">
        <v>7</v>
      </c>
      <c r="G115" s="4" t="n">
        <v>3</v>
      </c>
      <c r="H115" s="5" t="n">
        <v>108.26</v>
      </c>
      <c r="I115" s="5" t="n">
        <v>48.2</v>
      </c>
      <c r="J115" s="9" t="n">
        <v>0.15</v>
      </c>
      <c r="K115" s="5" t="n">
        <f aca="false">G115*H115*(1-J115)</f>
        <v>276.063</v>
      </c>
      <c r="L115" s="5" t="n">
        <f aca="false">K115-(G115*I115)</f>
        <v>131.463</v>
      </c>
    </row>
    <row r="116" customFormat="false" ht="16.4" hidden="false" customHeight="false" outlineLevel="0" collapsed="false">
      <c r="A116" s="4" t="s">
        <v>1585</v>
      </c>
      <c r="B116" s="6" t="n">
        <v>45951</v>
      </c>
      <c r="C116" s="4" t="s">
        <v>1205</v>
      </c>
      <c r="D116" s="4" t="s">
        <v>410</v>
      </c>
      <c r="E116" s="4" t="s">
        <v>18</v>
      </c>
      <c r="F116" s="4" t="s">
        <v>13</v>
      </c>
      <c r="G116" s="4" t="n">
        <v>4</v>
      </c>
      <c r="H116" s="5" t="n">
        <v>549.69</v>
      </c>
      <c r="I116" s="5" t="n">
        <v>298.89</v>
      </c>
      <c r="J116" s="9" t="n">
        <v>0.02</v>
      </c>
      <c r="K116" s="5" t="n">
        <f aca="false">G116*H116*(1-J116)</f>
        <v>2154.7848</v>
      </c>
      <c r="L116" s="5" t="n">
        <f aca="false">K116-(G116*I116)</f>
        <v>959.2248</v>
      </c>
    </row>
    <row r="117" customFormat="false" ht="16.4" hidden="false" customHeight="false" outlineLevel="0" collapsed="false">
      <c r="A117" s="4" t="s">
        <v>1586</v>
      </c>
      <c r="B117" s="6" t="n">
        <v>45343</v>
      </c>
      <c r="C117" s="4" t="s">
        <v>767</v>
      </c>
      <c r="D117" s="4" t="s">
        <v>272</v>
      </c>
      <c r="E117" s="4" t="s">
        <v>12</v>
      </c>
      <c r="F117" s="4" t="s">
        <v>7</v>
      </c>
      <c r="G117" s="4" t="n">
        <v>9</v>
      </c>
      <c r="H117" s="5" t="n">
        <v>1043.55</v>
      </c>
      <c r="I117" s="5" t="n">
        <v>441.1</v>
      </c>
      <c r="J117" s="9" t="n">
        <v>0.05</v>
      </c>
      <c r="K117" s="5" t="n">
        <f aca="false">G117*H117*(1-J117)</f>
        <v>8922.3525</v>
      </c>
      <c r="L117" s="5" t="n">
        <f aca="false">K117-(G117*I117)</f>
        <v>4952.4525</v>
      </c>
    </row>
    <row r="118" customFormat="false" ht="16.4" hidden="false" customHeight="false" outlineLevel="0" collapsed="false">
      <c r="A118" s="4" t="s">
        <v>1587</v>
      </c>
      <c r="B118" s="6" t="n">
        <v>45589</v>
      </c>
      <c r="C118" s="4" t="s">
        <v>1359</v>
      </c>
      <c r="D118" s="4" t="s">
        <v>128</v>
      </c>
      <c r="E118" s="4" t="s">
        <v>12</v>
      </c>
      <c r="F118" s="4" t="s">
        <v>19</v>
      </c>
      <c r="G118" s="4" t="n">
        <v>2</v>
      </c>
      <c r="H118" s="5" t="n">
        <v>248.5</v>
      </c>
      <c r="I118" s="5" t="n">
        <v>131.57</v>
      </c>
      <c r="J118" s="9" t="n">
        <v>0.15</v>
      </c>
      <c r="K118" s="5" t="n">
        <f aca="false">G118*H118*(1-J118)</f>
        <v>422.45</v>
      </c>
      <c r="L118" s="5" t="n">
        <f aca="false">K118-(G118*I118)</f>
        <v>159.31</v>
      </c>
    </row>
    <row r="119" customFormat="false" ht="16.4" hidden="false" customHeight="false" outlineLevel="0" collapsed="false">
      <c r="A119" s="4" t="s">
        <v>1588</v>
      </c>
      <c r="B119" s="6" t="n">
        <v>45410</v>
      </c>
      <c r="C119" s="4" t="s">
        <v>785</v>
      </c>
      <c r="D119" s="4" t="s">
        <v>386</v>
      </c>
      <c r="E119" s="4" t="s">
        <v>24</v>
      </c>
      <c r="F119" s="4" t="s">
        <v>7</v>
      </c>
      <c r="G119" s="4" t="n">
        <v>14</v>
      </c>
      <c r="H119" s="5" t="n">
        <v>994.29</v>
      </c>
      <c r="I119" s="5" t="n">
        <v>348.46</v>
      </c>
      <c r="J119" s="9" t="n">
        <v>0.1</v>
      </c>
      <c r="K119" s="5" t="n">
        <f aca="false">G119*H119*(1-J119)</f>
        <v>12528.054</v>
      </c>
      <c r="L119" s="5" t="n">
        <f aca="false">K119-(G119*I119)</f>
        <v>7649.614</v>
      </c>
    </row>
    <row r="120" customFormat="false" ht="16.4" hidden="false" customHeight="false" outlineLevel="0" collapsed="false">
      <c r="A120" s="4" t="s">
        <v>1589</v>
      </c>
      <c r="B120" s="6" t="n">
        <v>46164</v>
      </c>
      <c r="C120" s="4" t="s">
        <v>1375</v>
      </c>
      <c r="D120" s="4" t="s">
        <v>428</v>
      </c>
      <c r="E120" s="4" t="s">
        <v>12</v>
      </c>
      <c r="F120" s="4" t="s">
        <v>13</v>
      </c>
      <c r="G120" s="4" t="n">
        <v>2</v>
      </c>
      <c r="H120" s="5" t="n">
        <v>1025.82</v>
      </c>
      <c r="I120" s="5" t="n">
        <v>708.78</v>
      </c>
      <c r="J120" s="9" t="n">
        <v>0</v>
      </c>
      <c r="K120" s="5" t="n">
        <f aca="false">G120*H120*(1-J120)</f>
        <v>2051.64</v>
      </c>
      <c r="L120" s="5" t="n">
        <f aca="false">K120-(G120*I120)</f>
        <v>634.08</v>
      </c>
    </row>
    <row r="121" customFormat="false" ht="16.4" hidden="false" customHeight="false" outlineLevel="0" collapsed="false">
      <c r="A121" s="4" t="s">
        <v>1590</v>
      </c>
      <c r="B121" s="6" t="n">
        <v>45658</v>
      </c>
      <c r="C121" s="4" t="s">
        <v>1127</v>
      </c>
      <c r="D121" s="4" t="s">
        <v>378</v>
      </c>
      <c r="E121" s="4" t="s">
        <v>12</v>
      </c>
      <c r="F121" s="4" t="s">
        <v>25</v>
      </c>
      <c r="G121" s="4" t="n">
        <v>6</v>
      </c>
      <c r="H121" s="5" t="n">
        <v>1163.64</v>
      </c>
      <c r="I121" s="5" t="n">
        <v>626.04</v>
      </c>
      <c r="J121" s="9" t="n">
        <v>0.02</v>
      </c>
      <c r="K121" s="5" t="n">
        <f aca="false">G121*H121*(1-J121)</f>
        <v>6842.2032</v>
      </c>
      <c r="L121" s="5" t="n">
        <f aca="false">K121-(G121*I121)</f>
        <v>3085.9632</v>
      </c>
    </row>
    <row r="122" customFormat="false" ht="16.4" hidden="false" customHeight="false" outlineLevel="0" collapsed="false">
      <c r="A122" s="4" t="s">
        <v>1591</v>
      </c>
      <c r="B122" s="6" t="n">
        <v>45673</v>
      </c>
      <c r="C122" s="4" t="s">
        <v>739</v>
      </c>
      <c r="D122" s="4" t="s">
        <v>358</v>
      </c>
      <c r="E122" s="4" t="s">
        <v>12</v>
      </c>
      <c r="F122" s="4" t="s">
        <v>19</v>
      </c>
      <c r="G122" s="4" t="n">
        <v>24</v>
      </c>
      <c r="H122" s="5" t="n">
        <v>855.67</v>
      </c>
      <c r="I122" s="5" t="n">
        <v>540.09</v>
      </c>
      <c r="J122" s="9" t="n">
        <v>0</v>
      </c>
      <c r="K122" s="5" t="n">
        <f aca="false">G122*H122*(1-J122)</f>
        <v>20536.08</v>
      </c>
      <c r="L122" s="5" t="n">
        <f aca="false">K122-(G122*I122)</f>
        <v>7573.92</v>
      </c>
    </row>
    <row r="123" customFormat="false" ht="16.4" hidden="false" customHeight="false" outlineLevel="0" collapsed="false">
      <c r="A123" s="4" t="s">
        <v>1592</v>
      </c>
      <c r="B123" s="6" t="n">
        <v>45759</v>
      </c>
      <c r="C123" s="4" t="s">
        <v>581</v>
      </c>
      <c r="D123" s="4" t="s">
        <v>132</v>
      </c>
      <c r="E123" s="4" t="s">
        <v>6</v>
      </c>
      <c r="F123" s="4" t="s">
        <v>19</v>
      </c>
      <c r="G123" s="4" t="n">
        <v>13</v>
      </c>
      <c r="H123" s="5" t="n">
        <v>140.04</v>
      </c>
      <c r="I123" s="5" t="n">
        <v>85.54</v>
      </c>
      <c r="J123" s="9" t="n">
        <v>0.05</v>
      </c>
      <c r="K123" s="5" t="n">
        <f aca="false">G123*H123*(1-J123)</f>
        <v>1729.494</v>
      </c>
      <c r="L123" s="5" t="n">
        <f aca="false">K123-(G123*I123)</f>
        <v>617.474</v>
      </c>
    </row>
    <row r="124" customFormat="false" ht="16.4" hidden="false" customHeight="false" outlineLevel="0" collapsed="false">
      <c r="A124" s="4" t="s">
        <v>1593</v>
      </c>
      <c r="B124" s="6" t="n">
        <v>45723</v>
      </c>
      <c r="C124" s="4" t="s">
        <v>1171</v>
      </c>
      <c r="D124" s="4" t="s">
        <v>236</v>
      </c>
      <c r="E124" s="4" t="s">
        <v>12</v>
      </c>
      <c r="F124" s="4" t="s">
        <v>13</v>
      </c>
      <c r="G124" s="4" t="n">
        <v>16</v>
      </c>
      <c r="H124" s="5" t="n">
        <v>198.4</v>
      </c>
      <c r="I124" s="5" t="n">
        <v>124.01</v>
      </c>
      <c r="J124" s="9" t="n">
        <v>0.15</v>
      </c>
      <c r="K124" s="5" t="n">
        <f aca="false">G124*H124*(1-J124)</f>
        <v>2698.24</v>
      </c>
      <c r="L124" s="5" t="n">
        <f aca="false">K124-(G124*I124)</f>
        <v>714.08</v>
      </c>
    </row>
    <row r="125" customFormat="false" ht="16.4" hidden="false" customHeight="false" outlineLevel="0" collapsed="false">
      <c r="A125" s="4" t="s">
        <v>1594</v>
      </c>
      <c r="B125" s="6" t="n">
        <v>45352</v>
      </c>
      <c r="C125" s="4" t="s">
        <v>599</v>
      </c>
      <c r="D125" s="4" t="s">
        <v>96</v>
      </c>
      <c r="E125" s="4" t="s">
        <v>24</v>
      </c>
      <c r="F125" s="4" t="s">
        <v>13</v>
      </c>
      <c r="G125" s="4" t="n">
        <v>23</v>
      </c>
      <c r="H125" s="5" t="n">
        <v>1145.36</v>
      </c>
      <c r="I125" s="5" t="n">
        <v>823.48</v>
      </c>
      <c r="J125" s="9" t="n">
        <v>0.1</v>
      </c>
      <c r="K125" s="5" t="n">
        <f aca="false">G125*H125*(1-J125)</f>
        <v>23708.952</v>
      </c>
      <c r="L125" s="5" t="n">
        <f aca="false">K125-(G125*I125)</f>
        <v>4768.912</v>
      </c>
    </row>
    <row r="126" customFormat="false" ht="16.4" hidden="false" customHeight="false" outlineLevel="0" collapsed="false">
      <c r="A126" s="4" t="s">
        <v>1595</v>
      </c>
      <c r="B126" s="6" t="n">
        <v>46113</v>
      </c>
      <c r="C126" s="4" t="s">
        <v>891</v>
      </c>
      <c r="D126" s="4" t="s">
        <v>92</v>
      </c>
      <c r="E126" s="4" t="s">
        <v>18</v>
      </c>
      <c r="F126" s="4" t="s">
        <v>25</v>
      </c>
      <c r="G126" s="4" t="n">
        <v>19</v>
      </c>
      <c r="H126" s="5" t="n">
        <v>920.31</v>
      </c>
      <c r="I126" s="5" t="n">
        <v>509</v>
      </c>
      <c r="J126" s="9" t="n">
        <v>0.05</v>
      </c>
      <c r="K126" s="5" t="n">
        <f aca="false">G126*H126*(1-J126)</f>
        <v>16611.5955</v>
      </c>
      <c r="L126" s="5" t="n">
        <f aca="false">K126-(G126*I126)</f>
        <v>6940.5955</v>
      </c>
    </row>
    <row r="127" customFormat="false" ht="16.4" hidden="false" customHeight="false" outlineLevel="0" collapsed="false">
      <c r="A127" s="4" t="s">
        <v>1596</v>
      </c>
      <c r="B127" s="6" t="n">
        <v>45659</v>
      </c>
      <c r="C127" s="4" t="s">
        <v>1089</v>
      </c>
      <c r="D127" s="4" t="s">
        <v>132</v>
      </c>
      <c r="E127" s="4" t="s">
        <v>24</v>
      </c>
      <c r="F127" s="4" t="s">
        <v>7</v>
      </c>
      <c r="G127" s="4" t="n">
        <v>13</v>
      </c>
      <c r="H127" s="5" t="n">
        <v>140.04</v>
      </c>
      <c r="I127" s="5" t="n">
        <v>85.54</v>
      </c>
      <c r="J127" s="9" t="n">
        <v>0.15</v>
      </c>
      <c r="K127" s="5" t="n">
        <f aca="false">G127*H127*(1-J127)</f>
        <v>1547.442</v>
      </c>
      <c r="L127" s="5" t="n">
        <f aca="false">K127-(G127*I127)</f>
        <v>435.422</v>
      </c>
    </row>
    <row r="128" customFormat="false" ht="16.4" hidden="false" customHeight="false" outlineLevel="0" collapsed="false">
      <c r="A128" s="4" t="s">
        <v>1597</v>
      </c>
      <c r="B128" s="6" t="n">
        <v>45786</v>
      </c>
      <c r="C128" s="4" t="s">
        <v>1365</v>
      </c>
      <c r="D128" s="4" t="s">
        <v>390</v>
      </c>
      <c r="E128" s="4" t="s">
        <v>12</v>
      </c>
      <c r="F128" s="4" t="s">
        <v>25</v>
      </c>
      <c r="G128" s="4" t="n">
        <v>24</v>
      </c>
      <c r="H128" s="5" t="n">
        <v>917.99</v>
      </c>
      <c r="I128" s="5" t="n">
        <v>396.04</v>
      </c>
      <c r="J128" s="9" t="n">
        <v>0</v>
      </c>
      <c r="K128" s="5" t="n">
        <f aca="false">G128*H128*(1-J128)</f>
        <v>22031.76</v>
      </c>
      <c r="L128" s="5" t="n">
        <f aca="false">K128-(G128*I128)</f>
        <v>12526.8</v>
      </c>
    </row>
    <row r="129" customFormat="false" ht="16.4" hidden="false" customHeight="false" outlineLevel="0" collapsed="false">
      <c r="A129" s="4" t="s">
        <v>1598</v>
      </c>
      <c r="B129" s="6" t="n">
        <v>45339</v>
      </c>
      <c r="C129" s="4" t="s">
        <v>1373</v>
      </c>
      <c r="D129" s="4" t="s">
        <v>96</v>
      </c>
      <c r="E129" s="4" t="s">
        <v>24</v>
      </c>
      <c r="F129" s="4" t="s">
        <v>7</v>
      </c>
      <c r="G129" s="4" t="n">
        <v>14</v>
      </c>
      <c r="H129" s="5" t="n">
        <v>1145.36</v>
      </c>
      <c r="I129" s="5" t="n">
        <v>823.48</v>
      </c>
      <c r="J129" s="9" t="n">
        <v>0.05</v>
      </c>
      <c r="K129" s="5" t="n">
        <f aca="false">G129*H129*(1-J129)</f>
        <v>15233.288</v>
      </c>
      <c r="L129" s="5" t="n">
        <f aca="false">K129-(G129*I129)</f>
        <v>3704.568</v>
      </c>
    </row>
    <row r="130" customFormat="false" ht="16.4" hidden="false" customHeight="false" outlineLevel="0" collapsed="false">
      <c r="A130" s="4" t="s">
        <v>1599</v>
      </c>
      <c r="B130" s="6" t="n">
        <v>46013</v>
      </c>
      <c r="C130" s="4" t="s">
        <v>1135</v>
      </c>
      <c r="D130" s="4" t="s">
        <v>172</v>
      </c>
      <c r="E130" s="4" t="s">
        <v>12</v>
      </c>
      <c r="F130" s="4" t="s">
        <v>13</v>
      </c>
      <c r="G130" s="4" t="n">
        <v>11</v>
      </c>
      <c r="H130" s="5" t="n">
        <v>618.86</v>
      </c>
      <c r="I130" s="5" t="n">
        <v>278.76</v>
      </c>
      <c r="J130" s="9" t="n">
        <v>0</v>
      </c>
      <c r="K130" s="5" t="n">
        <f aca="false">G130*H130*(1-J130)</f>
        <v>6807.46</v>
      </c>
      <c r="L130" s="5" t="n">
        <f aca="false">K130-(G130*I130)</f>
        <v>3741.1</v>
      </c>
    </row>
    <row r="131" customFormat="false" ht="16.4" hidden="false" customHeight="false" outlineLevel="0" collapsed="false">
      <c r="A131" s="4" t="s">
        <v>1600</v>
      </c>
      <c r="B131" s="6" t="n">
        <v>45827</v>
      </c>
      <c r="C131" s="4" t="s">
        <v>1359</v>
      </c>
      <c r="D131" s="4" t="s">
        <v>382</v>
      </c>
      <c r="E131" s="4" t="s">
        <v>12</v>
      </c>
      <c r="F131" s="4" t="s">
        <v>7</v>
      </c>
      <c r="G131" s="4" t="n">
        <v>11</v>
      </c>
      <c r="H131" s="5" t="n">
        <v>363.66</v>
      </c>
      <c r="I131" s="5" t="n">
        <v>264.77</v>
      </c>
      <c r="J131" s="9" t="n">
        <v>0.08</v>
      </c>
      <c r="K131" s="5" t="n">
        <f aca="false">G131*H131*(1-J131)</f>
        <v>3680.2392</v>
      </c>
      <c r="L131" s="5" t="n">
        <f aca="false">K131-(G131*I131)</f>
        <v>767.769200000001</v>
      </c>
    </row>
    <row r="132" customFormat="false" ht="16.4" hidden="false" customHeight="false" outlineLevel="0" collapsed="false">
      <c r="A132" s="4" t="s">
        <v>1601</v>
      </c>
      <c r="B132" s="6" t="n">
        <v>45785</v>
      </c>
      <c r="C132" s="4" t="s">
        <v>1141</v>
      </c>
      <c r="D132" s="4" t="s">
        <v>260</v>
      </c>
      <c r="E132" s="4" t="s">
        <v>18</v>
      </c>
      <c r="F132" s="4" t="s">
        <v>19</v>
      </c>
      <c r="G132" s="4" t="n">
        <v>24</v>
      </c>
      <c r="H132" s="5" t="n">
        <v>471.95</v>
      </c>
      <c r="I132" s="5" t="n">
        <v>166.3</v>
      </c>
      <c r="J132" s="9" t="n">
        <v>0</v>
      </c>
      <c r="K132" s="5" t="n">
        <f aca="false">G132*H132*(1-J132)</f>
        <v>11326.8</v>
      </c>
      <c r="L132" s="5" t="n">
        <f aca="false">K132-(G132*I132)</f>
        <v>7335.6</v>
      </c>
    </row>
    <row r="133" customFormat="false" ht="16.4" hidden="false" customHeight="false" outlineLevel="0" collapsed="false">
      <c r="A133" s="4" t="s">
        <v>1602</v>
      </c>
      <c r="B133" s="6" t="n">
        <v>45444</v>
      </c>
      <c r="C133" s="4" t="s">
        <v>1157</v>
      </c>
      <c r="D133" s="4" t="s">
        <v>378</v>
      </c>
      <c r="E133" s="4" t="s">
        <v>18</v>
      </c>
      <c r="F133" s="4" t="s">
        <v>7</v>
      </c>
      <c r="G133" s="4" t="n">
        <v>21</v>
      </c>
      <c r="H133" s="5" t="n">
        <v>1163.64</v>
      </c>
      <c r="I133" s="5" t="n">
        <v>626.04</v>
      </c>
      <c r="J133" s="9" t="n">
        <v>0.05</v>
      </c>
      <c r="K133" s="5" t="n">
        <f aca="false">G133*H133*(1-J133)</f>
        <v>23214.618</v>
      </c>
      <c r="L133" s="5" t="n">
        <f aca="false">K133-(G133*I133)</f>
        <v>10067.778</v>
      </c>
    </row>
    <row r="134" customFormat="false" ht="16.4" hidden="false" customHeight="false" outlineLevel="0" collapsed="false">
      <c r="A134" s="4" t="s">
        <v>1603</v>
      </c>
      <c r="B134" s="6" t="n">
        <v>46161</v>
      </c>
      <c r="C134" s="4" t="s">
        <v>1123</v>
      </c>
      <c r="D134" s="4" t="s">
        <v>44</v>
      </c>
      <c r="E134" s="4" t="s">
        <v>12</v>
      </c>
      <c r="F134" s="4" t="s">
        <v>25</v>
      </c>
      <c r="G134" s="4" t="n">
        <v>6</v>
      </c>
      <c r="H134" s="5" t="n">
        <v>60.01</v>
      </c>
      <c r="I134" s="5" t="n">
        <v>26.25</v>
      </c>
      <c r="J134" s="9" t="n">
        <v>0.08</v>
      </c>
      <c r="K134" s="5" t="n">
        <f aca="false">G134*H134*(1-J134)</f>
        <v>331.2552</v>
      </c>
      <c r="L134" s="5" t="n">
        <f aca="false">K134-(G134*I134)</f>
        <v>173.7552</v>
      </c>
    </row>
    <row r="135" customFormat="false" ht="16.4" hidden="false" customHeight="false" outlineLevel="0" collapsed="false">
      <c r="A135" s="4" t="s">
        <v>1604</v>
      </c>
      <c r="B135" s="6" t="n">
        <v>46061</v>
      </c>
      <c r="C135" s="4" t="s">
        <v>1355</v>
      </c>
      <c r="D135" s="4" t="s">
        <v>292</v>
      </c>
      <c r="E135" s="4" t="s">
        <v>18</v>
      </c>
      <c r="F135" s="4" t="s">
        <v>25</v>
      </c>
      <c r="G135" s="4" t="n">
        <v>6</v>
      </c>
      <c r="H135" s="5" t="n">
        <v>720.71</v>
      </c>
      <c r="I135" s="5" t="n">
        <v>491.69</v>
      </c>
      <c r="J135" s="9" t="n">
        <v>0</v>
      </c>
      <c r="K135" s="5" t="n">
        <f aca="false">G135*H135*(1-J135)</f>
        <v>4324.26</v>
      </c>
      <c r="L135" s="5" t="n">
        <f aca="false">K135-(G135*I135)</f>
        <v>1374.12</v>
      </c>
    </row>
    <row r="136" customFormat="false" ht="16.4" hidden="false" customHeight="false" outlineLevel="0" collapsed="false">
      <c r="A136" s="4" t="s">
        <v>1605</v>
      </c>
      <c r="B136" s="6" t="n">
        <v>45343</v>
      </c>
      <c r="C136" s="4" t="s">
        <v>711</v>
      </c>
      <c r="D136" s="4" t="s">
        <v>204</v>
      </c>
      <c r="E136" s="4" t="s">
        <v>24</v>
      </c>
      <c r="F136" s="4" t="s">
        <v>13</v>
      </c>
      <c r="G136" s="4" t="n">
        <v>11</v>
      </c>
      <c r="H136" s="5" t="n">
        <v>160.53</v>
      </c>
      <c r="I136" s="5" t="n">
        <v>118.5</v>
      </c>
      <c r="J136" s="9" t="n">
        <v>0.02</v>
      </c>
      <c r="K136" s="5" t="n">
        <f aca="false">G136*H136*(1-J136)</f>
        <v>1730.5134</v>
      </c>
      <c r="L136" s="5" t="n">
        <f aca="false">K136-(G136*I136)</f>
        <v>427.0134</v>
      </c>
    </row>
    <row r="137" customFormat="false" ht="16.4" hidden="false" customHeight="false" outlineLevel="0" collapsed="false">
      <c r="A137" s="4" t="s">
        <v>1606</v>
      </c>
      <c r="B137" s="6" t="n">
        <v>46128</v>
      </c>
      <c r="C137" s="4" t="s">
        <v>1123</v>
      </c>
      <c r="D137" s="4" t="s">
        <v>320</v>
      </c>
      <c r="E137" s="4" t="s">
        <v>12</v>
      </c>
      <c r="F137" s="4" t="s">
        <v>13</v>
      </c>
      <c r="G137" s="4" t="n">
        <v>13</v>
      </c>
      <c r="H137" s="5" t="n">
        <v>956.7</v>
      </c>
      <c r="I137" s="5" t="n">
        <v>370.45</v>
      </c>
      <c r="J137" s="9" t="n">
        <v>0.05</v>
      </c>
      <c r="K137" s="5" t="n">
        <f aca="false">G137*H137*(1-J137)</f>
        <v>11815.245</v>
      </c>
      <c r="L137" s="5" t="n">
        <f aca="false">K137-(G137*I137)</f>
        <v>6999.395</v>
      </c>
    </row>
    <row r="138" customFormat="false" ht="16.4" hidden="false" customHeight="false" outlineLevel="0" collapsed="false">
      <c r="A138" s="4" t="s">
        <v>1607</v>
      </c>
      <c r="B138" s="6" t="n">
        <v>45878</v>
      </c>
      <c r="C138" s="4" t="s">
        <v>935</v>
      </c>
      <c r="D138" s="4" t="s">
        <v>80</v>
      </c>
      <c r="E138" s="4" t="s">
        <v>24</v>
      </c>
      <c r="F138" s="4" t="s">
        <v>25</v>
      </c>
      <c r="G138" s="4" t="n">
        <v>15</v>
      </c>
      <c r="H138" s="5" t="n">
        <v>623.69</v>
      </c>
      <c r="I138" s="5" t="n">
        <v>240.97</v>
      </c>
      <c r="J138" s="9" t="n">
        <v>0.15</v>
      </c>
      <c r="K138" s="5" t="n">
        <f aca="false">G138*H138*(1-J138)</f>
        <v>7952.0475</v>
      </c>
      <c r="L138" s="5" t="n">
        <f aca="false">K138-(G138*I138)</f>
        <v>4337.4975</v>
      </c>
    </row>
    <row r="139" customFormat="false" ht="16.4" hidden="false" customHeight="false" outlineLevel="0" collapsed="false">
      <c r="A139" s="4" t="s">
        <v>1608</v>
      </c>
      <c r="B139" s="6" t="n">
        <v>45615</v>
      </c>
      <c r="C139" s="4" t="s">
        <v>1341</v>
      </c>
      <c r="D139" s="4" t="s">
        <v>84</v>
      </c>
      <c r="E139" s="4" t="s">
        <v>24</v>
      </c>
      <c r="F139" s="4" t="s">
        <v>7</v>
      </c>
      <c r="G139" s="4" t="n">
        <v>16</v>
      </c>
      <c r="H139" s="5" t="n">
        <v>473.4</v>
      </c>
      <c r="I139" s="5" t="n">
        <v>354.32</v>
      </c>
      <c r="J139" s="9" t="n">
        <v>0.05</v>
      </c>
      <c r="K139" s="5" t="n">
        <f aca="false">G139*H139*(1-J139)</f>
        <v>7195.68</v>
      </c>
      <c r="L139" s="5" t="n">
        <f aca="false">K139-(G139*I139)</f>
        <v>1526.56</v>
      </c>
    </row>
    <row r="140" customFormat="false" ht="16.4" hidden="false" customHeight="false" outlineLevel="0" collapsed="false">
      <c r="A140" s="4" t="s">
        <v>1609</v>
      </c>
      <c r="B140" s="6" t="n">
        <v>45397</v>
      </c>
      <c r="C140" s="4" t="s">
        <v>1227</v>
      </c>
      <c r="D140" s="4" t="s">
        <v>294</v>
      </c>
      <c r="E140" s="4" t="s">
        <v>12</v>
      </c>
      <c r="F140" s="4" t="s">
        <v>25</v>
      </c>
      <c r="G140" s="4" t="n">
        <v>21</v>
      </c>
      <c r="H140" s="5" t="n">
        <v>1024.09</v>
      </c>
      <c r="I140" s="5" t="n">
        <v>604.38</v>
      </c>
      <c r="J140" s="9" t="n">
        <v>0</v>
      </c>
      <c r="K140" s="5" t="n">
        <f aca="false">G140*H140*(1-J140)</f>
        <v>21505.89</v>
      </c>
      <c r="L140" s="5" t="n">
        <f aca="false">K140-(G140*I140)</f>
        <v>8813.91</v>
      </c>
    </row>
    <row r="141" customFormat="false" ht="16.4" hidden="false" customHeight="false" outlineLevel="0" collapsed="false">
      <c r="A141" s="4" t="s">
        <v>1610</v>
      </c>
      <c r="B141" s="6" t="n">
        <v>45292</v>
      </c>
      <c r="C141" s="4" t="s">
        <v>498</v>
      </c>
      <c r="D141" s="4" t="s">
        <v>250</v>
      </c>
      <c r="E141" s="4" t="s">
        <v>6</v>
      </c>
      <c r="F141" s="4" t="s">
        <v>7</v>
      </c>
      <c r="G141" s="4" t="n">
        <v>18</v>
      </c>
      <c r="H141" s="5" t="n">
        <v>594.4</v>
      </c>
      <c r="I141" s="5" t="n">
        <v>264.92</v>
      </c>
      <c r="J141" s="9" t="n">
        <v>0.08</v>
      </c>
      <c r="K141" s="5" t="n">
        <f aca="false">G141*H141*(1-J141)</f>
        <v>9843.264</v>
      </c>
      <c r="L141" s="5" t="n">
        <f aca="false">K141-(G141*I141)</f>
        <v>5074.704</v>
      </c>
    </row>
    <row r="142" customFormat="false" ht="16.4" hidden="false" customHeight="false" outlineLevel="0" collapsed="false">
      <c r="A142" s="4" t="s">
        <v>1611</v>
      </c>
      <c r="B142" s="6" t="n">
        <v>45603</v>
      </c>
      <c r="C142" s="4" t="s">
        <v>1451</v>
      </c>
      <c r="D142" s="4" t="s">
        <v>348</v>
      </c>
      <c r="E142" s="4" t="s">
        <v>12</v>
      </c>
      <c r="F142" s="4" t="s">
        <v>13</v>
      </c>
      <c r="G142" s="4" t="n">
        <v>20</v>
      </c>
      <c r="H142" s="5" t="n">
        <v>471.94</v>
      </c>
      <c r="I142" s="5" t="n">
        <v>336.68</v>
      </c>
      <c r="J142" s="9" t="n">
        <v>0.1</v>
      </c>
      <c r="K142" s="5" t="n">
        <f aca="false">G142*H142*(1-J142)</f>
        <v>8494.92</v>
      </c>
      <c r="L142" s="5" t="n">
        <f aca="false">K142-(G142*I142)</f>
        <v>1761.32</v>
      </c>
    </row>
    <row r="143" customFormat="false" ht="16.4" hidden="false" customHeight="false" outlineLevel="0" collapsed="false">
      <c r="A143" s="4" t="s">
        <v>1612</v>
      </c>
      <c r="B143" s="6" t="n">
        <v>45664</v>
      </c>
      <c r="C143" s="4" t="s">
        <v>1151</v>
      </c>
      <c r="D143" s="4" t="s">
        <v>374</v>
      </c>
      <c r="E143" s="4" t="s">
        <v>24</v>
      </c>
      <c r="F143" s="4" t="s">
        <v>7</v>
      </c>
      <c r="G143" s="4" t="n">
        <v>15</v>
      </c>
      <c r="H143" s="5" t="n">
        <v>702.09</v>
      </c>
      <c r="I143" s="5" t="n">
        <v>460.04</v>
      </c>
      <c r="J143" s="9" t="n">
        <v>0.02</v>
      </c>
      <c r="K143" s="5" t="n">
        <f aca="false">G143*H143*(1-J143)</f>
        <v>10320.723</v>
      </c>
      <c r="L143" s="5" t="n">
        <f aca="false">K143-(G143*I143)</f>
        <v>3420.123</v>
      </c>
    </row>
    <row r="144" customFormat="false" ht="16.4" hidden="false" customHeight="false" outlineLevel="0" collapsed="false">
      <c r="A144" s="4" t="s">
        <v>1613</v>
      </c>
      <c r="B144" s="6" t="n">
        <v>45865</v>
      </c>
      <c r="C144" s="4" t="s">
        <v>1329</v>
      </c>
      <c r="D144" s="4" t="s">
        <v>154</v>
      </c>
      <c r="E144" s="4" t="s">
        <v>18</v>
      </c>
      <c r="F144" s="4" t="s">
        <v>25</v>
      </c>
      <c r="G144" s="4" t="n">
        <v>15</v>
      </c>
      <c r="H144" s="5" t="n">
        <v>811.93</v>
      </c>
      <c r="I144" s="5" t="n">
        <v>386.21</v>
      </c>
      <c r="J144" s="9" t="n">
        <v>0.02</v>
      </c>
      <c r="K144" s="5" t="n">
        <f aca="false">G144*H144*(1-J144)</f>
        <v>11935.371</v>
      </c>
      <c r="L144" s="5" t="n">
        <f aca="false">K144-(G144*I144)</f>
        <v>6142.221</v>
      </c>
    </row>
    <row r="145" customFormat="false" ht="16.4" hidden="false" customHeight="false" outlineLevel="0" collapsed="false">
      <c r="A145" s="4" t="s">
        <v>1614</v>
      </c>
      <c r="B145" s="6" t="n">
        <v>45755</v>
      </c>
      <c r="C145" s="4" t="s">
        <v>1137</v>
      </c>
      <c r="D145" s="4" t="s">
        <v>406</v>
      </c>
      <c r="E145" s="4" t="s">
        <v>18</v>
      </c>
      <c r="F145" s="4" t="s">
        <v>7</v>
      </c>
      <c r="G145" s="4" t="n">
        <v>12</v>
      </c>
      <c r="H145" s="5" t="n">
        <v>932.89</v>
      </c>
      <c r="I145" s="5" t="n">
        <v>645.34</v>
      </c>
      <c r="J145" s="9" t="n">
        <v>0.1</v>
      </c>
      <c r="K145" s="5" t="n">
        <f aca="false">G145*H145*(1-J145)</f>
        <v>10075.212</v>
      </c>
      <c r="L145" s="5" t="n">
        <f aca="false">K145-(G145*I145)</f>
        <v>2331.132</v>
      </c>
    </row>
    <row r="146" customFormat="false" ht="16.4" hidden="false" customHeight="false" outlineLevel="0" collapsed="false">
      <c r="A146" s="4" t="s">
        <v>1615</v>
      </c>
      <c r="B146" s="6" t="n">
        <v>45294</v>
      </c>
      <c r="C146" s="4" t="s">
        <v>1241</v>
      </c>
      <c r="D146" s="4" t="s">
        <v>88</v>
      </c>
      <c r="E146" s="4" t="s">
        <v>18</v>
      </c>
      <c r="F146" s="4" t="s">
        <v>19</v>
      </c>
      <c r="G146" s="4" t="n">
        <v>22</v>
      </c>
      <c r="H146" s="5" t="n">
        <v>907.28</v>
      </c>
      <c r="I146" s="5" t="n">
        <v>596.48</v>
      </c>
      <c r="J146" s="9" t="n">
        <v>0</v>
      </c>
      <c r="K146" s="5" t="n">
        <f aca="false">G146*H146*(1-J146)</f>
        <v>19960.16</v>
      </c>
      <c r="L146" s="5" t="n">
        <f aca="false">K146-(G146*I146)</f>
        <v>6837.6</v>
      </c>
    </row>
    <row r="147" customFormat="false" ht="16.4" hidden="false" customHeight="false" outlineLevel="0" collapsed="false">
      <c r="A147" s="4" t="s">
        <v>1616</v>
      </c>
      <c r="B147" s="6" t="n">
        <v>45590</v>
      </c>
      <c r="C147" s="4" t="s">
        <v>1313</v>
      </c>
      <c r="D147" s="4" t="s">
        <v>220</v>
      </c>
      <c r="E147" s="4" t="s">
        <v>18</v>
      </c>
      <c r="F147" s="4" t="s">
        <v>19</v>
      </c>
      <c r="G147" s="4" t="n">
        <v>21</v>
      </c>
      <c r="H147" s="5" t="n">
        <v>693.7</v>
      </c>
      <c r="I147" s="5" t="n">
        <v>355.47</v>
      </c>
      <c r="J147" s="9" t="n">
        <v>0.15</v>
      </c>
      <c r="K147" s="5" t="n">
        <f aca="false">G147*H147*(1-J147)</f>
        <v>12382.545</v>
      </c>
      <c r="L147" s="5" t="n">
        <f aca="false">K147-(G147*I147)</f>
        <v>4917.675</v>
      </c>
    </row>
    <row r="148" customFormat="false" ht="16.4" hidden="false" customHeight="false" outlineLevel="0" collapsed="false">
      <c r="A148" s="4" t="s">
        <v>1617</v>
      </c>
      <c r="B148" s="6" t="n">
        <v>45796</v>
      </c>
      <c r="C148" s="4" t="s">
        <v>573</v>
      </c>
      <c r="D148" s="4" t="s">
        <v>398</v>
      </c>
      <c r="E148" s="4" t="s">
        <v>18</v>
      </c>
      <c r="F148" s="4" t="s">
        <v>13</v>
      </c>
      <c r="G148" s="4" t="n">
        <v>2</v>
      </c>
      <c r="H148" s="5" t="n">
        <v>1137.8</v>
      </c>
      <c r="I148" s="5" t="n">
        <v>693.02</v>
      </c>
      <c r="J148" s="9" t="n">
        <v>0</v>
      </c>
      <c r="K148" s="5" t="n">
        <f aca="false">G148*H148*(1-J148)</f>
        <v>2275.6</v>
      </c>
      <c r="L148" s="5" t="n">
        <f aca="false">K148-(G148*I148)</f>
        <v>889.56</v>
      </c>
    </row>
    <row r="149" customFormat="false" ht="16.4" hidden="false" customHeight="false" outlineLevel="0" collapsed="false">
      <c r="A149" s="4" t="s">
        <v>1618</v>
      </c>
      <c r="B149" s="6" t="n">
        <v>45401</v>
      </c>
      <c r="C149" s="4" t="s">
        <v>1225</v>
      </c>
      <c r="D149" s="4" t="s">
        <v>406</v>
      </c>
      <c r="E149" s="4" t="s">
        <v>6</v>
      </c>
      <c r="F149" s="4" t="s">
        <v>19</v>
      </c>
      <c r="G149" s="4" t="n">
        <v>24</v>
      </c>
      <c r="H149" s="5" t="n">
        <v>932.89</v>
      </c>
      <c r="I149" s="5" t="n">
        <v>645.34</v>
      </c>
      <c r="J149" s="9" t="n">
        <v>0.05</v>
      </c>
      <c r="K149" s="5" t="n">
        <f aca="false">G149*H149*(1-J149)</f>
        <v>21269.892</v>
      </c>
      <c r="L149" s="5" t="n">
        <f aca="false">K149-(G149*I149)</f>
        <v>5781.732</v>
      </c>
    </row>
    <row r="150" customFormat="false" ht="16.4" hidden="false" customHeight="false" outlineLevel="0" collapsed="false">
      <c r="A150" s="4" t="s">
        <v>1619</v>
      </c>
      <c r="B150" s="6" t="n">
        <v>46164</v>
      </c>
      <c r="C150" s="4" t="s">
        <v>665</v>
      </c>
      <c r="D150" s="4" t="s">
        <v>352</v>
      </c>
      <c r="E150" s="4" t="s">
        <v>30</v>
      </c>
      <c r="F150" s="4" t="s">
        <v>25</v>
      </c>
      <c r="G150" s="4" t="n">
        <v>7</v>
      </c>
      <c r="H150" s="5" t="n">
        <v>759.98</v>
      </c>
      <c r="I150" s="5" t="n">
        <v>346.44</v>
      </c>
      <c r="J150" s="9" t="n">
        <v>0</v>
      </c>
      <c r="K150" s="5" t="n">
        <f aca="false">G150*H150*(1-J150)</f>
        <v>5319.86</v>
      </c>
      <c r="L150" s="5" t="n">
        <f aca="false">K150-(G150*I150)</f>
        <v>2894.78</v>
      </c>
    </row>
    <row r="151" customFormat="false" ht="16.4" hidden="false" customHeight="false" outlineLevel="0" collapsed="false">
      <c r="A151" s="4" t="s">
        <v>1620</v>
      </c>
      <c r="B151" s="6" t="n">
        <v>45638</v>
      </c>
      <c r="C151" s="4" t="s">
        <v>933</v>
      </c>
      <c r="D151" s="4" t="s">
        <v>150</v>
      </c>
      <c r="E151" s="4" t="s">
        <v>18</v>
      </c>
      <c r="F151" s="4" t="s">
        <v>7</v>
      </c>
      <c r="G151" s="4" t="n">
        <v>7</v>
      </c>
      <c r="H151" s="5" t="n">
        <v>314.3</v>
      </c>
      <c r="I151" s="5" t="n">
        <v>184.75</v>
      </c>
      <c r="J151" s="9" t="n">
        <v>0.1</v>
      </c>
      <c r="K151" s="5" t="n">
        <f aca="false">G151*H151*(1-J151)</f>
        <v>1980.09</v>
      </c>
      <c r="L151" s="5" t="n">
        <f aca="false">K151-(G151*I151)</f>
        <v>686.84</v>
      </c>
    </row>
    <row r="152" customFormat="false" ht="16.4" hidden="false" customHeight="false" outlineLevel="0" collapsed="false">
      <c r="A152" s="4" t="s">
        <v>1621</v>
      </c>
      <c r="B152" s="6" t="n">
        <v>46149</v>
      </c>
      <c r="C152" s="4" t="s">
        <v>889</v>
      </c>
      <c r="D152" s="4" t="s">
        <v>426</v>
      </c>
      <c r="E152" s="4" t="s">
        <v>18</v>
      </c>
      <c r="F152" s="4" t="s">
        <v>7</v>
      </c>
      <c r="G152" s="4" t="n">
        <v>2</v>
      </c>
      <c r="H152" s="5" t="n">
        <v>576.65</v>
      </c>
      <c r="I152" s="5" t="n">
        <v>425.38</v>
      </c>
      <c r="J152" s="9" t="n">
        <v>0.1</v>
      </c>
      <c r="K152" s="5" t="n">
        <f aca="false">G152*H152*(1-J152)</f>
        <v>1037.97</v>
      </c>
      <c r="L152" s="5" t="n">
        <f aca="false">K152-(G152*I152)</f>
        <v>187.21</v>
      </c>
    </row>
    <row r="153" customFormat="false" ht="16.4" hidden="false" customHeight="false" outlineLevel="0" collapsed="false">
      <c r="A153" s="4" t="s">
        <v>1622</v>
      </c>
      <c r="B153" s="6" t="n">
        <v>45966</v>
      </c>
      <c r="C153" s="4" t="s">
        <v>1377</v>
      </c>
      <c r="D153" s="4" t="s">
        <v>434</v>
      </c>
      <c r="E153" s="4" t="s">
        <v>24</v>
      </c>
      <c r="F153" s="4" t="s">
        <v>13</v>
      </c>
      <c r="G153" s="4" t="n">
        <v>15</v>
      </c>
      <c r="H153" s="5" t="n">
        <v>534.92</v>
      </c>
      <c r="I153" s="5" t="n">
        <v>208.29</v>
      </c>
      <c r="J153" s="9" t="n">
        <v>0.05</v>
      </c>
      <c r="K153" s="5" t="n">
        <f aca="false">G153*H153*(1-J153)</f>
        <v>7622.61</v>
      </c>
      <c r="L153" s="5" t="n">
        <f aca="false">K153-(G153*I153)</f>
        <v>4498.26</v>
      </c>
    </row>
    <row r="154" customFormat="false" ht="16.4" hidden="false" customHeight="false" outlineLevel="0" collapsed="false">
      <c r="A154" s="4" t="s">
        <v>1623</v>
      </c>
      <c r="B154" s="6" t="n">
        <v>45341</v>
      </c>
      <c r="C154" s="4" t="s">
        <v>453</v>
      </c>
      <c r="D154" s="4" t="s">
        <v>294</v>
      </c>
      <c r="E154" s="4" t="s">
        <v>24</v>
      </c>
      <c r="F154" s="4" t="s">
        <v>25</v>
      </c>
      <c r="G154" s="4" t="n">
        <v>17</v>
      </c>
      <c r="H154" s="5" t="n">
        <v>1024.09</v>
      </c>
      <c r="I154" s="5" t="n">
        <v>604.38</v>
      </c>
      <c r="J154" s="9" t="n">
        <v>0.1</v>
      </c>
      <c r="K154" s="5" t="n">
        <f aca="false">G154*H154*(1-J154)</f>
        <v>15668.577</v>
      </c>
      <c r="L154" s="5" t="n">
        <f aca="false">K154-(G154*I154)</f>
        <v>5394.117</v>
      </c>
    </row>
    <row r="155" customFormat="false" ht="16.4" hidden="false" customHeight="false" outlineLevel="0" collapsed="false">
      <c r="A155" s="4" t="s">
        <v>1624</v>
      </c>
      <c r="B155" s="6" t="n">
        <v>45473</v>
      </c>
      <c r="C155" s="4" t="s">
        <v>959</v>
      </c>
      <c r="D155" s="4" t="s">
        <v>338</v>
      </c>
      <c r="E155" s="4" t="s">
        <v>30</v>
      </c>
      <c r="F155" s="4" t="s">
        <v>13</v>
      </c>
      <c r="G155" s="4" t="n">
        <v>17</v>
      </c>
      <c r="H155" s="5" t="n">
        <v>1050.45</v>
      </c>
      <c r="I155" s="5" t="n">
        <v>608.87</v>
      </c>
      <c r="J155" s="9" t="n">
        <v>0.15</v>
      </c>
      <c r="K155" s="5" t="n">
        <f aca="false">G155*H155*(1-J155)</f>
        <v>15179.0025</v>
      </c>
      <c r="L155" s="5" t="n">
        <f aca="false">K155-(G155*I155)</f>
        <v>4828.2125</v>
      </c>
    </row>
    <row r="156" customFormat="false" ht="16.4" hidden="false" customHeight="false" outlineLevel="0" collapsed="false">
      <c r="A156" s="4" t="s">
        <v>1625</v>
      </c>
      <c r="B156" s="6" t="n">
        <v>45688</v>
      </c>
      <c r="C156" s="4" t="s">
        <v>1299</v>
      </c>
      <c r="D156" s="4" t="s">
        <v>414</v>
      </c>
      <c r="E156" s="4" t="s">
        <v>30</v>
      </c>
      <c r="F156" s="4" t="s">
        <v>19</v>
      </c>
      <c r="G156" s="4" t="n">
        <v>5</v>
      </c>
      <c r="H156" s="5" t="n">
        <v>474.99</v>
      </c>
      <c r="I156" s="5" t="n">
        <v>328.89</v>
      </c>
      <c r="J156" s="9" t="n">
        <v>0</v>
      </c>
      <c r="K156" s="5" t="n">
        <f aca="false">G156*H156*(1-J156)</f>
        <v>2374.95</v>
      </c>
      <c r="L156" s="5" t="n">
        <f aca="false">K156-(G156*I156)</f>
        <v>730.5</v>
      </c>
    </row>
    <row r="157" customFormat="false" ht="16.4" hidden="false" customHeight="false" outlineLevel="0" collapsed="false">
      <c r="A157" s="4" t="s">
        <v>1626</v>
      </c>
      <c r="B157" s="6" t="n">
        <v>45915</v>
      </c>
      <c r="C157" s="4" t="s">
        <v>1367</v>
      </c>
      <c r="D157" s="4" t="s">
        <v>298</v>
      </c>
      <c r="E157" s="4" t="s">
        <v>12</v>
      </c>
      <c r="F157" s="4" t="s">
        <v>13</v>
      </c>
      <c r="G157" s="4" t="n">
        <v>13</v>
      </c>
      <c r="H157" s="5" t="n">
        <v>1023.25</v>
      </c>
      <c r="I157" s="5" t="n">
        <v>694.72</v>
      </c>
      <c r="J157" s="9" t="n">
        <v>0.05</v>
      </c>
      <c r="K157" s="5" t="n">
        <f aca="false">G157*H157*(1-J157)</f>
        <v>12637.1375</v>
      </c>
      <c r="L157" s="5" t="n">
        <f aca="false">K157-(G157*I157)</f>
        <v>3605.7775</v>
      </c>
    </row>
    <row r="158" customFormat="false" ht="16.4" hidden="false" customHeight="false" outlineLevel="0" collapsed="false">
      <c r="A158" s="4" t="s">
        <v>1627</v>
      </c>
      <c r="B158" s="6" t="n">
        <v>45755</v>
      </c>
      <c r="C158" s="4" t="s">
        <v>871</v>
      </c>
      <c r="D158" s="4" t="s">
        <v>180</v>
      </c>
      <c r="E158" s="4" t="s">
        <v>18</v>
      </c>
      <c r="F158" s="4" t="s">
        <v>13</v>
      </c>
      <c r="G158" s="4" t="n">
        <v>11</v>
      </c>
      <c r="H158" s="5" t="n">
        <v>1135.43</v>
      </c>
      <c r="I158" s="5" t="n">
        <v>711.24</v>
      </c>
      <c r="J158" s="9" t="n">
        <v>0.02</v>
      </c>
      <c r="K158" s="5" t="n">
        <f aca="false">G158*H158*(1-J158)</f>
        <v>12239.9354</v>
      </c>
      <c r="L158" s="5" t="n">
        <f aca="false">K158-(G158*I158)</f>
        <v>4416.2954</v>
      </c>
    </row>
    <row r="159" customFormat="false" ht="16.4" hidden="false" customHeight="false" outlineLevel="0" collapsed="false">
      <c r="A159" s="4" t="s">
        <v>1628</v>
      </c>
      <c r="B159" s="6" t="n">
        <v>46199</v>
      </c>
      <c r="C159" s="4" t="s">
        <v>887</v>
      </c>
      <c r="D159" s="4" t="s">
        <v>110</v>
      </c>
      <c r="E159" s="4" t="s">
        <v>12</v>
      </c>
      <c r="F159" s="4" t="s">
        <v>19</v>
      </c>
      <c r="G159" s="4" t="n">
        <v>20</v>
      </c>
      <c r="H159" s="5" t="n">
        <v>555.5</v>
      </c>
      <c r="I159" s="5" t="n">
        <v>249.51</v>
      </c>
      <c r="J159" s="9" t="n">
        <v>0.1</v>
      </c>
      <c r="K159" s="5" t="n">
        <f aca="false">G159*H159*(1-J159)</f>
        <v>9999</v>
      </c>
      <c r="L159" s="5" t="n">
        <f aca="false">K159-(G159*I159)</f>
        <v>5008.8</v>
      </c>
    </row>
    <row r="160" customFormat="false" ht="16.4" hidden="false" customHeight="false" outlineLevel="0" collapsed="false">
      <c r="A160" s="4" t="s">
        <v>1629</v>
      </c>
      <c r="B160" s="6" t="n">
        <v>46046</v>
      </c>
      <c r="C160" s="4" t="s">
        <v>1025</v>
      </c>
      <c r="D160" s="4" t="s">
        <v>398</v>
      </c>
      <c r="E160" s="4" t="s">
        <v>30</v>
      </c>
      <c r="F160" s="4" t="s">
        <v>13</v>
      </c>
      <c r="G160" s="4" t="n">
        <v>11</v>
      </c>
      <c r="H160" s="5" t="n">
        <v>1137.8</v>
      </c>
      <c r="I160" s="5" t="n">
        <v>693.02</v>
      </c>
      <c r="J160" s="9" t="n">
        <v>0.1</v>
      </c>
      <c r="K160" s="5" t="n">
        <f aca="false">G160*H160*(1-J160)</f>
        <v>11264.22</v>
      </c>
      <c r="L160" s="5" t="n">
        <f aca="false">K160-(G160*I160)</f>
        <v>3641</v>
      </c>
    </row>
    <row r="161" customFormat="false" ht="16.4" hidden="false" customHeight="false" outlineLevel="0" collapsed="false">
      <c r="A161" s="4" t="s">
        <v>1630</v>
      </c>
      <c r="B161" s="6" t="n">
        <v>45589</v>
      </c>
      <c r="C161" s="4" t="s">
        <v>679</v>
      </c>
      <c r="D161" s="4" t="s">
        <v>142</v>
      </c>
      <c r="E161" s="4" t="s">
        <v>6</v>
      </c>
      <c r="F161" s="4" t="s">
        <v>19</v>
      </c>
      <c r="G161" s="4" t="n">
        <v>20</v>
      </c>
      <c r="H161" s="5" t="n">
        <v>248.13</v>
      </c>
      <c r="I161" s="5" t="n">
        <v>108.45</v>
      </c>
      <c r="J161" s="9" t="n">
        <v>0.1</v>
      </c>
      <c r="K161" s="5" t="n">
        <f aca="false">G161*H161*(1-J161)</f>
        <v>4466.34</v>
      </c>
      <c r="L161" s="5" t="n">
        <f aca="false">K161-(G161*I161)</f>
        <v>2297.34</v>
      </c>
    </row>
    <row r="162" customFormat="false" ht="16.4" hidden="false" customHeight="false" outlineLevel="0" collapsed="false">
      <c r="A162" s="4" t="s">
        <v>1631</v>
      </c>
      <c r="B162" s="6" t="n">
        <v>45474</v>
      </c>
      <c r="C162" s="4" t="s">
        <v>599</v>
      </c>
      <c r="D162" s="4" t="s">
        <v>384</v>
      </c>
      <c r="E162" s="4" t="s">
        <v>24</v>
      </c>
      <c r="F162" s="4" t="s">
        <v>19</v>
      </c>
      <c r="G162" s="4" t="n">
        <v>23</v>
      </c>
      <c r="H162" s="5" t="n">
        <v>128.47</v>
      </c>
      <c r="I162" s="5" t="n">
        <v>57.93</v>
      </c>
      <c r="J162" s="9" t="n">
        <v>0.1</v>
      </c>
      <c r="K162" s="5" t="n">
        <f aca="false">G162*H162*(1-J162)</f>
        <v>2659.329</v>
      </c>
      <c r="L162" s="5" t="n">
        <f aca="false">K162-(G162*I162)</f>
        <v>1326.939</v>
      </c>
    </row>
    <row r="163" customFormat="false" ht="16.4" hidden="false" customHeight="false" outlineLevel="0" collapsed="false">
      <c r="A163" s="4" t="s">
        <v>1632</v>
      </c>
      <c r="B163" s="6" t="n">
        <v>45867</v>
      </c>
      <c r="C163" s="4" t="s">
        <v>583</v>
      </c>
      <c r="D163" s="4" t="s">
        <v>402</v>
      </c>
      <c r="E163" s="4" t="s">
        <v>18</v>
      </c>
      <c r="F163" s="4" t="s">
        <v>25</v>
      </c>
      <c r="G163" s="4" t="n">
        <v>25</v>
      </c>
      <c r="H163" s="5" t="n">
        <v>311.38</v>
      </c>
      <c r="I163" s="5" t="n">
        <v>177.64</v>
      </c>
      <c r="J163" s="9" t="n">
        <v>0.02</v>
      </c>
      <c r="K163" s="5" t="n">
        <f aca="false">G163*H163*(1-J163)</f>
        <v>7628.81</v>
      </c>
      <c r="L163" s="5" t="n">
        <f aca="false">K163-(G163*I163)</f>
        <v>3187.81</v>
      </c>
    </row>
    <row r="164" customFormat="false" ht="16.4" hidden="false" customHeight="false" outlineLevel="0" collapsed="false">
      <c r="A164" s="4" t="s">
        <v>1633</v>
      </c>
      <c r="B164" s="6" t="n">
        <v>45719</v>
      </c>
      <c r="C164" s="4" t="s">
        <v>1049</v>
      </c>
      <c r="D164" s="4" t="s">
        <v>338</v>
      </c>
      <c r="E164" s="4" t="s">
        <v>24</v>
      </c>
      <c r="F164" s="4" t="s">
        <v>19</v>
      </c>
      <c r="G164" s="4" t="n">
        <v>22</v>
      </c>
      <c r="H164" s="5" t="n">
        <v>1050.45</v>
      </c>
      <c r="I164" s="5" t="n">
        <v>608.87</v>
      </c>
      <c r="J164" s="9" t="n">
        <v>0.1</v>
      </c>
      <c r="K164" s="5" t="n">
        <f aca="false">G164*H164*(1-J164)</f>
        <v>20798.91</v>
      </c>
      <c r="L164" s="5" t="n">
        <f aca="false">K164-(G164*I164)</f>
        <v>7403.77</v>
      </c>
    </row>
    <row r="165" customFormat="false" ht="16.4" hidden="false" customHeight="false" outlineLevel="0" collapsed="false">
      <c r="A165" s="4" t="s">
        <v>1634</v>
      </c>
      <c r="B165" s="6" t="n">
        <v>45401</v>
      </c>
      <c r="C165" s="4" t="s">
        <v>1291</v>
      </c>
      <c r="D165" s="4" t="s">
        <v>256</v>
      </c>
      <c r="E165" s="4" t="s">
        <v>30</v>
      </c>
      <c r="F165" s="4" t="s">
        <v>7</v>
      </c>
      <c r="G165" s="4" t="n">
        <v>1</v>
      </c>
      <c r="H165" s="5" t="n">
        <v>512.47</v>
      </c>
      <c r="I165" s="5" t="n">
        <v>247.19</v>
      </c>
      <c r="J165" s="9" t="n">
        <v>0.08</v>
      </c>
      <c r="K165" s="5" t="n">
        <f aca="false">G165*H165*(1-J165)</f>
        <v>471.4724</v>
      </c>
      <c r="L165" s="5" t="n">
        <f aca="false">K165-(G165*I165)</f>
        <v>224.2824</v>
      </c>
    </row>
    <row r="166" customFormat="false" ht="16.4" hidden="false" customHeight="false" outlineLevel="0" collapsed="false">
      <c r="A166" s="4" t="s">
        <v>1635</v>
      </c>
      <c r="B166" s="6" t="n">
        <v>45349</v>
      </c>
      <c r="C166" s="4" t="s">
        <v>613</v>
      </c>
      <c r="D166" s="4" t="s">
        <v>234</v>
      </c>
      <c r="E166" s="4" t="s">
        <v>18</v>
      </c>
      <c r="F166" s="4" t="s">
        <v>13</v>
      </c>
      <c r="G166" s="4" t="n">
        <v>2</v>
      </c>
      <c r="H166" s="5" t="n">
        <v>253.46</v>
      </c>
      <c r="I166" s="5" t="n">
        <v>159.31</v>
      </c>
      <c r="J166" s="9" t="n">
        <v>0.1</v>
      </c>
      <c r="K166" s="5" t="n">
        <f aca="false">G166*H166*(1-J166)</f>
        <v>456.228</v>
      </c>
      <c r="L166" s="5" t="n">
        <f aca="false">K166-(G166*I166)</f>
        <v>137.608</v>
      </c>
    </row>
    <row r="167" customFormat="false" ht="16.4" hidden="false" customHeight="false" outlineLevel="0" collapsed="false">
      <c r="A167" s="4" t="s">
        <v>1636</v>
      </c>
      <c r="B167" s="6" t="n">
        <v>45991</v>
      </c>
      <c r="C167" s="4" t="s">
        <v>1233</v>
      </c>
      <c r="D167" s="4" t="s">
        <v>176</v>
      </c>
      <c r="E167" s="4" t="s">
        <v>30</v>
      </c>
      <c r="F167" s="4" t="s">
        <v>19</v>
      </c>
      <c r="G167" s="4" t="n">
        <v>6</v>
      </c>
      <c r="H167" s="5" t="n">
        <v>931.07</v>
      </c>
      <c r="I167" s="5" t="n">
        <v>563.15</v>
      </c>
      <c r="J167" s="9" t="n">
        <v>0.02</v>
      </c>
      <c r="K167" s="5" t="n">
        <f aca="false">G167*H167*(1-J167)</f>
        <v>5474.6916</v>
      </c>
      <c r="L167" s="5" t="n">
        <f aca="false">K167-(G167*I167)</f>
        <v>2095.7916</v>
      </c>
    </row>
    <row r="168" customFormat="false" ht="16.4" hidden="false" customHeight="false" outlineLevel="0" collapsed="false">
      <c r="A168" s="4" t="s">
        <v>1637</v>
      </c>
      <c r="B168" s="6" t="n">
        <v>46095</v>
      </c>
      <c r="C168" s="4" t="s">
        <v>1323</v>
      </c>
      <c r="D168" s="4" t="s">
        <v>114</v>
      </c>
      <c r="E168" s="4" t="s">
        <v>12</v>
      </c>
      <c r="F168" s="4" t="s">
        <v>19</v>
      </c>
      <c r="G168" s="4" t="n">
        <v>2</v>
      </c>
      <c r="H168" s="5" t="n">
        <v>856.71</v>
      </c>
      <c r="I168" s="5" t="n">
        <v>320.02</v>
      </c>
      <c r="J168" s="9" t="n">
        <v>0.1</v>
      </c>
      <c r="K168" s="5" t="n">
        <f aca="false">G168*H168*(1-J168)</f>
        <v>1542.078</v>
      </c>
      <c r="L168" s="5" t="n">
        <f aca="false">K168-(G168*I168)</f>
        <v>902.038</v>
      </c>
    </row>
    <row r="169" customFormat="false" ht="16.4" hidden="false" customHeight="false" outlineLevel="0" collapsed="false">
      <c r="A169" s="4" t="s">
        <v>1638</v>
      </c>
      <c r="B169" s="6" t="n">
        <v>45659</v>
      </c>
      <c r="C169" s="4" t="s">
        <v>1235</v>
      </c>
      <c r="D169" s="4" t="s">
        <v>144</v>
      </c>
      <c r="E169" s="4" t="s">
        <v>6</v>
      </c>
      <c r="F169" s="4" t="s">
        <v>25</v>
      </c>
      <c r="G169" s="4" t="n">
        <v>18</v>
      </c>
      <c r="H169" s="5" t="n">
        <v>92.17</v>
      </c>
      <c r="I169" s="5" t="n">
        <v>53.8</v>
      </c>
      <c r="J169" s="9" t="n">
        <v>0</v>
      </c>
      <c r="K169" s="5" t="n">
        <f aca="false">G169*H169*(1-J169)</f>
        <v>1659.06</v>
      </c>
      <c r="L169" s="5" t="n">
        <f aca="false">K169-(G169*I169)</f>
        <v>690.66</v>
      </c>
    </row>
    <row r="170" customFormat="false" ht="16.4" hidden="false" customHeight="false" outlineLevel="0" collapsed="false">
      <c r="A170" s="4" t="s">
        <v>1639</v>
      </c>
      <c r="B170" s="6" t="n">
        <v>45867</v>
      </c>
      <c r="C170" s="4" t="s">
        <v>1095</v>
      </c>
      <c r="D170" s="4" t="s">
        <v>92</v>
      </c>
      <c r="E170" s="4" t="s">
        <v>6</v>
      </c>
      <c r="F170" s="4" t="s">
        <v>13</v>
      </c>
      <c r="G170" s="4" t="n">
        <v>22</v>
      </c>
      <c r="H170" s="5" t="n">
        <v>920.31</v>
      </c>
      <c r="I170" s="5" t="n">
        <v>509</v>
      </c>
      <c r="J170" s="9" t="n">
        <v>0.1</v>
      </c>
      <c r="K170" s="5" t="n">
        <f aca="false">G170*H170*(1-J170)</f>
        <v>18222.138</v>
      </c>
      <c r="L170" s="5" t="n">
        <f aca="false">K170-(G170*I170)</f>
        <v>7024.138</v>
      </c>
    </row>
    <row r="171" customFormat="false" ht="16.4" hidden="false" customHeight="false" outlineLevel="0" collapsed="false">
      <c r="A171" s="4" t="s">
        <v>1640</v>
      </c>
      <c r="B171" s="6" t="n">
        <v>45535</v>
      </c>
      <c r="C171" s="4" t="s">
        <v>1127</v>
      </c>
      <c r="D171" s="4" t="s">
        <v>420</v>
      </c>
      <c r="E171" s="4" t="s">
        <v>12</v>
      </c>
      <c r="F171" s="4" t="s">
        <v>19</v>
      </c>
      <c r="G171" s="4" t="n">
        <v>18</v>
      </c>
      <c r="H171" s="5" t="n">
        <v>1158.67</v>
      </c>
      <c r="I171" s="5" t="n">
        <v>464.05</v>
      </c>
      <c r="J171" s="9" t="n">
        <v>0.05</v>
      </c>
      <c r="K171" s="5" t="n">
        <f aca="false">G171*H171*(1-J171)</f>
        <v>19813.257</v>
      </c>
      <c r="L171" s="5" t="n">
        <f aca="false">K171-(G171*I171)</f>
        <v>11460.357</v>
      </c>
    </row>
    <row r="172" customFormat="false" ht="16.4" hidden="false" customHeight="false" outlineLevel="0" collapsed="false">
      <c r="A172" s="4" t="s">
        <v>1641</v>
      </c>
      <c r="B172" s="6" t="n">
        <v>45688</v>
      </c>
      <c r="C172" s="4" t="s">
        <v>1145</v>
      </c>
      <c r="D172" s="4" t="s">
        <v>394</v>
      </c>
      <c r="E172" s="4" t="s">
        <v>18</v>
      </c>
      <c r="F172" s="4" t="s">
        <v>25</v>
      </c>
      <c r="G172" s="4" t="n">
        <v>2</v>
      </c>
      <c r="H172" s="5" t="n">
        <v>964.19</v>
      </c>
      <c r="I172" s="5" t="n">
        <v>611.21</v>
      </c>
      <c r="J172" s="9" t="n">
        <v>0.05</v>
      </c>
      <c r="K172" s="5" t="n">
        <f aca="false">G172*H172*(1-J172)</f>
        <v>1831.961</v>
      </c>
      <c r="L172" s="5" t="n">
        <f aca="false">K172-(G172*I172)</f>
        <v>609.541</v>
      </c>
    </row>
    <row r="173" customFormat="false" ht="16.4" hidden="false" customHeight="false" outlineLevel="0" collapsed="false">
      <c r="A173" s="4" t="s">
        <v>1642</v>
      </c>
      <c r="B173" s="6" t="n">
        <v>45305</v>
      </c>
      <c r="C173" s="4" t="s">
        <v>785</v>
      </c>
      <c r="D173" s="4" t="s">
        <v>390</v>
      </c>
      <c r="E173" s="4" t="s">
        <v>24</v>
      </c>
      <c r="F173" s="4" t="s">
        <v>19</v>
      </c>
      <c r="G173" s="4" t="n">
        <v>18</v>
      </c>
      <c r="H173" s="5" t="n">
        <v>917.99</v>
      </c>
      <c r="I173" s="5" t="n">
        <v>396.04</v>
      </c>
      <c r="J173" s="9" t="n">
        <v>0</v>
      </c>
      <c r="K173" s="5" t="n">
        <f aca="false">G173*H173*(1-J173)</f>
        <v>16523.82</v>
      </c>
      <c r="L173" s="5" t="n">
        <f aca="false">K173-(G173*I173)</f>
        <v>9395.1</v>
      </c>
    </row>
    <row r="174" customFormat="false" ht="16.4" hidden="false" customHeight="false" outlineLevel="0" collapsed="false">
      <c r="A174" s="4" t="s">
        <v>1643</v>
      </c>
      <c r="B174" s="6" t="n">
        <v>46183</v>
      </c>
      <c r="C174" s="4" t="s">
        <v>1099</v>
      </c>
      <c r="D174" s="4" t="s">
        <v>142</v>
      </c>
      <c r="E174" s="4" t="s">
        <v>24</v>
      </c>
      <c r="F174" s="4" t="s">
        <v>25</v>
      </c>
      <c r="G174" s="4" t="n">
        <v>25</v>
      </c>
      <c r="H174" s="5" t="n">
        <v>248.13</v>
      </c>
      <c r="I174" s="5" t="n">
        <v>108.45</v>
      </c>
      <c r="J174" s="9" t="n">
        <v>0.15</v>
      </c>
      <c r="K174" s="5" t="n">
        <f aca="false">G174*H174*(1-J174)</f>
        <v>5272.7625</v>
      </c>
      <c r="L174" s="5" t="n">
        <f aca="false">K174-(G174*I174)</f>
        <v>2561.5125</v>
      </c>
    </row>
    <row r="175" customFormat="false" ht="16.4" hidden="false" customHeight="false" outlineLevel="0" collapsed="false">
      <c r="A175" s="4" t="s">
        <v>1644</v>
      </c>
      <c r="B175" s="6" t="n">
        <v>46018</v>
      </c>
      <c r="C175" s="4" t="s">
        <v>1397</v>
      </c>
      <c r="D175" s="4" t="s">
        <v>154</v>
      </c>
      <c r="E175" s="4" t="s">
        <v>12</v>
      </c>
      <c r="F175" s="4" t="s">
        <v>19</v>
      </c>
      <c r="G175" s="4" t="n">
        <v>21</v>
      </c>
      <c r="H175" s="5" t="n">
        <v>811.93</v>
      </c>
      <c r="I175" s="5" t="n">
        <v>386.21</v>
      </c>
      <c r="J175" s="9" t="n">
        <v>0.1</v>
      </c>
      <c r="K175" s="5" t="n">
        <f aca="false">G175*H175*(1-J175)</f>
        <v>15345.477</v>
      </c>
      <c r="L175" s="5" t="n">
        <f aca="false">K175-(G175*I175)</f>
        <v>7235.067</v>
      </c>
    </row>
    <row r="176" customFormat="false" ht="16.4" hidden="false" customHeight="false" outlineLevel="0" collapsed="false">
      <c r="A176" s="4" t="s">
        <v>1645</v>
      </c>
      <c r="B176" s="6" t="n">
        <v>45909</v>
      </c>
      <c r="C176" s="4" t="s">
        <v>1067</v>
      </c>
      <c r="D176" s="4" t="s">
        <v>426</v>
      </c>
      <c r="E176" s="4" t="s">
        <v>24</v>
      </c>
      <c r="F176" s="4" t="s">
        <v>13</v>
      </c>
      <c r="G176" s="4" t="n">
        <v>18</v>
      </c>
      <c r="H176" s="5" t="n">
        <v>576.65</v>
      </c>
      <c r="I176" s="5" t="n">
        <v>425.38</v>
      </c>
      <c r="J176" s="9" t="n">
        <v>0.1</v>
      </c>
      <c r="K176" s="5" t="n">
        <f aca="false">G176*H176*(1-J176)</f>
        <v>9341.73</v>
      </c>
      <c r="L176" s="5" t="n">
        <f aca="false">K176-(G176*I176)</f>
        <v>1684.89</v>
      </c>
    </row>
    <row r="177" customFormat="false" ht="16.4" hidden="false" customHeight="false" outlineLevel="0" collapsed="false">
      <c r="A177" s="4" t="s">
        <v>1646</v>
      </c>
      <c r="B177" s="6" t="n">
        <v>45751</v>
      </c>
      <c r="C177" s="4" t="s">
        <v>1207</v>
      </c>
      <c r="D177" s="4" t="s">
        <v>436</v>
      </c>
      <c r="E177" s="4" t="s">
        <v>6</v>
      </c>
      <c r="F177" s="4" t="s">
        <v>13</v>
      </c>
      <c r="G177" s="4" t="n">
        <v>7</v>
      </c>
      <c r="H177" s="5" t="n">
        <v>220.48</v>
      </c>
      <c r="I177" s="5" t="n">
        <v>103.58</v>
      </c>
      <c r="J177" s="9" t="n">
        <v>0.02</v>
      </c>
      <c r="K177" s="5" t="n">
        <f aca="false">G177*H177*(1-J177)</f>
        <v>1512.4928</v>
      </c>
      <c r="L177" s="5" t="n">
        <f aca="false">K177-(G177*I177)</f>
        <v>787.4328</v>
      </c>
    </row>
    <row r="178" customFormat="false" ht="16.4" hidden="false" customHeight="false" outlineLevel="0" collapsed="false">
      <c r="A178" s="4" t="s">
        <v>1647</v>
      </c>
      <c r="B178" s="6" t="n">
        <v>46044</v>
      </c>
      <c r="C178" s="4" t="s">
        <v>539</v>
      </c>
      <c r="D178" s="4" t="s">
        <v>388</v>
      </c>
      <c r="E178" s="4" t="s">
        <v>6</v>
      </c>
      <c r="F178" s="4" t="s">
        <v>7</v>
      </c>
      <c r="G178" s="4" t="n">
        <v>6</v>
      </c>
      <c r="H178" s="5" t="n">
        <v>88.69</v>
      </c>
      <c r="I178" s="5" t="n">
        <v>49.43</v>
      </c>
      <c r="J178" s="9" t="n">
        <v>0</v>
      </c>
      <c r="K178" s="5" t="n">
        <f aca="false">G178*H178*(1-J178)</f>
        <v>532.14</v>
      </c>
      <c r="L178" s="5" t="n">
        <f aca="false">K178-(G178*I178)</f>
        <v>235.56</v>
      </c>
    </row>
    <row r="179" customFormat="false" ht="16.4" hidden="false" customHeight="false" outlineLevel="0" collapsed="false">
      <c r="A179" s="4" t="s">
        <v>1648</v>
      </c>
      <c r="B179" s="6" t="n">
        <v>45861</v>
      </c>
      <c r="C179" s="4" t="s">
        <v>502</v>
      </c>
      <c r="D179" s="4" t="s">
        <v>232</v>
      </c>
      <c r="E179" s="4" t="s">
        <v>18</v>
      </c>
      <c r="F179" s="4" t="s">
        <v>19</v>
      </c>
      <c r="G179" s="4" t="n">
        <v>14</v>
      </c>
      <c r="H179" s="5" t="n">
        <v>743.25</v>
      </c>
      <c r="I179" s="5" t="n">
        <v>488.61</v>
      </c>
      <c r="J179" s="9" t="n">
        <v>0.02</v>
      </c>
      <c r="K179" s="5" t="n">
        <f aca="false">G179*H179*(1-J179)</f>
        <v>10197.39</v>
      </c>
      <c r="L179" s="5" t="n">
        <f aca="false">K179-(G179*I179)</f>
        <v>3356.85</v>
      </c>
    </row>
    <row r="180" customFormat="false" ht="16.4" hidden="false" customHeight="false" outlineLevel="0" collapsed="false">
      <c r="A180" s="4" t="s">
        <v>1649</v>
      </c>
      <c r="B180" s="6" t="n">
        <v>45553</v>
      </c>
      <c r="C180" s="4" t="s">
        <v>629</v>
      </c>
      <c r="D180" s="4" t="s">
        <v>106</v>
      </c>
      <c r="E180" s="4" t="s">
        <v>30</v>
      </c>
      <c r="F180" s="4" t="s">
        <v>7</v>
      </c>
      <c r="G180" s="4" t="n">
        <v>19</v>
      </c>
      <c r="H180" s="5" t="n">
        <v>1050.11</v>
      </c>
      <c r="I180" s="5" t="n">
        <v>545.28</v>
      </c>
      <c r="J180" s="9" t="n">
        <v>0.15</v>
      </c>
      <c r="K180" s="5" t="n">
        <f aca="false">G180*H180*(1-J180)</f>
        <v>16959.2765</v>
      </c>
      <c r="L180" s="5" t="n">
        <f aca="false">K180-(G180*I180)</f>
        <v>6598.9565</v>
      </c>
    </row>
    <row r="181" customFormat="false" ht="16.4" hidden="false" customHeight="false" outlineLevel="0" collapsed="false">
      <c r="A181" s="4" t="s">
        <v>1650</v>
      </c>
      <c r="B181" s="6" t="n">
        <v>45332</v>
      </c>
      <c r="C181" s="4" t="s">
        <v>941</v>
      </c>
      <c r="D181" s="4" t="s">
        <v>208</v>
      </c>
      <c r="E181" s="4" t="s">
        <v>18</v>
      </c>
      <c r="F181" s="4" t="s">
        <v>13</v>
      </c>
      <c r="G181" s="4" t="n">
        <v>23</v>
      </c>
      <c r="H181" s="5" t="n">
        <v>737.3</v>
      </c>
      <c r="I181" s="5" t="n">
        <v>408.88</v>
      </c>
      <c r="J181" s="9" t="n">
        <v>0</v>
      </c>
      <c r="K181" s="5" t="n">
        <f aca="false">G181*H181*(1-J181)</f>
        <v>16957.9</v>
      </c>
      <c r="L181" s="5" t="n">
        <f aca="false">K181-(G181*I181)</f>
        <v>7553.66</v>
      </c>
    </row>
    <row r="182" customFormat="false" ht="16.4" hidden="false" customHeight="false" outlineLevel="0" collapsed="false">
      <c r="A182" s="4" t="s">
        <v>1651</v>
      </c>
      <c r="B182" s="6" t="n">
        <v>45932</v>
      </c>
      <c r="C182" s="4" t="s">
        <v>1075</v>
      </c>
      <c r="D182" s="4" t="s">
        <v>204</v>
      </c>
      <c r="E182" s="4" t="s">
        <v>6</v>
      </c>
      <c r="F182" s="4" t="s">
        <v>19</v>
      </c>
      <c r="G182" s="4" t="n">
        <v>2</v>
      </c>
      <c r="H182" s="5" t="n">
        <v>160.53</v>
      </c>
      <c r="I182" s="5" t="n">
        <v>118.5</v>
      </c>
      <c r="J182" s="9" t="n">
        <v>0.15</v>
      </c>
      <c r="K182" s="5" t="n">
        <f aca="false">G182*H182*(1-J182)</f>
        <v>272.901</v>
      </c>
      <c r="L182" s="5" t="n">
        <f aca="false">K182-(G182*I182)</f>
        <v>35.901</v>
      </c>
    </row>
    <row r="183" customFormat="false" ht="16.4" hidden="false" customHeight="false" outlineLevel="0" collapsed="false">
      <c r="A183" s="4" t="s">
        <v>1652</v>
      </c>
      <c r="B183" s="6" t="n">
        <v>45658</v>
      </c>
      <c r="C183" s="4" t="s">
        <v>1273</v>
      </c>
      <c r="D183" s="4" t="s">
        <v>290</v>
      </c>
      <c r="E183" s="4" t="s">
        <v>6</v>
      </c>
      <c r="F183" s="4" t="s">
        <v>7</v>
      </c>
      <c r="G183" s="4" t="n">
        <v>19</v>
      </c>
      <c r="H183" s="5" t="n">
        <v>820.88</v>
      </c>
      <c r="I183" s="5" t="n">
        <v>601.93</v>
      </c>
      <c r="J183" s="9" t="n">
        <v>0.08</v>
      </c>
      <c r="K183" s="5" t="n">
        <f aca="false">G183*H183*(1-J183)</f>
        <v>14348.9824</v>
      </c>
      <c r="L183" s="5" t="n">
        <f aca="false">K183-(G183*I183)</f>
        <v>2912.3124</v>
      </c>
    </row>
    <row r="184" customFormat="false" ht="16.4" hidden="false" customHeight="false" outlineLevel="0" collapsed="false">
      <c r="A184" s="4" t="s">
        <v>1653</v>
      </c>
      <c r="B184" s="6" t="n">
        <v>45480</v>
      </c>
      <c r="C184" s="4" t="s">
        <v>789</v>
      </c>
      <c r="D184" s="4" t="s">
        <v>402</v>
      </c>
      <c r="E184" s="4" t="s">
        <v>18</v>
      </c>
      <c r="F184" s="4" t="s">
        <v>7</v>
      </c>
      <c r="G184" s="4" t="n">
        <v>17</v>
      </c>
      <c r="H184" s="5" t="n">
        <v>311.38</v>
      </c>
      <c r="I184" s="5" t="n">
        <v>177.64</v>
      </c>
      <c r="J184" s="9" t="n">
        <v>0</v>
      </c>
      <c r="K184" s="5" t="n">
        <f aca="false">G184*H184*(1-J184)</f>
        <v>5293.46</v>
      </c>
      <c r="L184" s="5" t="n">
        <f aca="false">K184-(G184*I184)</f>
        <v>2273.58</v>
      </c>
    </row>
    <row r="185" customFormat="false" ht="16.4" hidden="false" customHeight="false" outlineLevel="0" collapsed="false">
      <c r="A185" s="4" t="s">
        <v>1654</v>
      </c>
      <c r="B185" s="6" t="n">
        <v>45841</v>
      </c>
      <c r="C185" s="4" t="s">
        <v>627</v>
      </c>
      <c r="D185" s="4" t="s">
        <v>298</v>
      </c>
      <c r="E185" s="4" t="s">
        <v>18</v>
      </c>
      <c r="F185" s="4" t="s">
        <v>25</v>
      </c>
      <c r="G185" s="4" t="n">
        <v>14</v>
      </c>
      <c r="H185" s="5" t="n">
        <v>1023.25</v>
      </c>
      <c r="I185" s="5" t="n">
        <v>694.72</v>
      </c>
      <c r="J185" s="9" t="n">
        <v>0.08</v>
      </c>
      <c r="K185" s="5" t="n">
        <f aca="false">G185*H185*(1-J185)</f>
        <v>13179.46</v>
      </c>
      <c r="L185" s="5" t="n">
        <f aca="false">K185-(G185*I185)</f>
        <v>3453.38</v>
      </c>
    </row>
    <row r="186" customFormat="false" ht="16.4" hidden="false" customHeight="false" outlineLevel="0" collapsed="false">
      <c r="A186" s="4" t="s">
        <v>1655</v>
      </c>
      <c r="B186" s="6" t="n">
        <v>45971</v>
      </c>
      <c r="C186" s="4" t="s">
        <v>821</v>
      </c>
      <c r="D186" s="4" t="s">
        <v>86</v>
      </c>
      <c r="E186" s="4" t="s">
        <v>30</v>
      </c>
      <c r="F186" s="4" t="s">
        <v>19</v>
      </c>
      <c r="G186" s="4" t="n">
        <v>8</v>
      </c>
      <c r="H186" s="5" t="n">
        <v>1036.42</v>
      </c>
      <c r="I186" s="5" t="n">
        <v>367.51</v>
      </c>
      <c r="J186" s="9" t="n">
        <v>0</v>
      </c>
      <c r="K186" s="5" t="n">
        <f aca="false">G186*H186*(1-J186)</f>
        <v>8291.36</v>
      </c>
      <c r="L186" s="5" t="n">
        <f aca="false">K186-(G186*I186)</f>
        <v>5351.28</v>
      </c>
    </row>
    <row r="187" customFormat="false" ht="16.4" hidden="false" customHeight="false" outlineLevel="0" collapsed="false">
      <c r="A187" s="4" t="s">
        <v>1656</v>
      </c>
      <c r="B187" s="6" t="n">
        <v>46062</v>
      </c>
      <c r="C187" s="4" t="s">
        <v>833</v>
      </c>
      <c r="D187" s="4" t="s">
        <v>208</v>
      </c>
      <c r="E187" s="4" t="s">
        <v>30</v>
      </c>
      <c r="F187" s="4" t="s">
        <v>25</v>
      </c>
      <c r="G187" s="4" t="n">
        <v>10</v>
      </c>
      <c r="H187" s="5" t="n">
        <v>737.3</v>
      </c>
      <c r="I187" s="5" t="n">
        <v>408.88</v>
      </c>
      <c r="J187" s="9" t="n">
        <v>0</v>
      </c>
      <c r="K187" s="5" t="n">
        <f aca="false">G187*H187*(1-J187)</f>
        <v>7373</v>
      </c>
      <c r="L187" s="5" t="n">
        <f aca="false">K187-(G187*I187)</f>
        <v>3284.2</v>
      </c>
    </row>
    <row r="188" customFormat="false" ht="16.4" hidden="false" customHeight="false" outlineLevel="0" collapsed="false">
      <c r="A188" s="4" t="s">
        <v>1657</v>
      </c>
      <c r="B188" s="6" t="n">
        <v>45301</v>
      </c>
      <c r="C188" s="4" t="s">
        <v>1307</v>
      </c>
      <c r="D188" s="4" t="s">
        <v>326</v>
      </c>
      <c r="E188" s="4" t="s">
        <v>18</v>
      </c>
      <c r="F188" s="4" t="s">
        <v>7</v>
      </c>
      <c r="G188" s="4" t="n">
        <v>25</v>
      </c>
      <c r="H188" s="5" t="n">
        <v>385.28</v>
      </c>
      <c r="I188" s="5" t="n">
        <v>170.38</v>
      </c>
      <c r="J188" s="9" t="n">
        <v>0.1</v>
      </c>
      <c r="K188" s="5" t="n">
        <f aca="false">G188*H188*(1-J188)</f>
        <v>8668.8</v>
      </c>
      <c r="L188" s="5" t="n">
        <f aca="false">K188-(G188*I188)</f>
        <v>4409.3</v>
      </c>
    </row>
    <row r="189" customFormat="false" ht="16.4" hidden="false" customHeight="false" outlineLevel="0" collapsed="false">
      <c r="A189" s="4" t="s">
        <v>1658</v>
      </c>
      <c r="B189" s="6" t="n">
        <v>45949</v>
      </c>
      <c r="C189" s="4" t="s">
        <v>819</v>
      </c>
      <c r="D189" s="4" t="s">
        <v>382</v>
      </c>
      <c r="E189" s="4" t="s">
        <v>6</v>
      </c>
      <c r="F189" s="4" t="s">
        <v>13</v>
      </c>
      <c r="G189" s="4" t="n">
        <v>15</v>
      </c>
      <c r="H189" s="5" t="n">
        <v>363.66</v>
      </c>
      <c r="I189" s="5" t="n">
        <v>264.77</v>
      </c>
      <c r="J189" s="9" t="n">
        <v>0</v>
      </c>
      <c r="K189" s="5" t="n">
        <f aca="false">G189*H189*(1-J189)</f>
        <v>5454.9</v>
      </c>
      <c r="L189" s="5" t="n">
        <f aca="false">K189-(G189*I189)</f>
        <v>1483.35</v>
      </c>
    </row>
    <row r="190" customFormat="false" ht="16.4" hidden="false" customHeight="false" outlineLevel="0" collapsed="false">
      <c r="A190" s="4" t="s">
        <v>1659</v>
      </c>
      <c r="B190" s="6" t="n">
        <v>46107</v>
      </c>
      <c r="C190" s="4" t="s">
        <v>1163</v>
      </c>
      <c r="D190" s="4" t="s">
        <v>60</v>
      </c>
      <c r="E190" s="4" t="s">
        <v>30</v>
      </c>
      <c r="F190" s="4" t="s">
        <v>7</v>
      </c>
      <c r="G190" s="4" t="n">
        <v>11</v>
      </c>
      <c r="H190" s="5" t="n">
        <v>1182.64</v>
      </c>
      <c r="I190" s="5" t="n">
        <v>818.54</v>
      </c>
      <c r="J190" s="9" t="n">
        <v>0.05</v>
      </c>
      <c r="K190" s="5" t="n">
        <f aca="false">G190*H190*(1-J190)</f>
        <v>12358.588</v>
      </c>
      <c r="L190" s="5" t="n">
        <f aca="false">K190-(G190*I190)</f>
        <v>3354.648</v>
      </c>
    </row>
    <row r="191" customFormat="false" ht="16.4" hidden="false" customHeight="false" outlineLevel="0" collapsed="false">
      <c r="A191" s="4" t="s">
        <v>1660</v>
      </c>
      <c r="B191" s="6" t="n">
        <v>45581</v>
      </c>
      <c r="C191" s="4" t="s">
        <v>727</v>
      </c>
      <c r="D191" s="4" t="s">
        <v>236</v>
      </c>
      <c r="E191" s="4" t="s">
        <v>30</v>
      </c>
      <c r="F191" s="4" t="s">
        <v>7</v>
      </c>
      <c r="G191" s="4" t="n">
        <v>18</v>
      </c>
      <c r="H191" s="5" t="n">
        <v>198.4</v>
      </c>
      <c r="I191" s="5" t="n">
        <v>124.01</v>
      </c>
      <c r="J191" s="9" t="n">
        <v>0.1</v>
      </c>
      <c r="K191" s="5" t="n">
        <f aca="false">G191*H191*(1-J191)</f>
        <v>3214.08</v>
      </c>
      <c r="L191" s="5" t="n">
        <f aca="false">K191-(G191*I191)</f>
        <v>981.9</v>
      </c>
    </row>
    <row r="192" customFormat="false" ht="16.4" hidden="false" customHeight="false" outlineLevel="0" collapsed="false">
      <c r="A192" s="4" t="s">
        <v>1661</v>
      </c>
      <c r="B192" s="6" t="n">
        <v>45818</v>
      </c>
      <c r="C192" s="4" t="s">
        <v>1305</v>
      </c>
      <c r="D192" s="4" t="s">
        <v>304</v>
      </c>
      <c r="E192" s="4" t="s">
        <v>24</v>
      </c>
      <c r="F192" s="4" t="s">
        <v>25</v>
      </c>
      <c r="G192" s="4" t="n">
        <v>25</v>
      </c>
      <c r="H192" s="5" t="n">
        <v>974.63</v>
      </c>
      <c r="I192" s="5" t="n">
        <v>550.93</v>
      </c>
      <c r="J192" s="9" t="n">
        <v>0.02</v>
      </c>
      <c r="K192" s="5" t="n">
        <f aca="false">G192*H192*(1-J192)</f>
        <v>23878.435</v>
      </c>
      <c r="L192" s="5" t="n">
        <f aca="false">K192-(G192*I192)</f>
        <v>10105.185</v>
      </c>
    </row>
    <row r="193" customFormat="false" ht="16.4" hidden="false" customHeight="false" outlineLevel="0" collapsed="false">
      <c r="A193" s="4" t="s">
        <v>1662</v>
      </c>
      <c r="B193" s="6" t="n">
        <v>45489</v>
      </c>
      <c r="C193" s="4" t="s">
        <v>506</v>
      </c>
      <c r="D193" s="4" t="s">
        <v>288</v>
      </c>
      <c r="E193" s="4" t="s">
        <v>24</v>
      </c>
      <c r="F193" s="4" t="s">
        <v>19</v>
      </c>
      <c r="G193" s="4" t="n">
        <v>10</v>
      </c>
      <c r="H193" s="5" t="n">
        <v>1158.55</v>
      </c>
      <c r="I193" s="5" t="n">
        <v>455.59</v>
      </c>
      <c r="J193" s="9" t="n">
        <v>0.1</v>
      </c>
      <c r="K193" s="5" t="n">
        <f aca="false">G193*H193*(1-J193)</f>
        <v>10426.95</v>
      </c>
      <c r="L193" s="5" t="n">
        <f aca="false">K193-(G193*I193)</f>
        <v>5871.05</v>
      </c>
    </row>
    <row r="194" customFormat="false" ht="16.4" hidden="false" customHeight="false" outlineLevel="0" collapsed="false">
      <c r="A194" s="4" t="s">
        <v>1663</v>
      </c>
      <c r="B194" s="6" t="n">
        <v>46083</v>
      </c>
      <c r="C194" s="4" t="s">
        <v>548</v>
      </c>
      <c r="D194" s="4" t="s">
        <v>302</v>
      </c>
      <c r="E194" s="4" t="s">
        <v>24</v>
      </c>
      <c r="F194" s="4" t="s">
        <v>7</v>
      </c>
      <c r="G194" s="4" t="n">
        <v>4</v>
      </c>
      <c r="H194" s="5" t="n">
        <v>231.96</v>
      </c>
      <c r="I194" s="5" t="n">
        <v>129.6</v>
      </c>
      <c r="J194" s="9" t="n">
        <v>0</v>
      </c>
      <c r="K194" s="5" t="n">
        <f aca="false">G194*H194*(1-J194)</f>
        <v>927.84</v>
      </c>
      <c r="L194" s="5" t="n">
        <f aca="false">K194-(G194*I194)</f>
        <v>409.44</v>
      </c>
    </row>
    <row r="195" customFormat="false" ht="16.4" hidden="false" customHeight="false" outlineLevel="0" collapsed="false">
      <c r="A195" s="4" t="s">
        <v>1664</v>
      </c>
      <c r="B195" s="6" t="n">
        <v>45936</v>
      </c>
      <c r="C195" s="4" t="s">
        <v>529</v>
      </c>
      <c r="D195" s="4" t="s">
        <v>360</v>
      </c>
      <c r="E195" s="4" t="s">
        <v>30</v>
      </c>
      <c r="F195" s="4" t="s">
        <v>13</v>
      </c>
      <c r="G195" s="4" t="n">
        <v>7</v>
      </c>
      <c r="H195" s="5" t="n">
        <v>1110.6</v>
      </c>
      <c r="I195" s="5" t="n">
        <v>738.69</v>
      </c>
      <c r="J195" s="9" t="n">
        <v>0.1</v>
      </c>
      <c r="K195" s="5" t="n">
        <f aca="false">G195*H195*(1-J195)</f>
        <v>6996.78</v>
      </c>
      <c r="L195" s="5" t="n">
        <f aca="false">K195-(G195*I195)</f>
        <v>1825.95</v>
      </c>
    </row>
    <row r="196" customFormat="false" ht="16.4" hidden="false" customHeight="false" outlineLevel="0" collapsed="false">
      <c r="A196" s="4" t="s">
        <v>1665</v>
      </c>
      <c r="B196" s="6" t="n">
        <v>45842</v>
      </c>
      <c r="C196" s="4" t="s">
        <v>899</v>
      </c>
      <c r="D196" s="4" t="s">
        <v>390</v>
      </c>
      <c r="E196" s="4" t="s">
        <v>18</v>
      </c>
      <c r="F196" s="4" t="s">
        <v>25</v>
      </c>
      <c r="G196" s="4" t="n">
        <v>4</v>
      </c>
      <c r="H196" s="5" t="n">
        <v>917.99</v>
      </c>
      <c r="I196" s="5" t="n">
        <v>396.04</v>
      </c>
      <c r="J196" s="9" t="n">
        <v>0</v>
      </c>
      <c r="K196" s="5" t="n">
        <f aca="false">G196*H196*(1-J196)</f>
        <v>3671.96</v>
      </c>
      <c r="L196" s="5" t="n">
        <f aca="false">K196-(G196*I196)</f>
        <v>2087.8</v>
      </c>
    </row>
    <row r="197" customFormat="false" ht="16.4" hidden="false" customHeight="false" outlineLevel="0" collapsed="false">
      <c r="A197" s="4" t="s">
        <v>1666</v>
      </c>
      <c r="B197" s="6" t="n">
        <v>45994</v>
      </c>
      <c r="C197" s="4" t="s">
        <v>1301</v>
      </c>
      <c r="D197" s="4" t="s">
        <v>370</v>
      </c>
      <c r="E197" s="4" t="s">
        <v>18</v>
      </c>
      <c r="F197" s="4" t="s">
        <v>13</v>
      </c>
      <c r="G197" s="4" t="n">
        <v>3</v>
      </c>
      <c r="H197" s="5" t="n">
        <v>888.08</v>
      </c>
      <c r="I197" s="5" t="n">
        <v>525.29</v>
      </c>
      <c r="J197" s="9" t="n">
        <v>0.1</v>
      </c>
      <c r="K197" s="5" t="n">
        <f aca="false">G197*H197*(1-J197)</f>
        <v>2397.816</v>
      </c>
      <c r="L197" s="5" t="n">
        <f aca="false">K197-(G197*I197)</f>
        <v>821.946</v>
      </c>
    </row>
    <row r="198" customFormat="false" ht="16.4" hidden="false" customHeight="false" outlineLevel="0" collapsed="false">
      <c r="A198" s="4" t="s">
        <v>1667</v>
      </c>
      <c r="B198" s="6" t="n">
        <v>45330</v>
      </c>
      <c r="C198" s="4" t="s">
        <v>935</v>
      </c>
      <c r="D198" s="4" t="s">
        <v>52</v>
      </c>
      <c r="E198" s="4" t="s">
        <v>24</v>
      </c>
      <c r="F198" s="4" t="s">
        <v>7</v>
      </c>
      <c r="G198" s="4" t="n">
        <v>23</v>
      </c>
      <c r="H198" s="5" t="n">
        <v>145.1</v>
      </c>
      <c r="I198" s="5" t="n">
        <v>72.84</v>
      </c>
      <c r="J198" s="9" t="n">
        <v>0.02</v>
      </c>
      <c r="K198" s="5" t="n">
        <f aca="false">G198*H198*(1-J198)</f>
        <v>3270.554</v>
      </c>
      <c r="L198" s="5" t="n">
        <f aca="false">K198-(G198*I198)</f>
        <v>1595.234</v>
      </c>
    </row>
    <row r="199" customFormat="false" ht="16.4" hidden="false" customHeight="false" outlineLevel="0" collapsed="false">
      <c r="A199" s="4" t="s">
        <v>1668</v>
      </c>
      <c r="B199" s="6" t="n">
        <v>45549</v>
      </c>
      <c r="C199" s="4" t="s">
        <v>516</v>
      </c>
      <c r="D199" s="4" t="s">
        <v>76</v>
      </c>
      <c r="E199" s="4" t="s">
        <v>30</v>
      </c>
      <c r="F199" s="4" t="s">
        <v>7</v>
      </c>
      <c r="G199" s="4" t="n">
        <v>6</v>
      </c>
      <c r="H199" s="5" t="n">
        <v>336.23</v>
      </c>
      <c r="I199" s="5" t="n">
        <v>150.85</v>
      </c>
      <c r="J199" s="9" t="n">
        <v>0.15</v>
      </c>
      <c r="K199" s="5" t="n">
        <f aca="false">G199*H199*(1-J199)</f>
        <v>1714.773</v>
      </c>
      <c r="L199" s="5" t="n">
        <f aca="false">K199-(G199*I199)</f>
        <v>809.673</v>
      </c>
    </row>
    <row r="200" customFormat="false" ht="16.4" hidden="false" customHeight="false" outlineLevel="0" collapsed="false">
      <c r="A200" s="4" t="s">
        <v>1669</v>
      </c>
      <c r="B200" s="6" t="n">
        <v>45709</v>
      </c>
      <c r="C200" s="4" t="s">
        <v>1305</v>
      </c>
      <c r="D200" s="4" t="s">
        <v>334</v>
      </c>
      <c r="E200" s="4" t="s">
        <v>24</v>
      </c>
      <c r="F200" s="4" t="s">
        <v>25</v>
      </c>
      <c r="G200" s="4" t="n">
        <v>8</v>
      </c>
      <c r="H200" s="5" t="n">
        <v>41.62</v>
      </c>
      <c r="I200" s="5" t="n">
        <v>23.46</v>
      </c>
      <c r="J200" s="9" t="n">
        <v>0.02</v>
      </c>
      <c r="K200" s="5" t="n">
        <f aca="false">G200*H200*(1-J200)</f>
        <v>326.3008</v>
      </c>
      <c r="L200" s="5" t="n">
        <f aca="false">K200-(G200*I200)</f>
        <v>138.6208</v>
      </c>
    </row>
    <row r="201" customFormat="false" ht="16.4" hidden="false" customHeight="false" outlineLevel="0" collapsed="false">
      <c r="A201" s="4" t="s">
        <v>1670</v>
      </c>
      <c r="B201" s="6" t="n">
        <v>45615</v>
      </c>
      <c r="C201" s="4" t="s">
        <v>1109</v>
      </c>
      <c r="D201" s="4" t="s">
        <v>270</v>
      </c>
      <c r="E201" s="4" t="s">
        <v>6</v>
      </c>
      <c r="F201" s="4" t="s">
        <v>7</v>
      </c>
      <c r="G201" s="4" t="n">
        <v>13</v>
      </c>
      <c r="H201" s="5" t="n">
        <v>720.47</v>
      </c>
      <c r="I201" s="5" t="n">
        <v>443.23</v>
      </c>
      <c r="J201" s="9" t="n">
        <v>0.05</v>
      </c>
      <c r="K201" s="5" t="n">
        <f aca="false">G201*H201*(1-J201)</f>
        <v>8897.8045</v>
      </c>
      <c r="L201" s="5" t="n">
        <f aca="false">K201-(G201*I201)</f>
        <v>3135.8145</v>
      </c>
    </row>
    <row r="202" customFormat="false" ht="16.4" hidden="false" customHeight="false" outlineLevel="0" collapsed="false">
      <c r="A202" s="4" t="s">
        <v>1671</v>
      </c>
      <c r="B202" s="6" t="n">
        <v>45298</v>
      </c>
      <c r="C202" s="4" t="s">
        <v>1153</v>
      </c>
      <c r="D202" s="4" t="s">
        <v>238</v>
      </c>
      <c r="E202" s="4" t="s">
        <v>24</v>
      </c>
      <c r="F202" s="4" t="s">
        <v>7</v>
      </c>
      <c r="G202" s="4" t="n">
        <v>4</v>
      </c>
      <c r="H202" s="5" t="n">
        <v>282.14</v>
      </c>
      <c r="I202" s="5" t="n">
        <v>189.5</v>
      </c>
      <c r="J202" s="9" t="n">
        <v>0.08</v>
      </c>
      <c r="K202" s="5" t="n">
        <f aca="false">G202*H202*(1-J202)</f>
        <v>1038.2752</v>
      </c>
      <c r="L202" s="5" t="n">
        <f aca="false">K202-(G202*I202)</f>
        <v>280.2752</v>
      </c>
    </row>
    <row r="203" customFormat="false" ht="16.4" hidden="false" customHeight="false" outlineLevel="0" collapsed="false">
      <c r="A203" s="4" t="s">
        <v>1672</v>
      </c>
      <c r="B203" s="6" t="n">
        <v>46009</v>
      </c>
      <c r="C203" s="4" t="s">
        <v>1227</v>
      </c>
      <c r="D203" s="4" t="s">
        <v>426</v>
      </c>
      <c r="E203" s="4" t="s">
        <v>12</v>
      </c>
      <c r="F203" s="4" t="s">
        <v>7</v>
      </c>
      <c r="G203" s="4" t="n">
        <v>19</v>
      </c>
      <c r="H203" s="5" t="n">
        <v>576.65</v>
      </c>
      <c r="I203" s="5" t="n">
        <v>425.38</v>
      </c>
      <c r="J203" s="9" t="n">
        <v>0</v>
      </c>
      <c r="K203" s="5" t="n">
        <f aca="false">G203*H203*(1-J203)</f>
        <v>10956.35</v>
      </c>
      <c r="L203" s="5" t="n">
        <f aca="false">K203-(G203*I203)</f>
        <v>2874.13</v>
      </c>
    </row>
    <row r="204" customFormat="false" ht="16.4" hidden="false" customHeight="false" outlineLevel="0" collapsed="false">
      <c r="A204" s="4" t="s">
        <v>1673</v>
      </c>
      <c r="B204" s="6" t="n">
        <v>45588</v>
      </c>
      <c r="C204" s="4" t="s">
        <v>1415</v>
      </c>
      <c r="D204" s="4" t="s">
        <v>222</v>
      </c>
      <c r="E204" s="4" t="s">
        <v>30</v>
      </c>
      <c r="F204" s="4" t="s">
        <v>19</v>
      </c>
      <c r="G204" s="4" t="n">
        <v>17</v>
      </c>
      <c r="H204" s="5" t="n">
        <v>362.12</v>
      </c>
      <c r="I204" s="5" t="n">
        <v>189.01</v>
      </c>
      <c r="J204" s="9" t="n">
        <v>0</v>
      </c>
      <c r="K204" s="5" t="n">
        <f aca="false">G204*H204*(1-J204)</f>
        <v>6156.04</v>
      </c>
      <c r="L204" s="5" t="n">
        <f aca="false">K204-(G204*I204)</f>
        <v>2942.87</v>
      </c>
    </row>
    <row r="205" customFormat="false" ht="16.4" hidden="false" customHeight="false" outlineLevel="0" collapsed="false">
      <c r="A205" s="4" t="s">
        <v>1674</v>
      </c>
      <c r="B205" s="6" t="n">
        <v>45740</v>
      </c>
      <c r="C205" s="4" t="s">
        <v>553</v>
      </c>
      <c r="D205" s="4" t="s">
        <v>350</v>
      </c>
      <c r="E205" s="4" t="s">
        <v>6</v>
      </c>
      <c r="F205" s="4" t="s">
        <v>25</v>
      </c>
      <c r="G205" s="4" t="n">
        <v>10</v>
      </c>
      <c r="H205" s="5" t="n">
        <v>693.14</v>
      </c>
      <c r="I205" s="5" t="n">
        <v>259.3</v>
      </c>
      <c r="J205" s="9" t="n">
        <v>0.15</v>
      </c>
      <c r="K205" s="5" t="n">
        <f aca="false">G205*H205*(1-J205)</f>
        <v>5891.69</v>
      </c>
      <c r="L205" s="5" t="n">
        <f aca="false">K205-(G205*I205)</f>
        <v>3298.69</v>
      </c>
    </row>
    <row r="206" customFormat="false" ht="16.4" hidden="false" customHeight="false" outlineLevel="0" collapsed="false">
      <c r="A206" s="4" t="s">
        <v>1675</v>
      </c>
      <c r="B206" s="6" t="n">
        <v>45777</v>
      </c>
      <c r="C206" s="4" t="s">
        <v>1305</v>
      </c>
      <c r="D206" s="4" t="s">
        <v>242</v>
      </c>
      <c r="E206" s="4" t="s">
        <v>24</v>
      </c>
      <c r="F206" s="4" t="s">
        <v>13</v>
      </c>
      <c r="G206" s="4" t="n">
        <v>22</v>
      </c>
      <c r="H206" s="5" t="n">
        <v>966.66</v>
      </c>
      <c r="I206" s="5" t="n">
        <v>596.46</v>
      </c>
      <c r="J206" s="9" t="n">
        <v>0</v>
      </c>
      <c r="K206" s="5" t="n">
        <f aca="false">G206*H206*(1-J206)</f>
        <v>21266.52</v>
      </c>
      <c r="L206" s="5" t="n">
        <f aca="false">K206-(G206*I206)</f>
        <v>8144.4</v>
      </c>
    </row>
    <row r="207" customFormat="false" ht="16.4" hidden="false" customHeight="false" outlineLevel="0" collapsed="false">
      <c r="A207" s="4" t="s">
        <v>1676</v>
      </c>
      <c r="B207" s="6" t="n">
        <v>45692</v>
      </c>
      <c r="C207" s="4" t="s">
        <v>689</v>
      </c>
      <c r="D207" s="4" t="s">
        <v>312</v>
      </c>
      <c r="E207" s="4" t="s">
        <v>24</v>
      </c>
      <c r="F207" s="4" t="s">
        <v>19</v>
      </c>
      <c r="G207" s="4" t="n">
        <v>5</v>
      </c>
      <c r="H207" s="5" t="n">
        <v>238.66</v>
      </c>
      <c r="I207" s="5" t="n">
        <v>103.78</v>
      </c>
      <c r="J207" s="9" t="n">
        <v>0.1</v>
      </c>
      <c r="K207" s="5" t="n">
        <f aca="false">G207*H207*(1-J207)</f>
        <v>1073.97</v>
      </c>
      <c r="L207" s="5" t="n">
        <f aca="false">K207-(G207*I207)</f>
        <v>555.07</v>
      </c>
    </row>
    <row r="208" customFormat="false" ht="16.4" hidden="false" customHeight="false" outlineLevel="0" collapsed="false">
      <c r="A208" s="4" t="s">
        <v>1677</v>
      </c>
      <c r="B208" s="6" t="n">
        <v>46200</v>
      </c>
      <c r="C208" s="4" t="s">
        <v>611</v>
      </c>
      <c r="D208" s="4" t="s">
        <v>364</v>
      </c>
      <c r="E208" s="4" t="s">
        <v>30</v>
      </c>
      <c r="F208" s="4" t="s">
        <v>19</v>
      </c>
      <c r="G208" s="4" t="n">
        <v>10</v>
      </c>
      <c r="H208" s="5" t="n">
        <v>108.91</v>
      </c>
      <c r="I208" s="5" t="n">
        <v>45.35</v>
      </c>
      <c r="J208" s="9" t="n">
        <v>0.1</v>
      </c>
      <c r="K208" s="5" t="n">
        <f aca="false">G208*H208*(1-J208)</f>
        <v>980.19</v>
      </c>
      <c r="L208" s="5" t="n">
        <f aca="false">K208-(G208*I208)</f>
        <v>526.69</v>
      </c>
    </row>
    <row r="209" customFormat="false" ht="16.4" hidden="false" customHeight="false" outlineLevel="0" collapsed="false">
      <c r="A209" s="4" t="s">
        <v>1678</v>
      </c>
      <c r="B209" s="6" t="n">
        <v>45418</v>
      </c>
      <c r="C209" s="4" t="s">
        <v>1031</v>
      </c>
      <c r="D209" s="4" t="s">
        <v>44</v>
      </c>
      <c r="E209" s="4" t="s">
        <v>12</v>
      </c>
      <c r="F209" s="4" t="s">
        <v>7</v>
      </c>
      <c r="G209" s="4" t="n">
        <v>18</v>
      </c>
      <c r="H209" s="5" t="n">
        <v>60.01</v>
      </c>
      <c r="I209" s="5" t="n">
        <v>26.25</v>
      </c>
      <c r="J209" s="9" t="n">
        <v>0</v>
      </c>
      <c r="K209" s="5" t="n">
        <f aca="false">G209*H209*(1-J209)</f>
        <v>1080.18</v>
      </c>
      <c r="L209" s="5" t="n">
        <f aca="false">K209-(G209*I209)</f>
        <v>607.68</v>
      </c>
    </row>
    <row r="210" customFormat="false" ht="16.4" hidden="false" customHeight="false" outlineLevel="0" collapsed="false">
      <c r="A210" s="4" t="s">
        <v>1679</v>
      </c>
      <c r="B210" s="6" t="n">
        <v>45842</v>
      </c>
      <c r="C210" s="4" t="s">
        <v>1051</v>
      </c>
      <c r="D210" s="4" t="s">
        <v>42</v>
      </c>
      <c r="E210" s="4" t="s">
        <v>12</v>
      </c>
      <c r="F210" s="4" t="s">
        <v>7</v>
      </c>
      <c r="G210" s="4" t="n">
        <v>20</v>
      </c>
      <c r="H210" s="5" t="n">
        <v>820.12</v>
      </c>
      <c r="I210" s="5" t="n">
        <v>579.72</v>
      </c>
      <c r="J210" s="9" t="n">
        <v>0.05</v>
      </c>
      <c r="K210" s="5" t="n">
        <f aca="false">G210*H210*(1-J210)</f>
        <v>15582.28</v>
      </c>
      <c r="L210" s="5" t="n">
        <f aca="false">K210-(G210*I210)</f>
        <v>3987.88</v>
      </c>
    </row>
    <row r="211" customFormat="false" ht="16.4" hidden="false" customHeight="false" outlineLevel="0" collapsed="false">
      <c r="A211" s="4" t="s">
        <v>1680</v>
      </c>
      <c r="B211" s="6" t="n">
        <v>46035</v>
      </c>
      <c r="C211" s="4" t="s">
        <v>679</v>
      </c>
      <c r="D211" s="4" t="s">
        <v>196</v>
      </c>
      <c r="E211" s="4" t="s">
        <v>6</v>
      </c>
      <c r="F211" s="4" t="s">
        <v>19</v>
      </c>
      <c r="G211" s="4" t="n">
        <v>24</v>
      </c>
      <c r="H211" s="5" t="n">
        <v>1033.85</v>
      </c>
      <c r="I211" s="5" t="n">
        <v>453.83</v>
      </c>
      <c r="J211" s="9" t="n">
        <v>0.1</v>
      </c>
      <c r="K211" s="5" t="n">
        <f aca="false">G211*H211*(1-J211)</f>
        <v>22331.16</v>
      </c>
      <c r="L211" s="5" t="n">
        <f aca="false">K211-(G211*I211)</f>
        <v>11439.24</v>
      </c>
    </row>
    <row r="212" customFormat="false" ht="16.4" hidden="false" customHeight="false" outlineLevel="0" collapsed="false">
      <c r="A212" s="4" t="s">
        <v>1681</v>
      </c>
      <c r="B212" s="6" t="n">
        <v>45816</v>
      </c>
      <c r="C212" s="4" t="s">
        <v>887</v>
      </c>
      <c r="D212" s="4" t="s">
        <v>148</v>
      </c>
      <c r="E212" s="4" t="s">
        <v>12</v>
      </c>
      <c r="F212" s="4" t="s">
        <v>13</v>
      </c>
      <c r="G212" s="4" t="n">
        <v>21</v>
      </c>
      <c r="H212" s="5" t="n">
        <v>104.85</v>
      </c>
      <c r="I212" s="5" t="n">
        <v>72.84</v>
      </c>
      <c r="J212" s="9" t="n">
        <v>0.15</v>
      </c>
      <c r="K212" s="5" t="n">
        <f aca="false">G212*H212*(1-J212)</f>
        <v>1871.5725</v>
      </c>
      <c r="L212" s="5" t="n">
        <f aca="false">K212-(G212*I212)</f>
        <v>341.9325</v>
      </c>
    </row>
    <row r="213" customFormat="false" ht="16.4" hidden="false" customHeight="false" outlineLevel="0" collapsed="false">
      <c r="A213" s="4" t="s">
        <v>1682</v>
      </c>
      <c r="B213" s="6" t="n">
        <v>46146</v>
      </c>
      <c r="C213" s="4" t="s">
        <v>653</v>
      </c>
      <c r="D213" s="4" t="s">
        <v>122</v>
      </c>
      <c r="E213" s="4" t="s">
        <v>18</v>
      </c>
      <c r="F213" s="4" t="s">
        <v>19</v>
      </c>
      <c r="G213" s="4" t="n">
        <v>8</v>
      </c>
      <c r="H213" s="5" t="n">
        <v>799.3</v>
      </c>
      <c r="I213" s="5" t="n">
        <v>393.03</v>
      </c>
      <c r="J213" s="9" t="n">
        <v>0.08</v>
      </c>
      <c r="K213" s="5" t="n">
        <f aca="false">G213*H213*(1-J213)</f>
        <v>5882.848</v>
      </c>
      <c r="L213" s="5" t="n">
        <f aca="false">K213-(G213*I213)</f>
        <v>2738.608</v>
      </c>
    </row>
    <row r="214" customFormat="false" ht="16.4" hidden="false" customHeight="false" outlineLevel="0" collapsed="false">
      <c r="A214" s="4" t="s">
        <v>1683</v>
      </c>
      <c r="B214" s="6" t="n">
        <v>46110</v>
      </c>
      <c r="C214" s="4" t="s">
        <v>581</v>
      </c>
      <c r="D214" s="4" t="s">
        <v>138</v>
      </c>
      <c r="E214" s="4" t="s">
        <v>6</v>
      </c>
      <c r="F214" s="4" t="s">
        <v>7</v>
      </c>
      <c r="G214" s="4" t="n">
        <v>6</v>
      </c>
      <c r="H214" s="5" t="n">
        <v>27.53</v>
      </c>
      <c r="I214" s="5" t="n">
        <v>13.93</v>
      </c>
      <c r="J214" s="9" t="n">
        <v>0.1</v>
      </c>
      <c r="K214" s="5" t="n">
        <f aca="false">G214*H214*(1-J214)</f>
        <v>148.662</v>
      </c>
      <c r="L214" s="5" t="n">
        <f aca="false">K214-(G214*I214)</f>
        <v>65.082</v>
      </c>
    </row>
    <row r="215" customFormat="false" ht="16.4" hidden="false" customHeight="false" outlineLevel="0" collapsed="false">
      <c r="A215" s="4" t="s">
        <v>1684</v>
      </c>
      <c r="B215" s="6" t="n">
        <v>45952</v>
      </c>
      <c r="C215" s="4" t="s">
        <v>1419</v>
      </c>
      <c r="D215" s="4" t="s">
        <v>424</v>
      </c>
      <c r="E215" s="4" t="s">
        <v>12</v>
      </c>
      <c r="F215" s="4" t="s">
        <v>7</v>
      </c>
      <c r="G215" s="4" t="n">
        <v>18</v>
      </c>
      <c r="H215" s="5" t="n">
        <v>873.87</v>
      </c>
      <c r="I215" s="5" t="n">
        <v>449.16</v>
      </c>
      <c r="J215" s="9" t="n">
        <v>0.05</v>
      </c>
      <c r="K215" s="5" t="n">
        <f aca="false">G215*H215*(1-J215)</f>
        <v>14943.177</v>
      </c>
      <c r="L215" s="5" t="n">
        <f aca="false">K215-(G215*I215)</f>
        <v>6858.297</v>
      </c>
    </row>
    <row r="216" customFormat="false" ht="16.4" hidden="false" customHeight="false" outlineLevel="0" collapsed="false">
      <c r="A216" s="4" t="s">
        <v>1685</v>
      </c>
      <c r="B216" s="6" t="n">
        <v>45392</v>
      </c>
      <c r="C216" s="4" t="s">
        <v>1151</v>
      </c>
      <c r="D216" s="4" t="s">
        <v>188</v>
      </c>
      <c r="E216" s="4" t="s">
        <v>24</v>
      </c>
      <c r="F216" s="4" t="s">
        <v>13</v>
      </c>
      <c r="G216" s="4" t="n">
        <v>3</v>
      </c>
      <c r="H216" s="5" t="n">
        <v>1063.86</v>
      </c>
      <c r="I216" s="5" t="n">
        <v>545.28</v>
      </c>
      <c r="J216" s="9" t="n">
        <v>0.02</v>
      </c>
      <c r="K216" s="5" t="n">
        <f aca="false">G216*H216*(1-J216)</f>
        <v>3127.7484</v>
      </c>
      <c r="L216" s="5" t="n">
        <f aca="false">K216-(G216*I216)</f>
        <v>1491.9084</v>
      </c>
    </row>
    <row r="217" customFormat="false" ht="16.4" hidden="false" customHeight="false" outlineLevel="0" collapsed="false">
      <c r="A217" s="4" t="s">
        <v>1686</v>
      </c>
      <c r="B217" s="6" t="n">
        <v>45657</v>
      </c>
      <c r="C217" s="4" t="s">
        <v>1059</v>
      </c>
      <c r="D217" s="4" t="s">
        <v>410</v>
      </c>
      <c r="E217" s="4" t="s">
        <v>24</v>
      </c>
      <c r="F217" s="4" t="s">
        <v>13</v>
      </c>
      <c r="G217" s="4" t="n">
        <v>16</v>
      </c>
      <c r="H217" s="5" t="n">
        <v>549.69</v>
      </c>
      <c r="I217" s="5" t="n">
        <v>298.89</v>
      </c>
      <c r="J217" s="9" t="n">
        <v>0.02</v>
      </c>
      <c r="K217" s="5" t="n">
        <f aca="false">G217*H217*(1-J217)</f>
        <v>8619.1392</v>
      </c>
      <c r="L217" s="5" t="n">
        <f aca="false">K217-(G217*I217)</f>
        <v>3836.8992</v>
      </c>
    </row>
    <row r="218" customFormat="false" ht="16.4" hidden="false" customHeight="false" outlineLevel="0" collapsed="false">
      <c r="A218" s="4" t="s">
        <v>1687</v>
      </c>
      <c r="B218" s="6" t="n">
        <v>45583</v>
      </c>
      <c r="C218" s="4" t="s">
        <v>1135</v>
      </c>
      <c r="D218" s="4" t="s">
        <v>382</v>
      </c>
      <c r="E218" s="4" t="s">
        <v>12</v>
      </c>
      <c r="F218" s="4" t="s">
        <v>7</v>
      </c>
      <c r="G218" s="4" t="n">
        <v>8</v>
      </c>
      <c r="H218" s="5" t="n">
        <v>363.66</v>
      </c>
      <c r="I218" s="5" t="n">
        <v>264.77</v>
      </c>
      <c r="J218" s="9" t="n">
        <v>0</v>
      </c>
      <c r="K218" s="5" t="n">
        <f aca="false">G218*H218*(1-J218)</f>
        <v>2909.28</v>
      </c>
      <c r="L218" s="5" t="n">
        <f aca="false">K218-(G218*I218)</f>
        <v>791.12</v>
      </c>
    </row>
    <row r="219" customFormat="false" ht="16.4" hidden="false" customHeight="false" outlineLevel="0" collapsed="false">
      <c r="A219" s="4" t="s">
        <v>1688</v>
      </c>
      <c r="B219" s="6" t="n">
        <v>45628</v>
      </c>
      <c r="C219" s="4" t="s">
        <v>789</v>
      </c>
      <c r="D219" s="4" t="s">
        <v>138</v>
      </c>
      <c r="E219" s="4" t="s">
        <v>18</v>
      </c>
      <c r="F219" s="4" t="s">
        <v>19</v>
      </c>
      <c r="G219" s="4" t="n">
        <v>16</v>
      </c>
      <c r="H219" s="5" t="n">
        <v>27.53</v>
      </c>
      <c r="I219" s="5" t="n">
        <v>13.93</v>
      </c>
      <c r="J219" s="9" t="n">
        <v>0.05</v>
      </c>
      <c r="K219" s="5" t="n">
        <f aca="false">G219*H219*(1-J219)</f>
        <v>418.456</v>
      </c>
      <c r="L219" s="5" t="n">
        <f aca="false">K219-(G219*I219)</f>
        <v>195.576</v>
      </c>
    </row>
    <row r="220" customFormat="false" ht="16.4" hidden="false" customHeight="false" outlineLevel="0" collapsed="false">
      <c r="A220" s="4" t="s">
        <v>1689</v>
      </c>
      <c r="B220" s="6" t="n">
        <v>45872</v>
      </c>
      <c r="C220" s="4" t="s">
        <v>1063</v>
      </c>
      <c r="D220" s="4" t="s">
        <v>394</v>
      </c>
      <c r="E220" s="4" t="s">
        <v>30</v>
      </c>
      <c r="F220" s="4" t="s">
        <v>19</v>
      </c>
      <c r="G220" s="4" t="n">
        <v>5</v>
      </c>
      <c r="H220" s="5" t="n">
        <v>964.19</v>
      </c>
      <c r="I220" s="5" t="n">
        <v>611.21</v>
      </c>
      <c r="J220" s="9" t="n">
        <v>0.08</v>
      </c>
      <c r="K220" s="5" t="n">
        <f aca="false">G220*H220*(1-J220)</f>
        <v>4435.274</v>
      </c>
      <c r="L220" s="5" t="n">
        <f aca="false">K220-(G220*I220)</f>
        <v>1379.224</v>
      </c>
    </row>
    <row r="221" customFormat="false" ht="16.4" hidden="false" customHeight="false" outlineLevel="0" collapsed="false">
      <c r="A221" s="4" t="s">
        <v>1690</v>
      </c>
      <c r="B221" s="6" t="n">
        <v>45296</v>
      </c>
      <c r="C221" s="4" t="s">
        <v>1445</v>
      </c>
      <c r="D221" s="4" t="s">
        <v>200</v>
      </c>
      <c r="E221" s="4" t="s">
        <v>12</v>
      </c>
      <c r="F221" s="4" t="s">
        <v>19</v>
      </c>
      <c r="G221" s="4" t="n">
        <v>14</v>
      </c>
      <c r="H221" s="5" t="n">
        <v>800.54</v>
      </c>
      <c r="I221" s="5" t="n">
        <v>407.78</v>
      </c>
      <c r="J221" s="9" t="n">
        <v>0</v>
      </c>
      <c r="K221" s="5" t="n">
        <f aca="false">G221*H221*(1-J221)</f>
        <v>11207.56</v>
      </c>
      <c r="L221" s="5" t="n">
        <f aca="false">K221-(G221*I221)</f>
        <v>5498.64</v>
      </c>
    </row>
    <row r="222" customFormat="false" ht="16.4" hidden="false" customHeight="false" outlineLevel="0" collapsed="false">
      <c r="A222" s="4" t="s">
        <v>1691</v>
      </c>
      <c r="B222" s="6" t="n">
        <v>46049</v>
      </c>
      <c r="C222" s="4" t="s">
        <v>1269</v>
      </c>
      <c r="D222" s="4" t="s">
        <v>166</v>
      </c>
      <c r="E222" s="4" t="s">
        <v>12</v>
      </c>
      <c r="F222" s="4" t="s">
        <v>25</v>
      </c>
      <c r="G222" s="4" t="n">
        <v>8</v>
      </c>
      <c r="H222" s="5" t="n">
        <v>376.77</v>
      </c>
      <c r="I222" s="5" t="n">
        <v>231.85</v>
      </c>
      <c r="J222" s="9" t="n">
        <v>0.1</v>
      </c>
      <c r="K222" s="5" t="n">
        <f aca="false">G222*H222*(1-J222)</f>
        <v>2712.744</v>
      </c>
      <c r="L222" s="5" t="n">
        <f aca="false">K222-(G222*I222)</f>
        <v>857.944</v>
      </c>
    </row>
    <row r="223" customFormat="false" ht="16.4" hidden="false" customHeight="false" outlineLevel="0" collapsed="false">
      <c r="A223" s="4" t="s">
        <v>1692</v>
      </c>
      <c r="B223" s="6" t="n">
        <v>45987</v>
      </c>
      <c r="C223" s="4" t="s">
        <v>1325</v>
      </c>
      <c r="D223" s="4" t="s">
        <v>180</v>
      </c>
      <c r="E223" s="4" t="s">
        <v>6</v>
      </c>
      <c r="F223" s="4" t="s">
        <v>19</v>
      </c>
      <c r="G223" s="4" t="n">
        <v>12</v>
      </c>
      <c r="H223" s="5" t="n">
        <v>1135.43</v>
      </c>
      <c r="I223" s="5" t="n">
        <v>711.24</v>
      </c>
      <c r="J223" s="9" t="n">
        <v>0</v>
      </c>
      <c r="K223" s="5" t="n">
        <f aca="false">G223*H223*(1-J223)</f>
        <v>13625.16</v>
      </c>
      <c r="L223" s="5" t="n">
        <f aca="false">K223-(G223*I223)</f>
        <v>5090.28</v>
      </c>
    </row>
    <row r="224" customFormat="false" ht="16.4" hidden="false" customHeight="false" outlineLevel="0" collapsed="false">
      <c r="A224" s="4" t="s">
        <v>1693</v>
      </c>
      <c r="B224" s="6" t="n">
        <v>46085</v>
      </c>
      <c r="C224" s="4" t="s">
        <v>937</v>
      </c>
      <c r="D224" s="4" t="s">
        <v>284</v>
      </c>
      <c r="E224" s="4" t="s">
        <v>6</v>
      </c>
      <c r="F224" s="4" t="s">
        <v>19</v>
      </c>
      <c r="G224" s="4" t="n">
        <v>15</v>
      </c>
      <c r="H224" s="5" t="n">
        <v>581.43</v>
      </c>
      <c r="I224" s="5" t="n">
        <v>230.1</v>
      </c>
      <c r="J224" s="9" t="n">
        <v>0.02</v>
      </c>
      <c r="K224" s="5" t="n">
        <f aca="false">G224*H224*(1-J224)</f>
        <v>8547.021</v>
      </c>
      <c r="L224" s="5" t="n">
        <f aca="false">K224-(G224*I224)</f>
        <v>5095.521</v>
      </c>
    </row>
    <row r="225" customFormat="false" ht="16.4" hidden="false" customHeight="false" outlineLevel="0" collapsed="false">
      <c r="A225" s="4" t="s">
        <v>1694</v>
      </c>
      <c r="B225" s="6" t="n">
        <v>45953</v>
      </c>
      <c r="C225" s="4" t="s">
        <v>1029</v>
      </c>
      <c r="D225" s="4" t="s">
        <v>288</v>
      </c>
      <c r="E225" s="4" t="s">
        <v>6</v>
      </c>
      <c r="F225" s="4" t="s">
        <v>7</v>
      </c>
      <c r="G225" s="4" t="n">
        <v>4</v>
      </c>
      <c r="H225" s="5" t="n">
        <v>1158.55</v>
      </c>
      <c r="I225" s="5" t="n">
        <v>455.59</v>
      </c>
      <c r="J225" s="9" t="n">
        <v>0</v>
      </c>
      <c r="K225" s="5" t="n">
        <f aca="false">G225*H225*(1-J225)</f>
        <v>4634.2</v>
      </c>
      <c r="L225" s="5" t="n">
        <f aca="false">K225-(G225*I225)</f>
        <v>2811.84</v>
      </c>
    </row>
    <row r="226" customFormat="false" ht="16.4" hidden="false" customHeight="false" outlineLevel="0" collapsed="false">
      <c r="A226" s="4" t="s">
        <v>1695</v>
      </c>
      <c r="B226" s="6" t="n">
        <v>45493</v>
      </c>
      <c r="C226" s="4" t="s">
        <v>1343</v>
      </c>
      <c r="D226" s="4" t="s">
        <v>182</v>
      </c>
      <c r="E226" s="4" t="s">
        <v>6</v>
      </c>
      <c r="F226" s="4" t="s">
        <v>19</v>
      </c>
      <c r="G226" s="4" t="n">
        <v>5</v>
      </c>
      <c r="H226" s="5" t="n">
        <v>709.45</v>
      </c>
      <c r="I226" s="5" t="n">
        <v>290.33</v>
      </c>
      <c r="J226" s="9" t="n">
        <v>0.08</v>
      </c>
      <c r="K226" s="5" t="n">
        <f aca="false">G226*H226*(1-J226)</f>
        <v>3263.47</v>
      </c>
      <c r="L226" s="5" t="n">
        <f aca="false">K226-(G226*I226)</f>
        <v>1811.82</v>
      </c>
    </row>
    <row r="227" customFormat="false" ht="16.4" hidden="false" customHeight="false" outlineLevel="0" collapsed="false">
      <c r="A227" s="4" t="s">
        <v>1696</v>
      </c>
      <c r="B227" s="6" t="n">
        <v>46036</v>
      </c>
      <c r="C227" s="4" t="s">
        <v>1371</v>
      </c>
      <c r="D227" s="4" t="s">
        <v>414</v>
      </c>
      <c r="E227" s="4" t="s">
        <v>6</v>
      </c>
      <c r="F227" s="4" t="s">
        <v>7</v>
      </c>
      <c r="G227" s="4" t="n">
        <v>21</v>
      </c>
      <c r="H227" s="5" t="n">
        <v>474.99</v>
      </c>
      <c r="I227" s="5" t="n">
        <v>328.89</v>
      </c>
      <c r="J227" s="9" t="n">
        <v>0</v>
      </c>
      <c r="K227" s="5" t="n">
        <f aca="false">G227*H227*(1-J227)</f>
        <v>9974.79</v>
      </c>
      <c r="L227" s="5" t="n">
        <f aca="false">K227-(G227*I227)</f>
        <v>3068.1</v>
      </c>
    </row>
    <row r="228" customFormat="false" ht="16.4" hidden="false" customHeight="false" outlineLevel="0" collapsed="false">
      <c r="A228" s="4" t="s">
        <v>1697</v>
      </c>
      <c r="B228" s="6" t="n">
        <v>45323</v>
      </c>
      <c r="C228" s="4" t="s">
        <v>1333</v>
      </c>
      <c r="D228" s="4" t="s">
        <v>48</v>
      </c>
      <c r="E228" s="4" t="s">
        <v>6</v>
      </c>
      <c r="F228" s="4" t="s">
        <v>25</v>
      </c>
      <c r="G228" s="4" t="n">
        <v>17</v>
      </c>
      <c r="H228" s="5" t="n">
        <v>552.82</v>
      </c>
      <c r="I228" s="5" t="n">
        <v>255</v>
      </c>
      <c r="J228" s="9" t="n">
        <v>0.1</v>
      </c>
      <c r="K228" s="5" t="n">
        <f aca="false">G228*H228*(1-J228)</f>
        <v>8458.146</v>
      </c>
      <c r="L228" s="5" t="n">
        <f aca="false">K228-(G228*I228)</f>
        <v>4123.146</v>
      </c>
    </row>
    <row r="229" customFormat="false" ht="16.4" hidden="false" customHeight="false" outlineLevel="0" collapsed="false">
      <c r="A229" s="4" t="s">
        <v>1698</v>
      </c>
      <c r="B229" s="6" t="n">
        <v>45856</v>
      </c>
      <c r="C229" s="4" t="s">
        <v>1069</v>
      </c>
      <c r="D229" s="4" t="s">
        <v>432</v>
      </c>
      <c r="E229" s="4" t="s">
        <v>12</v>
      </c>
      <c r="F229" s="4" t="s">
        <v>19</v>
      </c>
      <c r="G229" s="4" t="n">
        <v>7</v>
      </c>
      <c r="H229" s="5" t="n">
        <v>105.39</v>
      </c>
      <c r="I229" s="5" t="n">
        <v>63.49</v>
      </c>
      <c r="J229" s="9" t="n">
        <v>0</v>
      </c>
      <c r="K229" s="5" t="n">
        <f aca="false">G229*H229*(1-J229)</f>
        <v>737.73</v>
      </c>
      <c r="L229" s="5" t="n">
        <f aca="false">K229-(G229*I229)</f>
        <v>293.3</v>
      </c>
    </row>
    <row r="230" customFormat="false" ht="16.4" hidden="false" customHeight="false" outlineLevel="0" collapsed="false">
      <c r="A230" s="4" t="s">
        <v>1699</v>
      </c>
      <c r="B230" s="6" t="n">
        <v>45961</v>
      </c>
      <c r="C230" s="4" t="s">
        <v>1379</v>
      </c>
      <c r="D230" s="4" t="s">
        <v>318</v>
      </c>
      <c r="E230" s="4" t="s">
        <v>6</v>
      </c>
      <c r="F230" s="4" t="s">
        <v>13</v>
      </c>
      <c r="G230" s="4" t="n">
        <v>18</v>
      </c>
      <c r="H230" s="5" t="n">
        <v>677.33</v>
      </c>
      <c r="I230" s="5" t="n">
        <v>302.18</v>
      </c>
      <c r="J230" s="9" t="n">
        <v>0.05</v>
      </c>
      <c r="K230" s="5" t="n">
        <f aca="false">G230*H230*(1-J230)</f>
        <v>11582.343</v>
      </c>
      <c r="L230" s="5" t="n">
        <f aca="false">K230-(G230*I230)</f>
        <v>6143.103</v>
      </c>
    </row>
    <row r="231" customFormat="false" ht="16.4" hidden="false" customHeight="false" outlineLevel="0" collapsed="false">
      <c r="A231" s="4" t="s">
        <v>1700</v>
      </c>
      <c r="B231" s="6" t="n">
        <v>45895</v>
      </c>
      <c r="C231" s="4" t="s">
        <v>865</v>
      </c>
      <c r="D231" s="4" t="s">
        <v>226</v>
      </c>
      <c r="E231" s="4" t="s">
        <v>30</v>
      </c>
      <c r="F231" s="4" t="s">
        <v>19</v>
      </c>
      <c r="G231" s="4" t="n">
        <v>8</v>
      </c>
      <c r="H231" s="5" t="n">
        <v>799.15</v>
      </c>
      <c r="I231" s="5" t="n">
        <v>370.42</v>
      </c>
      <c r="J231" s="9" t="n">
        <v>0.15</v>
      </c>
      <c r="K231" s="5" t="n">
        <f aca="false">G231*H231*(1-J231)</f>
        <v>5434.22</v>
      </c>
      <c r="L231" s="5" t="n">
        <f aca="false">K231-(G231*I231)</f>
        <v>2470.86</v>
      </c>
    </row>
    <row r="232" customFormat="false" ht="16.4" hidden="false" customHeight="false" outlineLevel="0" collapsed="false">
      <c r="A232" s="4" t="s">
        <v>1701</v>
      </c>
      <c r="B232" s="6" t="n">
        <v>45384</v>
      </c>
      <c r="C232" s="4" t="s">
        <v>939</v>
      </c>
      <c r="D232" s="4" t="s">
        <v>108</v>
      </c>
      <c r="E232" s="4" t="s">
        <v>12</v>
      </c>
      <c r="F232" s="4" t="s">
        <v>25</v>
      </c>
      <c r="G232" s="4" t="n">
        <v>17</v>
      </c>
      <c r="H232" s="5" t="n">
        <v>493.82</v>
      </c>
      <c r="I232" s="5" t="n">
        <v>305.51</v>
      </c>
      <c r="J232" s="9" t="n">
        <v>0.08</v>
      </c>
      <c r="K232" s="5" t="n">
        <f aca="false">G232*H232*(1-J232)</f>
        <v>7723.3448</v>
      </c>
      <c r="L232" s="5" t="n">
        <f aca="false">K232-(G232*I232)</f>
        <v>2529.6748</v>
      </c>
    </row>
    <row r="233" customFormat="false" ht="16.4" hidden="false" customHeight="false" outlineLevel="0" collapsed="false">
      <c r="A233" s="4" t="s">
        <v>1702</v>
      </c>
      <c r="B233" s="6" t="n">
        <v>45536</v>
      </c>
      <c r="C233" s="4" t="s">
        <v>979</v>
      </c>
      <c r="D233" s="4" t="s">
        <v>226</v>
      </c>
      <c r="E233" s="4" t="s">
        <v>24</v>
      </c>
      <c r="F233" s="4" t="s">
        <v>13</v>
      </c>
      <c r="G233" s="4" t="n">
        <v>1</v>
      </c>
      <c r="H233" s="5" t="n">
        <v>799.15</v>
      </c>
      <c r="I233" s="5" t="n">
        <v>370.42</v>
      </c>
      <c r="J233" s="9" t="n">
        <v>0.1</v>
      </c>
      <c r="K233" s="5" t="n">
        <f aca="false">G233*H233*(1-J233)</f>
        <v>719.235</v>
      </c>
      <c r="L233" s="5" t="n">
        <f aca="false">K233-(G233*I233)</f>
        <v>348.815</v>
      </c>
    </row>
    <row r="234" customFormat="false" ht="16.4" hidden="false" customHeight="false" outlineLevel="0" collapsed="false">
      <c r="A234" s="4" t="s">
        <v>1703</v>
      </c>
      <c r="B234" s="6" t="n">
        <v>45455</v>
      </c>
      <c r="C234" s="4" t="s">
        <v>991</v>
      </c>
      <c r="D234" s="4" t="s">
        <v>426</v>
      </c>
      <c r="E234" s="4" t="s">
        <v>12</v>
      </c>
      <c r="F234" s="4" t="s">
        <v>13</v>
      </c>
      <c r="G234" s="4" t="n">
        <v>5</v>
      </c>
      <c r="H234" s="5" t="n">
        <v>576.65</v>
      </c>
      <c r="I234" s="5" t="n">
        <v>425.38</v>
      </c>
      <c r="J234" s="9" t="n">
        <v>0.05</v>
      </c>
      <c r="K234" s="5" t="n">
        <f aca="false">G234*H234*(1-J234)</f>
        <v>2739.0875</v>
      </c>
      <c r="L234" s="5" t="n">
        <f aca="false">K234-(G234*I234)</f>
        <v>612.1875</v>
      </c>
    </row>
    <row r="235" customFormat="false" ht="16.4" hidden="false" customHeight="false" outlineLevel="0" collapsed="false">
      <c r="A235" s="4" t="s">
        <v>1704</v>
      </c>
      <c r="B235" s="6" t="n">
        <v>46185</v>
      </c>
      <c r="C235" s="4" t="s">
        <v>1435</v>
      </c>
      <c r="D235" s="4" t="s">
        <v>328</v>
      </c>
      <c r="E235" s="4" t="s">
        <v>6</v>
      </c>
      <c r="F235" s="4" t="s">
        <v>13</v>
      </c>
      <c r="G235" s="4" t="n">
        <v>19</v>
      </c>
      <c r="H235" s="5" t="n">
        <v>165.48</v>
      </c>
      <c r="I235" s="5" t="n">
        <v>93.39</v>
      </c>
      <c r="J235" s="9" t="n">
        <v>0.1</v>
      </c>
      <c r="K235" s="5" t="n">
        <f aca="false">G235*H235*(1-J235)</f>
        <v>2829.708</v>
      </c>
      <c r="L235" s="5" t="n">
        <f aca="false">K235-(G235*I235)</f>
        <v>1055.298</v>
      </c>
    </row>
    <row r="236" customFormat="false" ht="16.4" hidden="false" customHeight="false" outlineLevel="0" collapsed="false">
      <c r="A236" s="4" t="s">
        <v>1705</v>
      </c>
      <c r="B236" s="6" t="n">
        <v>45333</v>
      </c>
      <c r="C236" s="4" t="s">
        <v>1213</v>
      </c>
      <c r="D236" s="4" t="s">
        <v>416</v>
      </c>
      <c r="E236" s="4" t="s">
        <v>12</v>
      </c>
      <c r="F236" s="4" t="s">
        <v>13</v>
      </c>
      <c r="G236" s="4" t="n">
        <v>16</v>
      </c>
      <c r="H236" s="5" t="n">
        <v>900.03</v>
      </c>
      <c r="I236" s="5" t="n">
        <v>568.9</v>
      </c>
      <c r="J236" s="9" t="n">
        <v>0.02</v>
      </c>
      <c r="K236" s="5" t="n">
        <f aca="false">G236*H236*(1-J236)</f>
        <v>14112.4704</v>
      </c>
      <c r="L236" s="5" t="n">
        <f aca="false">K236-(G236*I236)</f>
        <v>5010.0704</v>
      </c>
    </row>
    <row r="237" customFormat="false" ht="16.4" hidden="false" customHeight="false" outlineLevel="0" collapsed="false">
      <c r="A237" s="4" t="s">
        <v>1706</v>
      </c>
      <c r="B237" s="6" t="n">
        <v>45562</v>
      </c>
      <c r="C237" s="4" t="s">
        <v>963</v>
      </c>
      <c r="D237" s="4" t="s">
        <v>428</v>
      </c>
      <c r="E237" s="4" t="s">
        <v>30</v>
      </c>
      <c r="F237" s="4" t="s">
        <v>19</v>
      </c>
      <c r="G237" s="4" t="n">
        <v>8</v>
      </c>
      <c r="H237" s="5" t="n">
        <v>1025.82</v>
      </c>
      <c r="I237" s="5" t="n">
        <v>708.78</v>
      </c>
      <c r="J237" s="9" t="n">
        <v>0</v>
      </c>
      <c r="K237" s="5" t="n">
        <f aca="false">G237*H237*(1-J237)</f>
        <v>8206.56</v>
      </c>
      <c r="L237" s="5" t="n">
        <f aca="false">K237-(G237*I237)</f>
        <v>2536.32</v>
      </c>
    </row>
    <row r="238" customFormat="false" ht="16.4" hidden="false" customHeight="false" outlineLevel="0" collapsed="false">
      <c r="A238" s="4" t="s">
        <v>1707</v>
      </c>
      <c r="B238" s="6" t="n">
        <v>45822</v>
      </c>
      <c r="C238" s="4" t="s">
        <v>504</v>
      </c>
      <c r="D238" s="4" t="s">
        <v>158</v>
      </c>
      <c r="E238" s="4" t="s">
        <v>18</v>
      </c>
      <c r="F238" s="4" t="s">
        <v>19</v>
      </c>
      <c r="G238" s="4" t="n">
        <v>22</v>
      </c>
      <c r="H238" s="5" t="n">
        <v>563.49</v>
      </c>
      <c r="I238" s="5" t="n">
        <v>422.27</v>
      </c>
      <c r="J238" s="9" t="n">
        <v>0</v>
      </c>
      <c r="K238" s="5" t="n">
        <f aca="false">G238*H238*(1-J238)</f>
        <v>12396.78</v>
      </c>
      <c r="L238" s="5" t="n">
        <f aca="false">K238-(G238*I238)</f>
        <v>3106.84</v>
      </c>
    </row>
    <row r="239" customFormat="false" ht="16.4" hidden="false" customHeight="false" outlineLevel="0" collapsed="false">
      <c r="A239" s="4" t="s">
        <v>1708</v>
      </c>
      <c r="B239" s="6" t="n">
        <v>45332</v>
      </c>
      <c r="C239" s="4" t="s">
        <v>945</v>
      </c>
      <c r="D239" s="4" t="s">
        <v>238</v>
      </c>
      <c r="E239" s="4" t="s">
        <v>6</v>
      </c>
      <c r="F239" s="4" t="s">
        <v>19</v>
      </c>
      <c r="G239" s="4" t="n">
        <v>15</v>
      </c>
      <c r="H239" s="5" t="n">
        <v>282.14</v>
      </c>
      <c r="I239" s="5" t="n">
        <v>189.5</v>
      </c>
      <c r="J239" s="9" t="n">
        <v>0</v>
      </c>
      <c r="K239" s="5" t="n">
        <f aca="false">G239*H239*(1-J239)</f>
        <v>4232.1</v>
      </c>
      <c r="L239" s="5" t="n">
        <f aca="false">K239-(G239*I239)</f>
        <v>1389.6</v>
      </c>
    </row>
    <row r="240" customFormat="false" ht="16.4" hidden="false" customHeight="false" outlineLevel="0" collapsed="false">
      <c r="A240" s="4" t="s">
        <v>1709</v>
      </c>
      <c r="B240" s="6" t="n">
        <v>46141</v>
      </c>
      <c r="C240" s="4" t="s">
        <v>1185</v>
      </c>
      <c r="D240" s="4" t="s">
        <v>92</v>
      </c>
      <c r="E240" s="4" t="s">
        <v>6</v>
      </c>
      <c r="F240" s="4" t="s">
        <v>19</v>
      </c>
      <c r="G240" s="4" t="n">
        <v>17</v>
      </c>
      <c r="H240" s="5" t="n">
        <v>920.31</v>
      </c>
      <c r="I240" s="5" t="n">
        <v>509</v>
      </c>
      <c r="J240" s="9" t="n">
        <v>0.1</v>
      </c>
      <c r="K240" s="5" t="n">
        <f aca="false">G240*H240*(1-J240)</f>
        <v>14080.743</v>
      </c>
      <c r="L240" s="5" t="n">
        <f aca="false">K240-(G240*I240)</f>
        <v>5427.743</v>
      </c>
    </row>
    <row r="241" customFormat="false" ht="16.4" hidden="false" customHeight="false" outlineLevel="0" collapsed="false">
      <c r="A241" s="4" t="s">
        <v>1710</v>
      </c>
      <c r="B241" s="6" t="n">
        <v>45875</v>
      </c>
      <c r="C241" s="4" t="s">
        <v>733</v>
      </c>
      <c r="D241" s="4" t="s">
        <v>418</v>
      </c>
      <c r="E241" s="4" t="s">
        <v>6</v>
      </c>
      <c r="F241" s="4" t="s">
        <v>13</v>
      </c>
      <c r="G241" s="4" t="n">
        <v>19</v>
      </c>
      <c r="H241" s="5" t="n">
        <v>1186.39</v>
      </c>
      <c r="I241" s="5" t="n">
        <v>791.27</v>
      </c>
      <c r="J241" s="9" t="n">
        <v>0.08</v>
      </c>
      <c r="K241" s="5" t="n">
        <f aca="false">G241*H241*(1-J241)</f>
        <v>20738.0972</v>
      </c>
      <c r="L241" s="5" t="n">
        <f aca="false">K241-(G241*I241)</f>
        <v>5703.96720000001</v>
      </c>
    </row>
    <row r="242" customFormat="false" ht="16.4" hidden="false" customHeight="false" outlineLevel="0" collapsed="false">
      <c r="A242" s="4" t="s">
        <v>1711</v>
      </c>
      <c r="B242" s="6" t="n">
        <v>45893</v>
      </c>
      <c r="C242" s="4" t="s">
        <v>1133</v>
      </c>
      <c r="D242" s="4" t="s">
        <v>232</v>
      </c>
      <c r="E242" s="4" t="s">
        <v>30</v>
      </c>
      <c r="F242" s="4" t="s">
        <v>7</v>
      </c>
      <c r="G242" s="4" t="n">
        <v>13</v>
      </c>
      <c r="H242" s="5" t="n">
        <v>743.25</v>
      </c>
      <c r="I242" s="5" t="n">
        <v>488.61</v>
      </c>
      <c r="J242" s="9" t="n">
        <v>0.02</v>
      </c>
      <c r="K242" s="5" t="n">
        <f aca="false">G242*H242*(1-J242)</f>
        <v>9469.005</v>
      </c>
      <c r="L242" s="5" t="n">
        <f aca="false">K242-(G242*I242)</f>
        <v>3117.075</v>
      </c>
    </row>
    <row r="243" customFormat="false" ht="16.4" hidden="false" customHeight="false" outlineLevel="0" collapsed="false">
      <c r="A243" s="4" t="s">
        <v>1712</v>
      </c>
      <c r="B243" s="6" t="n">
        <v>45820</v>
      </c>
      <c r="C243" s="4" t="s">
        <v>721</v>
      </c>
      <c r="D243" s="4" t="s">
        <v>304</v>
      </c>
      <c r="E243" s="4" t="s">
        <v>24</v>
      </c>
      <c r="F243" s="4" t="s">
        <v>25</v>
      </c>
      <c r="G243" s="4" t="n">
        <v>13</v>
      </c>
      <c r="H243" s="5" t="n">
        <v>974.63</v>
      </c>
      <c r="I243" s="5" t="n">
        <v>550.93</v>
      </c>
      <c r="J243" s="9" t="n">
        <v>0</v>
      </c>
      <c r="K243" s="5" t="n">
        <f aca="false">G243*H243*(1-J243)</f>
        <v>12670.19</v>
      </c>
      <c r="L243" s="5" t="n">
        <f aca="false">K243-(G243*I243)</f>
        <v>5508.1</v>
      </c>
    </row>
    <row r="244" customFormat="false" ht="16.4" hidden="false" customHeight="false" outlineLevel="0" collapsed="false">
      <c r="A244" s="4" t="s">
        <v>1713</v>
      </c>
      <c r="B244" s="6" t="n">
        <v>46103</v>
      </c>
      <c r="C244" s="4" t="s">
        <v>1301</v>
      </c>
      <c r="D244" s="4" t="s">
        <v>220</v>
      </c>
      <c r="E244" s="4" t="s">
        <v>18</v>
      </c>
      <c r="F244" s="4" t="s">
        <v>25</v>
      </c>
      <c r="G244" s="4" t="n">
        <v>12</v>
      </c>
      <c r="H244" s="5" t="n">
        <v>693.7</v>
      </c>
      <c r="I244" s="5" t="n">
        <v>355.47</v>
      </c>
      <c r="J244" s="9" t="n">
        <v>0.05</v>
      </c>
      <c r="K244" s="5" t="n">
        <f aca="false">G244*H244*(1-J244)</f>
        <v>7908.18</v>
      </c>
      <c r="L244" s="5" t="n">
        <f aca="false">K244-(G244*I244)</f>
        <v>3642.54</v>
      </c>
    </row>
    <row r="245" customFormat="false" ht="16.4" hidden="false" customHeight="false" outlineLevel="0" collapsed="false">
      <c r="A245" s="4" t="s">
        <v>1714</v>
      </c>
      <c r="B245" s="6" t="n">
        <v>45742</v>
      </c>
      <c r="C245" s="4" t="s">
        <v>456</v>
      </c>
      <c r="D245" s="4" t="s">
        <v>348</v>
      </c>
      <c r="E245" s="4" t="s">
        <v>12</v>
      </c>
      <c r="F245" s="4" t="s">
        <v>13</v>
      </c>
      <c r="G245" s="4" t="n">
        <v>17</v>
      </c>
      <c r="H245" s="5" t="n">
        <v>471.94</v>
      </c>
      <c r="I245" s="5" t="n">
        <v>336.68</v>
      </c>
      <c r="J245" s="9" t="n">
        <v>0</v>
      </c>
      <c r="K245" s="5" t="n">
        <f aca="false">G245*H245*(1-J245)</f>
        <v>8022.98</v>
      </c>
      <c r="L245" s="5" t="n">
        <f aca="false">K245-(G245*I245)</f>
        <v>2299.42</v>
      </c>
    </row>
    <row r="246" customFormat="false" ht="16.4" hidden="false" customHeight="false" outlineLevel="0" collapsed="false">
      <c r="A246" s="4" t="s">
        <v>1715</v>
      </c>
      <c r="B246" s="6" t="n">
        <v>45579</v>
      </c>
      <c r="C246" s="4" t="s">
        <v>541</v>
      </c>
      <c r="D246" s="4" t="s">
        <v>156</v>
      </c>
      <c r="E246" s="4" t="s">
        <v>12</v>
      </c>
      <c r="F246" s="4" t="s">
        <v>13</v>
      </c>
      <c r="G246" s="4" t="n">
        <v>17</v>
      </c>
      <c r="H246" s="5" t="n">
        <v>814.24</v>
      </c>
      <c r="I246" s="5" t="n">
        <v>382.69</v>
      </c>
      <c r="J246" s="9" t="n">
        <v>0.1</v>
      </c>
      <c r="K246" s="5" t="n">
        <f aca="false">G246*H246*(1-J246)</f>
        <v>12457.872</v>
      </c>
      <c r="L246" s="5" t="n">
        <f aca="false">K246-(G246*I246)</f>
        <v>5952.142</v>
      </c>
    </row>
    <row r="247" customFormat="false" ht="16.4" hidden="false" customHeight="false" outlineLevel="0" collapsed="false">
      <c r="A247" s="4" t="s">
        <v>1716</v>
      </c>
      <c r="B247" s="6" t="n">
        <v>45908</v>
      </c>
      <c r="C247" s="4" t="s">
        <v>655</v>
      </c>
      <c r="D247" s="4" t="s">
        <v>116</v>
      </c>
      <c r="E247" s="4" t="s">
        <v>12</v>
      </c>
      <c r="F247" s="4" t="s">
        <v>7</v>
      </c>
      <c r="G247" s="4" t="n">
        <v>6</v>
      </c>
      <c r="H247" s="5" t="n">
        <v>108.26</v>
      </c>
      <c r="I247" s="5" t="n">
        <v>48.2</v>
      </c>
      <c r="J247" s="9" t="n">
        <v>0.02</v>
      </c>
      <c r="K247" s="5" t="n">
        <f aca="false">G247*H247*(1-J247)</f>
        <v>636.5688</v>
      </c>
      <c r="L247" s="5" t="n">
        <f aca="false">K247-(G247*I247)</f>
        <v>347.3688</v>
      </c>
    </row>
    <row r="248" customFormat="false" ht="16.4" hidden="false" customHeight="false" outlineLevel="0" collapsed="false">
      <c r="A248" s="4" t="s">
        <v>1717</v>
      </c>
      <c r="B248" s="6" t="n">
        <v>45630</v>
      </c>
      <c r="C248" s="4" t="s">
        <v>699</v>
      </c>
      <c r="D248" s="4" t="s">
        <v>378</v>
      </c>
      <c r="E248" s="4" t="s">
        <v>6</v>
      </c>
      <c r="F248" s="4" t="s">
        <v>7</v>
      </c>
      <c r="G248" s="4" t="n">
        <v>14</v>
      </c>
      <c r="H248" s="5" t="n">
        <v>1163.64</v>
      </c>
      <c r="I248" s="5" t="n">
        <v>626.04</v>
      </c>
      <c r="J248" s="9" t="n">
        <v>0.15</v>
      </c>
      <c r="K248" s="5" t="n">
        <f aca="false">G248*H248*(1-J248)</f>
        <v>13847.316</v>
      </c>
      <c r="L248" s="5" t="n">
        <f aca="false">K248-(G248*I248)</f>
        <v>5082.756</v>
      </c>
    </row>
    <row r="249" customFormat="false" ht="16.4" hidden="false" customHeight="false" outlineLevel="0" collapsed="false">
      <c r="A249" s="4" t="s">
        <v>1718</v>
      </c>
      <c r="B249" s="6" t="n">
        <v>45507</v>
      </c>
      <c r="C249" s="4" t="s">
        <v>1155</v>
      </c>
      <c r="D249" s="4" t="s">
        <v>286</v>
      </c>
      <c r="E249" s="4" t="s">
        <v>30</v>
      </c>
      <c r="F249" s="4" t="s">
        <v>13</v>
      </c>
      <c r="G249" s="4" t="n">
        <v>16</v>
      </c>
      <c r="H249" s="5" t="n">
        <v>926.11</v>
      </c>
      <c r="I249" s="5" t="n">
        <v>386.29</v>
      </c>
      <c r="J249" s="9" t="n">
        <v>0.05</v>
      </c>
      <c r="K249" s="5" t="n">
        <f aca="false">G249*H249*(1-J249)</f>
        <v>14076.872</v>
      </c>
      <c r="L249" s="5" t="n">
        <f aca="false">K249-(G249*I249)</f>
        <v>7896.232</v>
      </c>
    </row>
    <row r="250" customFormat="false" ht="16.4" hidden="false" customHeight="false" outlineLevel="0" collapsed="false">
      <c r="A250" s="4" t="s">
        <v>1719</v>
      </c>
      <c r="B250" s="6" t="n">
        <v>45541</v>
      </c>
      <c r="C250" s="4" t="s">
        <v>1317</v>
      </c>
      <c r="D250" s="4" t="s">
        <v>370</v>
      </c>
      <c r="E250" s="4" t="s">
        <v>6</v>
      </c>
      <c r="F250" s="4" t="s">
        <v>7</v>
      </c>
      <c r="G250" s="4" t="n">
        <v>14</v>
      </c>
      <c r="H250" s="5" t="n">
        <v>888.08</v>
      </c>
      <c r="I250" s="5" t="n">
        <v>525.29</v>
      </c>
      <c r="J250" s="9" t="n">
        <v>0</v>
      </c>
      <c r="K250" s="5" t="n">
        <f aca="false">G250*H250*(1-J250)</f>
        <v>12433.12</v>
      </c>
      <c r="L250" s="5" t="n">
        <f aca="false">K250-(G250*I250)</f>
        <v>5079.06</v>
      </c>
    </row>
    <row r="251" customFormat="false" ht="16.4" hidden="false" customHeight="false" outlineLevel="0" collapsed="false">
      <c r="A251" s="4" t="s">
        <v>1720</v>
      </c>
      <c r="B251" s="6" t="n">
        <v>45429</v>
      </c>
      <c r="C251" s="4" t="s">
        <v>1051</v>
      </c>
      <c r="D251" s="4" t="s">
        <v>104</v>
      </c>
      <c r="E251" s="4" t="s">
        <v>12</v>
      </c>
      <c r="F251" s="4" t="s">
        <v>7</v>
      </c>
      <c r="G251" s="4" t="n">
        <v>19</v>
      </c>
      <c r="H251" s="5" t="n">
        <v>800.21</v>
      </c>
      <c r="I251" s="5" t="n">
        <v>583.14</v>
      </c>
      <c r="J251" s="9" t="n">
        <v>0</v>
      </c>
      <c r="K251" s="5" t="n">
        <f aca="false">G251*H251*(1-J251)</f>
        <v>15203.99</v>
      </c>
      <c r="L251" s="5" t="n">
        <f aca="false">K251-(G251*I251)</f>
        <v>4124.33</v>
      </c>
    </row>
    <row r="252" customFormat="false" ht="16.4" hidden="false" customHeight="false" outlineLevel="0" collapsed="false">
      <c r="A252" s="4" t="s">
        <v>1721</v>
      </c>
      <c r="B252" s="6" t="n">
        <v>45556</v>
      </c>
      <c r="C252" s="4" t="s">
        <v>615</v>
      </c>
      <c r="D252" s="4" t="s">
        <v>332</v>
      </c>
      <c r="E252" s="4" t="s">
        <v>24</v>
      </c>
      <c r="F252" s="4" t="s">
        <v>13</v>
      </c>
      <c r="G252" s="4" t="n">
        <v>2</v>
      </c>
      <c r="H252" s="5" t="n">
        <v>1003.34</v>
      </c>
      <c r="I252" s="5" t="n">
        <v>470.06</v>
      </c>
      <c r="J252" s="9" t="n">
        <v>0</v>
      </c>
      <c r="K252" s="5" t="n">
        <f aca="false">G252*H252*(1-J252)</f>
        <v>2006.68</v>
      </c>
      <c r="L252" s="5" t="n">
        <f aca="false">K252-(G252*I252)</f>
        <v>1066.56</v>
      </c>
    </row>
    <row r="253" customFormat="false" ht="16.4" hidden="false" customHeight="false" outlineLevel="0" collapsed="false">
      <c r="A253" s="4" t="s">
        <v>1722</v>
      </c>
      <c r="B253" s="6" t="n">
        <v>45869</v>
      </c>
      <c r="C253" s="4" t="s">
        <v>1445</v>
      </c>
      <c r="D253" s="4" t="s">
        <v>304</v>
      </c>
      <c r="E253" s="4" t="s">
        <v>12</v>
      </c>
      <c r="F253" s="4" t="s">
        <v>7</v>
      </c>
      <c r="G253" s="4" t="n">
        <v>13</v>
      </c>
      <c r="H253" s="5" t="n">
        <v>974.63</v>
      </c>
      <c r="I253" s="5" t="n">
        <v>550.93</v>
      </c>
      <c r="J253" s="9" t="n">
        <v>0.08</v>
      </c>
      <c r="K253" s="5" t="n">
        <f aca="false">G253*H253*(1-J253)</f>
        <v>11656.5748</v>
      </c>
      <c r="L253" s="5" t="n">
        <f aca="false">K253-(G253*I253)</f>
        <v>4494.4848</v>
      </c>
    </row>
    <row r="254" customFormat="false" ht="16.4" hidden="false" customHeight="false" outlineLevel="0" collapsed="false">
      <c r="A254" s="4" t="s">
        <v>1723</v>
      </c>
      <c r="B254" s="6" t="n">
        <v>45582</v>
      </c>
      <c r="C254" s="4" t="s">
        <v>1209</v>
      </c>
      <c r="D254" s="4" t="s">
        <v>408</v>
      </c>
      <c r="E254" s="4" t="s">
        <v>30</v>
      </c>
      <c r="F254" s="4" t="s">
        <v>7</v>
      </c>
      <c r="G254" s="4" t="n">
        <v>22</v>
      </c>
      <c r="H254" s="5" t="n">
        <v>357.34</v>
      </c>
      <c r="I254" s="5" t="n">
        <v>167.74</v>
      </c>
      <c r="J254" s="9" t="n">
        <v>0.15</v>
      </c>
      <c r="K254" s="5" t="n">
        <f aca="false">G254*H254*(1-J254)</f>
        <v>6682.258</v>
      </c>
      <c r="L254" s="5" t="n">
        <f aca="false">K254-(G254*I254)</f>
        <v>2991.978</v>
      </c>
    </row>
    <row r="255" customFormat="false" ht="16.4" hidden="false" customHeight="false" outlineLevel="0" collapsed="false">
      <c r="A255" s="4" t="s">
        <v>1724</v>
      </c>
      <c r="B255" s="6" t="n">
        <v>46180</v>
      </c>
      <c r="C255" s="4" t="s">
        <v>923</v>
      </c>
      <c r="D255" s="4" t="s">
        <v>150</v>
      </c>
      <c r="E255" s="4" t="s">
        <v>18</v>
      </c>
      <c r="F255" s="4" t="s">
        <v>25</v>
      </c>
      <c r="G255" s="4" t="n">
        <v>20</v>
      </c>
      <c r="H255" s="5" t="n">
        <v>314.3</v>
      </c>
      <c r="I255" s="5" t="n">
        <v>184.75</v>
      </c>
      <c r="J255" s="9" t="n">
        <v>0.05</v>
      </c>
      <c r="K255" s="5" t="n">
        <f aca="false">G255*H255*(1-J255)</f>
        <v>5971.7</v>
      </c>
      <c r="L255" s="5" t="n">
        <f aca="false">K255-(G255*I255)</f>
        <v>2276.7</v>
      </c>
    </row>
    <row r="256" customFormat="false" ht="16.4" hidden="false" customHeight="false" outlineLevel="0" collapsed="false">
      <c r="A256" s="4" t="s">
        <v>1725</v>
      </c>
      <c r="B256" s="6" t="n">
        <v>45438</v>
      </c>
      <c r="C256" s="4" t="s">
        <v>689</v>
      </c>
      <c r="D256" s="4" t="s">
        <v>126</v>
      </c>
      <c r="E256" s="4" t="s">
        <v>24</v>
      </c>
      <c r="F256" s="4" t="s">
        <v>13</v>
      </c>
      <c r="G256" s="4" t="n">
        <v>14</v>
      </c>
      <c r="H256" s="5" t="n">
        <v>880.65</v>
      </c>
      <c r="I256" s="5" t="n">
        <v>590.24</v>
      </c>
      <c r="J256" s="9" t="n">
        <v>0.08</v>
      </c>
      <c r="K256" s="5" t="n">
        <f aca="false">G256*H256*(1-J256)</f>
        <v>11342.772</v>
      </c>
      <c r="L256" s="5" t="n">
        <f aca="false">K256-(G256*I256)</f>
        <v>3079.412</v>
      </c>
    </row>
    <row r="257" customFormat="false" ht="16.4" hidden="false" customHeight="false" outlineLevel="0" collapsed="false">
      <c r="A257" s="4" t="s">
        <v>1726</v>
      </c>
      <c r="B257" s="6" t="n">
        <v>45463</v>
      </c>
      <c r="C257" s="4" t="s">
        <v>1139</v>
      </c>
      <c r="D257" s="4" t="s">
        <v>358</v>
      </c>
      <c r="E257" s="4" t="s">
        <v>18</v>
      </c>
      <c r="F257" s="4" t="s">
        <v>19</v>
      </c>
      <c r="G257" s="4" t="n">
        <v>17</v>
      </c>
      <c r="H257" s="5" t="n">
        <v>855.67</v>
      </c>
      <c r="I257" s="5" t="n">
        <v>540.09</v>
      </c>
      <c r="J257" s="9" t="n">
        <v>0.02</v>
      </c>
      <c r="K257" s="5" t="n">
        <f aca="false">G257*H257*(1-J257)</f>
        <v>14255.4622</v>
      </c>
      <c r="L257" s="5" t="n">
        <f aca="false">K257-(G257*I257)</f>
        <v>5073.9322</v>
      </c>
    </row>
    <row r="258" customFormat="false" ht="16.4" hidden="false" customHeight="false" outlineLevel="0" collapsed="false">
      <c r="A258" s="4" t="s">
        <v>1727</v>
      </c>
      <c r="B258" s="6" t="n">
        <v>45527</v>
      </c>
      <c r="C258" s="4" t="s">
        <v>1075</v>
      </c>
      <c r="D258" s="4" t="s">
        <v>272</v>
      </c>
      <c r="E258" s="4" t="s">
        <v>6</v>
      </c>
      <c r="F258" s="4" t="s">
        <v>25</v>
      </c>
      <c r="G258" s="4" t="n">
        <v>19</v>
      </c>
      <c r="H258" s="5" t="n">
        <v>1043.55</v>
      </c>
      <c r="I258" s="5" t="n">
        <v>441.1</v>
      </c>
      <c r="J258" s="9" t="n">
        <v>0</v>
      </c>
      <c r="K258" s="5" t="n">
        <f aca="false">G258*H258*(1-J258)</f>
        <v>19827.45</v>
      </c>
      <c r="L258" s="5" t="n">
        <f aca="false">K258-(G258*I258)</f>
        <v>11446.55</v>
      </c>
    </row>
    <row r="259" customFormat="false" ht="16.4" hidden="false" customHeight="false" outlineLevel="0" collapsed="false">
      <c r="A259" s="4" t="s">
        <v>1728</v>
      </c>
      <c r="B259" s="6" t="n">
        <v>45499</v>
      </c>
      <c r="C259" s="4" t="s">
        <v>599</v>
      </c>
      <c r="D259" s="4" t="s">
        <v>236</v>
      </c>
      <c r="E259" s="4" t="s">
        <v>24</v>
      </c>
      <c r="F259" s="4" t="s">
        <v>25</v>
      </c>
      <c r="G259" s="4" t="n">
        <v>4</v>
      </c>
      <c r="H259" s="5" t="n">
        <v>198.4</v>
      </c>
      <c r="I259" s="5" t="n">
        <v>124.01</v>
      </c>
      <c r="J259" s="9" t="n">
        <v>0</v>
      </c>
      <c r="K259" s="5" t="n">
        <f aca="false">G259*H259*(1-J259)</f>
        <v>793.6</v>
      </c>
      <c r="L259" s="5" t="n">
        <f aca="false">K259-(G259*I259)</f>
        <v>297.56</v>
      </c>
    </row>
    <row r="260" customFormat="false" ht="16.4" hidden="false" customHeight="false" outlineLevel="0" collapsed="false">
      <c r="A260" s="4" t="s">
        <v>1729</v>
      </c>
      <c r="B260" s="6" t="n">
        <v>45779</v>
      </c>
      <c r="C260" s="4" t="s">
        <v>1085</v>
      </c>
      <c r="D260" s="4" t="s">
        <v>116</v>
      </c>
      <c r="E260" s="4" t="s">
        <v>18</v>
      </c>
      <c r="F260" s="4" t="s">
        <v>7</v>
      </c>
      <c r="G260" s="4" t="n">
        <v>4</v>
      </c>
      <c r="H260" s="5" t="n">
        <v>108.26</v>
      </c>
      <c r="I260" s="5" t="n">
        <v>48.2</v>
      </c>
      <c r="J260" s="9" t="n">
        <v>0</v>
      </c>
      <c r="K260" s="5" t="n">
        <f aca="false">G260*H260*(1-J260)</f>
        <v>433.04</v>
      </c>
      <c r="L260" s="5" t="n">
        <f aca="false">K260-(G260*I260)</f>
        <v>240.24</v>
      </c>
    </row>
    <row r="261" customFormat="false" ht="16.4" hidden="false" customHeight="false" outlineLevel="0" collapsed="false">
      <c r="A261" s="4" t="s">
        <v>1730</v>
      </c>
      <c r="B261" s="6" t="n">
        <v>45387</v>
      </c>
      <c r="C261" s="4" t="s">
        <v>979</v>
      </c>
      <c r="D261" s="4" t="s">
        <v>312</v>
      </c>
      <c r="E261" s="4" t="s">
        <v>24</v>
      </c>
      <c r="F261" s="4" t="s">
        <v>25</v>
      </c>
      <c r="G261" s="4" t="n">
        <v>25</v>
      </c>
      <c r="H261" s="5" t="n">
        <v>238.66</v>
      </c>
      <c r="I261" s="5" t="n">
        <v>103.78</v>
      </c>
      <c r="J261" s="9" t="n">
        <v>0</v>
      </c>
      <c r="K261" s="5" t="n">
        <f aca="false">G261*H261*(1-J261)</f>
        <v>5966.5</v>
      </c>
      <c r="L261" s="5" t="n">
        <f aca="false">K261-(G261*I261)</f>
        <v>3372</v>
      </c>
    </row>
    <row r="262" customFormat="false" ht="16.4" hidden="false" customHeight="false" outlineLevel="0" collapsed="false">
      <c r="A262" s="4" t="s">
        <v>1731</v>
      </c>
      <c r="B262" s="6" t="n">
        <v>46139</v>
      </c>
      <c r="C262" s="4" t="s">
        <v>597</v>
      </c>
      <c r="D262" s="4" t="s">
        <v>376</v>
      </c>
      <c r="E262" s="4" t="s">
        <v>30</v>
      </c>
      <c r="F262" s="4" t="s">
        <v>7</v>
      </c>
      <c r="G262" s="4" t="n">
        <v>20</v>
      </c>
      <c r="H262" s="5" t="n">
        <v>790.52</v>
      </c>
      <c r="I262" s="5" t="n">
        <v>566.35</v>
      </c>
      <c r="J262" s="9" t="n">
        <v>0.08</v>
      </c>
      <c r="K262" s="5" t="n">
        <f aca="false">G262*H262*(1-J262)</f>
        <v>14545.568</v>
      </c>
      <c r="L262" s="5" t="n">
        <f aca="false">K262-(G262*I262)</f>
        <v>3218.568</v>
      </c>
    </row>
    <row r="263" customFormat="false" ht="16.4" hidden="false" customHeight="false" outlineLevel="0" collapsed="false">
      <c r="A263" s="4" t="s">
        <v>1732</v>
      </c>
      <c r="B263" s="6" t="n">
        <v>45826</v>
      </c>
      <c r="C263" s="4" t="s">
        <v>1159</v>
      </c>
      <c r="D263" s="4" t="s">
        <v>436</v>
      </c>
      <c r="E263" s="4" t="s">
        <v>24</v>
      </c>
      <c r="F263" s="4" t="s">
        <v>25</v>
      </c>
      <c r="G263" s="4" t="n">
        <v>21</v>
      </c>
      <c r="H263" s="5" t="n">
        <v>220.48</v>
      </c>
      <c r="I263" s="5" t="n">
        <v>103.58</v>
      </c>
      <c r="J263" s="9" t="n">
        <v>0.05</v>
      </c>
      <c r="K263" s="5" t="n">
        <f aca="false">G263*H263*(1-J263)</f>
        <v>4398.576</v>
      </c>
      <c r="L263" s="5" t="n">
        <f aca="false">K263-(G263*I263)</f>
        <v>2223.396</v>
      </c>
    </row>
    <row r="264" customFormat="false" ht="16.4" hidden="false" customHeight="false" outlineLevel="0" collapsed="false">
      <c r="A264" s="4" t="s">
        <v>1733</v>
      </c>
      <c r="B264" s="6" t="n">
        <v>45834</v>
      </c>
      <c r="C264" s="4" t="s">
        <v>1359</v>
      </c>
      <c r="D264" s="4" t="s">
        <v>228</v>
      </c>
      <c r="E264" s="4" t="s">
        <v>12</v>
      </c>
      <c r="F264" s="4" t="s">
        <v>25</v>
      </c>
      <c r="G264" s="4" t="n">
        <v>2</v>
      </c>
      <c r="H264" s="5" t="n">
        <v>986.65</v>
      </c>
      <c r="I264" s="5" t="n">
        <v>641.77</v>
      </c>
      <c r="J264" s="9" t="n">
        <v>0.1</v>
      </c>
      <c r="K264" s="5" t="n">
        <f aca="false">G264*H264*(1-J264)</f>
        <v>1775.97</v>
      </c>
      <c r="L264" s="5" t="n">
        <f aca="false">K264-(G264*I264)</f>
        <v>492.43</v>
      </c>
    </row>
    <row r="265" customFormat="false" ht="16.4" hidden="false" customHeight="false" outlineLevel="0" collapsed="false">
      <c r="A265" s="4" t="s">
        <v>1734</v>
      </c>
      <c r="B265" s="6" t="n">
        <v>46079</v>
      </c>
      <c r="C265" s="4" t="s">
        <v>1425</v>
      </c>
      <c r="D265" s="4" t="s">
        <v>156</v>
      </c>
      <c r="E265" s="4" t="s">
        <v>18</v>
      </c>
      <c r="F265" s="4" t="s">
        <v>25</v>
      </c>
      <c r="G265" s="4" t="n">
        <v>16</v>
      </c>
      <c r="H265" s="5" t="n">
        <v>814.24</v>
      </c>
      <c r="I265" s="5" t="n">
        <v>382.69</v>
      </c>
      <c r="J265" s="9" t="n">
        <v>0.15</v>
      </c>
      <c r="K265" s="5" t="n">
        <f aca="false">G265*H265*(1-J265)</f>
        <v>11073.664</v>
      </c>
      <c r="L265" s="5" t="n">
        <f aca="false">K265-(G265*I265)</f>
        <v>4950.624</v>
      </c>
    </row>
    <row r="266" customFormat="false" ht="16.4" hidden="false" customHeight="false" outlineLevel="0" collapsed="false">
      <c r="A266" s="4" t="s">
        <v>1735</v>
      </c>
      <c r="B266" s="6" t="n">
        <v>46149</v>
      </c>
      <c r="C266" s="4" t="s">
        <v>1067</v>
      </c>
      <c r="D266" s="4" t="s">
        <v>218</v>
      </c>
      <c r="E266" s="4" t="s">
        <v>24</v>
      </c>
      <c r="F266" s="4" t="s">
        <v>7</v>
      </c>
      <c r="G266" s="4" t="n">
        <v>24</v>
      </c>
      <c r="H266" s="5" t="n">
        <v>806.29</v>
      </c>
      <c r="I266" s="5" t="n">
        <v>404.48</v>
      </c>
      <c r="J266" s="9" t="n">
        <v>0.15</v>
      </c>
      <c r="K266" s="5" t="n">
        <f aca="false">G266*H266*(1-J266)</f>
        <v>16448.316</v>
      </c>
      <c r="L266" s="5" t="n">
        <f aca="false">K266-(G266*I266)</f>
        <v>6740.796</v>
      </c>
    </row>
    <row r="267" customFormat="false" ht="16.4" hidden="false" customHeight="false" outlineLevel="0" collapsed="false">
      <c r="A267" s="4" t="s">
        <v>1736</v>
      </c>
      <c r="B267" s="6" t="n">
        <v>46076</v>
      </c>
      <c r="C267" s="4" t="s">
        <v>601</v>
      </c>
      <c r="D267" s="4" t="s">
        <v>256</v>
      </c>
      <c r="E267" s="4" t="s">
        <v>30</v>
      </c>
      <c r="F267" s="4" t="s">
        <v>13</v>
      </c>
      <c r="G267" s="4" t="n">
        <v>9</v>
      </c>
      <c r="H267" s="5" t="n">
        <v>512.47</v>
      </c>
      <c r="I267" s="5" t="n">
        <v>247.19</v>
      </c>
      <c r="J267" s="9" t="n">
        <v>0.05</v>
      </c>
      <c r="K267" s="5" t="n">
        <f aca="false">G267*H267*(1-J267)</f>
        <v>4381.6185</v>
      </c>
      <c r="L267" s="5" t="n">
        <f aca="false">K267-(G267*I267)</f>
        <v>2156.9085</v>
      </c>
    </row>
    <row r="268" customFormat="false" ht="16.4" hidden="false" customHeight="false" outlineLevel="0" collapsed="false">
      <c r="A268" s="4" t="s">
        <v>1737</v>
      </c>
      <c r="B268" s="6" t="n">
        <v>45710</v>
      </c>
      <c r="C268" s="4" t="s">
        <v>755</v>
      </c>
      <c r="D268" s="4" t="s">
        <v>82</v>
      </c>
      <c r="E268" s="4" t="s">
        <v>18</v>
      </c>
      <c r="F268" s="4" t="s">
        <v>19</v>
      </c>
      <c r="G268" s="4" t="n">
        <v>20</v>
      </c>
      <c r="H268" s="5" t="n">
        <v>762.25</v>
      </c>
      <c r="I268" s="5" t="n">
        <v>508.29</v>
      </c>
      <c r="J268" s="9" t="n">
        <v>0.08</v>
      </c>
      <c r="K268" s="5" t="n">
        <f aca="false">G268*H268*(1-J268)</f>
        <v>14025.4</v>
      </c>
      <c r="L268" s="5" t="n">
        <f aca="false">K268-(G268*I268)</f>
        <v>3859.6</v>
      </c>
    </row>
    <row r="269" customFormat="false" ht="16.4" hidden="false" customHeight="false" outlineLevel="0" collapsed="false">
      <c r="A269" s="4" t="s">
        <v>1738</v>
      </c>
      <c r="B269" s="6" t="n">
        <v>46100</v>
      </c>
      <c r="C269" s="4" t="s">
        <v>453</v>
      </c>
      <c r="D269" s="4" t="s">
        <v>136</v>
      </c>
      <c r="E269" s="4" t="s">
        <v>24</v>
      </c>
      <c r="F269" s="4" t="s">
        <v>7</v>
      </c>
      <c r="G269" s="4" t="n">
        <v>23</v>
      </c>
      <c r="H269" s="5" t="n">
        <v>590.6</v>
      </c>
      <c r="I269" s="5" t="n">
        <v>410.98</v>
      </c>
      <c r="J269" s="9" t="n">
        <v>0.1</v>
      </c>
      <c r="K269" s="5" t="n">
        <f aca="false">G269*H269*(1-J269)</f>
        <v>12225.42</v>
      </c>
      <c r="L269" s="5" t="n">
        <f aca="false">K269-(G269*I269)</f>
        <v>2772.88</v>
      </c>
    </row>
    <row r="270" customFormat="false" ht="16.4" hidden="false" customHeight="false" outlineLevel="0" collapsed="false">
      <c r="A270" s="4" t="s">
        <v>1739</v>
      </c>
      <c r="B270" s="6" t="n">
        <v>45299</v>
      </c>
      <c r="C270" s="4" t="s">
        <v>999</v>
      </c>
      <c r="D270" s="4" t="s">
        <v>334</v>
      </c>
      <c r="E270" s="4" t="s">
        <v>24</v>
      </c>
      <c r="F270" s="4" t="s">
        <v>25</v>
      </c>
      <c r="G270" s="4" t="n">
        <v>4</v>
      </c>
      <c r="H270" s="5" t="n">
        <v>41.62</v>
      </c>
      <c r="I270" s="5" t="n">
        <v>23.46</v>
      </c>
      <c r="J270" s="9" t="n">
        <v>0.08</v>
      </c>
      <c r="K270" s="5" t="n">
        <f aca="false">G270*H270*(1-J270)</f>
        <v>153.1616</v>
      </c>
      <c r="L270" s="5" t="n">
        <f aca="false">K270-(G270*I270)</f>
        <v>59.3216</v>
      </c>
    </row>
    <row r="271" customFormat="false" ht="16.4" hidden="false" customHeight="false" outlineLevel="0" collapsed="false">
      <c r="A271" s="4" t="s">
        <v>1740</v>
      </c>
      <c r="B271" s="6" t="n">
        <v>45615</v>
      </c>
      <c r="C271" s="4" t="s">
        <v>675</v>
      </c>
      <c r="D271" s="4" t="s">
        <v>374</v>
      </c>
      <c r="E271" s="4" t="s">
        <v>12</v>
      </c>
      <c r="F271" s="4" t="s">
        <v>25</v>
      </c>
      <c r="G271" s="4" t="n">
        <v>23</v>
      </c>
      <c r="H271" s="5" t="n">
        <v>702.09</v>
      </c>
      <c r="I271" s="5" t="n">
        <v>460.04</v>
      </c>
      <c r="J271" s="9" t="n">
        <v>0.15</v>
      </c>
      <c r="K271" s="5" t="n">
        <f aca="false">G271*H271*(1-J271)</f>
        <v>13725.8595</v>
      </c>
      <c r="L271" s="5" t="n">
        <f aca="false">K271-(G271*I271)</f>
        <v>3144.9395</v>
      </c>
    </row>
    <row r="272" customFormat="false" ht="16.4" hidden="false" customHeight="false" outlineLevel="0" collapsed="false">
      <c r="A272" s="4" t="s">
        <v>1741</v>
      </c>
      <c r="B272" s="6" t="n">
        <v>45959</v>
      </c>
      <c r="C272" s="4" t="s">
        <v>573</v>
      </c>
      <c r="D272" s="4" t="s">
        <v>224</v>
      </c>
      <c r="E272" s="4" t="s">
        <v>18</v>
      </c>
      <c r="F272" s="4" t="s">
        <v>19</v>
      </c>
      <c r="G272" s="4" t="n">
        <v>5</v>
      </c>
      <c r="H272" s="5" t="n">
        <v>544.1</v>
      </c>
      <c r="I272" s="5" t="n">
        <v>337.48</v>
      </c>
      <c r="J272" s="9" t="n">
        <v>0.05</v>
      </c>
      <c r="K272" s="5" t="n">
        <f aca="false">G272*H272*(1-J272)</f>
        <v>2584.475</v>
      </c>
      <c r="L272" s="5" t="n">
        <f aca="false">K272-(G272*I272)</f>
        <v>897.075</v>
      </c>
    </row>
    <row r="273" customFormat="false" ht="16.4" hidden="false" customHeight="false" outlineLevel="0" collapsed="false">
      <c r="A273" s="4" t="s">
        <v>1742</v>
      </c>
      <c r="B273" s="6" t="n">
        <v>45870</v>
      </c>
      <c r="C273" s="4" t="s">
        <v>1339</v>
      </c>
      <c r="D273" s="4" t="s">
        <v>172</v>
      </c>
      <c r="E273" s="4" t="s">
        <v>6</v>
      </c>
      <c r="F273" s="4" t="s">
        <v>19</v>
      </c>
      <c r="G273" s="4" t="n">
        <v>18</v>
      </c>
      <c r="H273" s="5" t="n">
        <v>618.86</v>
      </c>
      <c r="I273" s="5" t="n">
        <v>278.76</v>
      </c>
      <c r="J273" s="9" t="n">
        <v>0.05</v>
      </c>
      <c r="K273" s="5" t="n">
        <f aca="false">G273*H273*(1-J273)</f>
        <v>10582.506</v>
      </c>
      <c r="L273" s="5" t="n">
        <f aca="false">K273-(G273*I273)</f>
        <v>5564.826</v>
      </c>
    </row>
    <row r="274" customFormat="false" ht="16.4" hidden="false" customHeight="false" outlineLevel="0" collapsed="false">
      <c r="A274" s="4" t="s">
        <v>1743</v>
      </c>
      <c r="B274" s="6" t="n">
        <v>46065</v>
      </c>
      <c r="C274" s="4" t="s">
        <v>747</v>
      </c>
      <c r="D274" s="4" t="s">
        <v>352</v>
      </c>
      <c r="E274" s="4" t="s">
        <v>12</v>
      </c>
      <c r="F274" s="4" t="s">
        <v>13</v>
      </c>
      <c r="G274" s="4" t="n">
        <v>22</v>
      </c>
      <c r="H274" s="5" t="n">
        <v>759.98</v>
      </c>
      <c r="I274" s="5" t="n">
        <v>346.44</v>
      </c>
      <c r="J274" s="9" t="n">
        <v>0.05</v>
      </c>
      <c r="K274" s="5" t="n">
        <f aca="false">G274*H274*(1-J274)</f>
        <v>15883.582</v>
      </c>
      <c r="L274" s="5" t="n">
        <f aca="false">K274-(G274*I274)</f>
        <v>8261.902</v>
      </c>
    </row>
    <row r="275" customFormat="false" ht="16.4" hidden="false" customHeight="false" outlineLevel="0" collapsed="false">
      <c r="A275" s="4" t="s">
        <v>1744</v>
      </c>
      <c r="B275" s="6" t="n">
        <v>45475</v>
      </c>
      <c r="C275" s="4" t="s">
        <v>1029</v>
      </c>
      <c r="D275" s="4" t="s">
        <v>250</v>
      </c>
      <c r="E275" s="4" t="s">
        <v>6</v>
      </c>
      <c r="F275" s="4" t="s">
        <v>19</v>
      </c>
      <c r="G275" s="4" t="n">
        <v>18</v>
      </c>
      <c r="H275" s="5" t="n">
        <v>594.4</v>
      </c>
      <c r="I275" s="5" t="n">
        <v>264.92</v>
      </c>
      <c r="J275" s="9" t="n">
        <v>0.05</v>
      </c>
      <c r="K275" s="5" t="n">
        <f aca="false">G275*H275*(1-J275)</f>
        <v>10164.24</v>
      </c>
      <c r="L275" s="5" t="n">
        <f aca="false">K275-(G275*I275)</f>
        <v>5395.68</v>
      </c>
    </row>
    <row r="276" customFormat="false" ht="16.4" hidden="false" customHeight="false" outlineLevel="0" collapsed="false">
      <c r="A276" s="4" t="s">
        <v>1745</v>
      </c>
      <c r="B276" s="6" t="n">
        <v>45606</v>
      </c>
      <c r="C276" s="4" t="s">
        <v>1033</v>
      </c>
      <c r="D276" s="4" t="s">
        <v>326</v>
      </c>
      <c r="E276" s="4" t="s">
        <v>18</v>
      </c>
      <c r="F276" s="4" t="s">
        <v>19</v>
      </c>
      <c r="G276" s="4" t="n">
        <v>16</v>
      </c>
      <c r="H276" s="5" t="n">
        <v>385.28</v>
      </c>
      <c r="I276" s="5" t="n">
        <v>170.38</v>
      </c>
      <c r="J276" s="9" t="n">
        <v>0.02</v>
      </c>
      <c r="K276" s="5" t="n">
        <f aca="false">G276*H276*(1-J276)</f>
        <v>6041.1904</v>
      </c>
      <c r="L276" s="5" t="n">
        <f aca="false">K276-(G276*I276)</f>
        <v>3315.1104</v>
      </c>
    </row>
    <row r="277" customFormat="false" ht="16.4" hidden="false" customHeight="false" outlineLevel="0" collapsed="false">
      <c r="A277" s="4" t="s">
        <v>1746</v>
      </c>
      <c r="B277" s="6" t="n">
        <v>45433</v>
      </c>
      <c r="C277" s="4" t="s">
        <v>1187</v>
      </c>
      <c r="D277" s="4" t="s">
        <v>436</v>
      </c>
      <c r="E277" s="4" t="s">
        <v>6</v>
      </c>
      <c r="F277" s="4" t="s">
        <v>7</v>
      </c>
      <c r="G277" s="4" t="n">
        <v>13</v>
      </c>
      <c r="H277" s="5" t="n">
        <v>220.48</v>
      </c>
      <c r="I277" s="5" t="n">
        <v>103.58</v>
      </c>
      <c r="J277" s="9" t="n">
        <v>0.1</v>
      </c>
      <c r="K277" s="5" t="n">
        <f aca="false">G277*H277*(1-J277)</f>
        <v>2579.616</v>
      </c>
      <c r="L277" s="5" t="n">
        <f aca="false">K277-(G277*I277)</f>
        <v>1233.076</v>
      </c>
    </row>
    <row r="278" customFormat="false" ht="16.4" hidden="false" customHeight="false" outlineLevel="0" collapsed="false">
      <c r="A278" s="4" t="s">
        <v>1747</v>
      </c>
      <c r="B278" s="6" t="n">
        <v>46008</v>
      </c>
      <c r="C278" s="4" t="s">
        <v>699</v>
      </c>
      <c r="D278" s="4" t="s">
        <v>422</v>
      </c>
      <c r="E278" s="4" t="s">
        <v>6</v>
      </c>
      <c r="F278" s="4" t="s">
        <v>13</v>
      </c>
      <c r="G278" s="4" t="n">
        <v>15</v>
      </c>
      <c r="H278" s="5" t="n">
        <v>1052.17</v>
      </c>
      <c r="I278" s="5" t="n">
        <v>553.57</v>
      </c>
      <c r="J278" s="9" t="n">
        <v>0.15</v>
      </c>
      <c r="K278" s="5" t="n">
        <f aca="false">G278*H278*(1-J278)</f>
        <v>13415.1675</v>
      </c>
      <c r="L278" s="5" t="n">
        <f aca="false">K278-(G278*I278)</f>
        <v>5111.6175</v>
      </c>
    </row>
    <row r="279" customFormat="false" ht="16.4" hidden="false" customHeight="false" outlineLevel="0" collapsed="false">
      <c r="A279" s="4" t="s">
        <v>1748</v>
      </c>
      <c r="B279" s="6" t="n">
        <v>46096</v>
      </c>
      <c r="C279" s="4" t="s">
        <v>683</v>
      </c>
      <c r="D279" s="4" t="s">
        <v>90</v>
      </c>
      <c r="E279" s="4" t="s">
        <v>30</v>
      </c>
      <c r="F279" s="4" t="s">
        <v>19</v>
      </c>
      <c r="G279" s="4" t="n">
        <v>17</v>
      </c>
      <c r="H279" s="5" t="n">
        <v>535.85</v>
      </c>
      <c r="I279" s="5" t="n">
        <v>284.8</v>
      </c>
      <c r="J279" s="9" t="n">
        <v>0.05</v>
      </c>
      <c r="K279" s="5" t="n">
        <f aca="false">G279*H279*(1-J279)</f>
        <v>8653.9775</v>
      </c>
      <c r="L279" s="5" t="n">
        <f aca="false">K279-(G279*I279)</f>
        <v>3812.3775</v>
      </c>
    </row>
    <row r="280" customFormat="false" ht="16.4" hidden="false" customHeight="false" outlineLevel="0" collapsed="false">
      <c r="A280" s="4" t="s">
        <v>1749</v>
      </c>
      <c r="B280" s="6" t="n">
        <v>46015</v>
      </c>
      <c r="C280" s="4" t="s">
        <v>1093</v>
      </c>
      <c r="D280" s="4" t="s">
        <v>320</v>
      </c>
      <c r="E280" s="4" t="s">
        <v>12</v>
      </c>
      <c r="F280" s="4" t="s">
        <v>7</v>
      </c>
      <c r="G280" s="4" t="n">
        <v>23</v>
      </c>
      <c r="H280" s="5" t="n">
        <v>956.7</v>
      </c>
      <c r="I280" s="5" t="n">
        <v>370.45</v>
      </c>
      <c r="J280" s="9" t="n">
        <v>0.1</v>
      </c>
      <c r="K280" s="5" t="n">
        <f aca="false">G280*H280*(1-J280)</f>
        <v>19803.69</v>
      </c>
      <c r="L280" s="5" t="n">
        <f aca="false">K280-(G280*I280)</f>
        <v>11283.34</v>
      </c>
    </row>
    <row r="281" customFormat="false" ht="16.4" hidden="false" customHeight="false" outlineLevel="0" collapsed="false">
      <c r="A281" s="4" t="s">
        <v>1750</v>
      </c>
      <c r="B281" s="6" t="n">
        <v>46115</v>
      </c>
      <c r="C281" s="4" t="s">
        <v>863</v>
      </c>
      <c r="D281" s="4" t="s">
        <v>122</v>
      </c>
      <c r="E281" s="4" t="s">
        <v>18</v>
      </c>
      <c r="F281" s="4" t="s">
        <v>7</v>
      </c>
      <c r="G281" s="4" t="n">
        <v>21</v>
      </c>
      <c r="H281" s="5" t="n">
        <v>799.3</v>
      </c>
      <c r="I281" s="5" t="n">
        <v>393.03</v>
      </c>
      <c r="J281" s="9" t="n">
        <v>0</v>
      </c>
      <c r="K281" s="5" t="n">
        <f aca="false">G281*H281*(1-J281)</f>
        <v>16785.3</v>
      </c>
      <c r="L281" s="5" t="n">
        <f aca="false">K281-(G281*I281)</f>
        <v>8531.67</v>
      </c>
    </row>
    <row r="282" customFormat="false" ht="16.4" hidden="false" customHeight="false" outlineLevel="0" collapsed="false">
      <c r="A282" s="4" t="s">
        <v>1751</v>
      </c>
      <c r="B282" s="6" t="n">
        <v>45382</v>
      </c>
      <c r="C282" s="4" t="s">
        <v>947</v>
      </c>
      <c r="D282" s="4" t="s">
        <v>114</v>
      </c>
      <c r="E282" s="4" t="s">
        <v>30</v>
      </c>
      <c r="F282" s="4" t="s">
        <v>7</v>
      </c>
      <c r="G282" s="4" t="n">
        <v>20</v>
      </c>
      <c r="H282" s="5" t="n">
        <v>856.71</v>
      </c>
      <c r="I282" s="5" t="n">
        <v>320.02</v>
      </c>
      <c r="J282" s="9" t="n">
        <v>0.05</v>
      </c>
      <c r="K282" s="5" t="n">
        <f aca="false">G282*H282*(1-J282)</f>
        <v>16277.49</v>
      </c>
      <c r="L282" s="5" t="n">
        <f aca="false">K282-(G282*I282)</f>
        <v>9877.09</v>
      </c>
    </row>
    <row r="283" customFormat="false" ht="16.4" hidden="false" customHeight="false" outlineLevel="0" collapsed="false">
      <c r="A283" s="4" t="s">
        <v>1752</v>
      </c>
      <c r="B283" s="6" t="n">
        <v>45915</v>
      </c>
      <c r="C283" s="4" t="s">
        <v>691</v>
      </c>
      <c r="D283" s="4" t="s">
        <v>174</v>
      </c>
      <c r="E283" s="4" t="s">
        <v>24</v>
      </c>
      <c r="F283" s="4" t="s">
        <v>7</v>
      </c>
      <c r="G283" s="4" t="n">
        <v>12</v>
      </c>
      <c r="H283" s="5" t="n">
        <v>770.28</v>
      </c>
      <c r="I283" s="5" t="n">
        <v>525.13</v>
      </c>
      <c r="J283" s="9" t="n">
        <v>0</v>
      </c>
      <c r="K283" s="5" t="n">
        <f aca="false">G283*H283*(1-J283)</f>
        <v>9243.36</v>
      </c>
      <c r="L283" s="5" t="n">
        <f aca="false">K283-(G283*I283)</f>
        <v>2941.8</v>
      </c>
    </row>
    <row r="284" customFormat="false" ht="16.4" hidden="false" customHeight="false" outlineLevel="0" collapsed="false">
      <c r="A284" s="4" t="s">
        <v>1753</v>
      </c>
      <c r="B284" s="6" t="n">
        <v>45963</v>
      </c>
      <c r="C284" s="4" t="s">
        <v>857</v>
      </c>
      <c r="D284" s="4" t="s">
        <v>410</v>
      </c>
      <c r="E284" s="4" t="s">
        <v>30</v>
      </c>
      <c r="F284" s="4" t="s">
        <v>19</v>
      </c>
      <c r="G284" s="4" t="n">
        <v>13</v>
      </c>
      <c r="H284" s="5" t="n">
        <v>549.69</v>
      </c>
      <c r="I284" s="5" t="n">
        <v>298.89</v>
      </c>
      <c r="J284" s="9" t="n">
        <v>0.08</v>
      </c>
      <c r="K284" s="5" t="n">
        <f aca="false">G284*H284*(1-J284)</f>
        <v>6574.2924</v>
      </c>
      <c r="L284" s="5" t="n">
        <f aca="false">K284-(G284*I284)</f>
        <v>2688.7224</v>
      </c>
    </row>
    <row r="285" customFormat="false" ht="16.4" hidden="false" customHeight="false" outlineLevel="0" collapsed="false">
      <c r="A285" s="4" t="s">
        <v>1754</v>
      </c>
      <c r="B285" s="6" t="n">
        <v>46084</v>
      </c>
      <c r="C285" s="4" t="s">
        <v>1451</v>
      </c>
      <c r="D285" s="4" t="s">
        <v>404</v>
      </c>
      <c r="E285" s="4" t="s">
        <v>12</v>
      </c>
      <c r="F285" s="4" t="s">
        <v>13</v>
      </c>
      <c r="G285" s="4" t="n">
        <v>20</v>
      </c>
      <c r="H285" s="5" t="n">
        <v>622.18</v>
      </c>
      <c r="I285" s="5" t="n">
        <v>436.6</v>
      </c>
      <c r="J285" s="9" t="n">
        <v>0</v>
      </c>
      <c r="K285" s="5" t="n">
        <f aca="false">G285*H285*(1-J285)</f>
        <v>12443.6</v>
      </c>
      <c r="L285" s="5" t="n">
        <f aca="false">K285-(G285*I285)</f>
        <v>3711.6</v>
      </c>
    </row>
    <row r="286" customFormat="false" ht="16.4" hidden="false" customHeight="false" outlineLevel="0" collapsed="false">
      <c r="A286" s="4" t="s">
        <v>1755</v>
      </c>
      <c r="B286" s="6" t="n">
        <v>45498</v>
      </c>
      <c r="C286" s="4" t="s">
        <v>971</v>
      </c>
      <c r="D286" s="4" t="s">
        <v>366</v>
      </c>
      <c r="E286" s="4" t="s">
        <v>18</v>
      </c>
      <c r="F286" s="4" t="s">
        <v>19</v>
      </c>
      <c r="G286" s="4" t="n">
        <v>15</v>
      </c>
      <c r="H286" s="5" t="n">
        <v>171.12</v>
      </c>
      <c r="I286" s="5" t="n">
        <v>107.03</v>
      </c>
      <c r="J286" s="9" t="n">
        <v>0</v>
      </c>
      <c r="K286" s="5" t="n">
        <f aca="false">G286*H286*(1-J286)</f>
        <v>2566.8</v>
      </c>
      <c r="L286" s="5" t="n">
        <f aca="false">K286-(G286*I286)</f>
        <v>961.35</v>
      </c>
    </row>
    <row r="287" customFormat="false" ht="16.4" hidden="false" customHeight="false" outlineLevel="0" collapsed="false">
      <c r="A287" s="4" t="s">
        <v>1756</v>
      </c>
      <c r="B287" s="6" t="n">
        <v>45820</v>
      </c>
      <c r="C287" s="4" t="s">
        <v>496</v>
      </c>
      <c r="D287" s="4" t="s">
        <v>138</v>
      </c>
      <c r="E287" s="4" t="s">
        <v>24</v>
      </c>
      <c r="F287" s="4" t="s">
        <v>13</v>
      </c>
      <c r="G287" s="4" t="n">
        <v>20</v>
      </c>
      <c r="H287" s="5" t="n">
        <v>27.53</v>
      </c>
      <c r="I287" s="5" t="n">
        <v>13.93</v>
      </c>
      <c r="J287" s="9" t="n">
        <v>0.08</v>
      </c>
      <c r="K287" s="5" t="n">
        <f aca="false">G287*H287*(1-J287)</f>
        <v>506.552</v>
      </c>
      <c r="L287" s="5" t="n">
        <f aca="false">K287-(G287*I287)</f>
        <v>227.952</v>
      </c>
    </row>
    <row r="288" customFormat="false" ht="16.4" hidden="false" customHeight="false" outlineLevel="0" collapsed="false">
      <c r="A288" s="4" t="s">
        <v>1757</v>
      </c>
      <c r="B288" s="6" t="n">
        <v>45660</v>
      </c>
      <c r="C288" s="4" t="s">
        <v>637</v>
      </c>
      <c r="D288" s="4" t="s">
        <v>354</v>
      </c>
      <c r="E288" s="4" t="s">
        <v>30</v>
      </c>
      <c r="F288" s="4" t="s">
        <v>13</v>
      </c>
      <c r="G288" s="4" t="n">
        <v>22</v>
      </c>
      <c r="H288" s="5" t="n">
        <v>229.23</v>
      </c>
      <c r="I288" s="5" t="n">
        <v>87.11</v>
      </c>
      <c r="J288" s="9" t="n">
        <v>0</v>
      </c>
      <c r="K288" s="5" t="n">
        <f aca="false">G288*H288*(1-J288)</f>
        <v>5043.06</v>
      </c>
      <c r="L288" s="5" t="n">
        <f aca="false">K288-(G288*I288)</f>
        <v>3126.64</v>
      </c>
    </row>
    <row r="289" customFormat="false" ht="16.4" hidden="false" customHeight="false" outlineLevel="0" collapsed="false">
      <c r="A289" s="4" t="s">
        <v>1758</v>
      </c>
      <c r="B289" s="6" t="n">
        <v>45574</v>
      </c>
      <c r="C289" s="4" t="s">
        <v>446</v>
      </c>
      <c r="D289" s="4" t="s">
        <v>374</v>
      </c>
      <c r="E289" s="4" t="s">
        <v>12</v>
      </c>
      <c r="F289" s="4" t="s">
        <v>25</v>
      </c>
      <c r="G289" s="4" t="n">
        <v>6</v>
      </c>
      <c r="H289" s="5" t="n">
        <v>702.09</v>
      </c>
      <c r="I289" s="5" t="n">
        <v>460.04</v>
      </c>
      <c r="J289" s="9" t="n">
        <v>0</v>
      </c>
      <c r="K289" s="5" t="n">
        <f aca="false">G289*H289*(1-J289)</f>
        <v>4212.54</v>
      </c>
      <c r="L289" s="5" t="n">
        <f aca="false">K289-(G289*I289)</f>
        <v>1452.3</v>
      </c>
    </row>
    <row r="290" customFormat="false" ht="16.4" hidden="false" customHeight="false" outlineLevel="0" collapsed="false">
      <c r="A290" s="4" t="s">
        <v>1759</v>
      </c>
      <c r="B290" s="6" t="n">
        <v>45892</v>
      </c>
      <c r="C290" s="4" t="s">
        <v>1149</v>
      </c>
      <c r="D290" s="4" t="s">
        <v>220</v>
      </c>
      <c r="E290" s="4" t="s">
        <v>24</v>
      </c>
      <c r="F290" s="4" t="s">
        <v>13</v>
      </c>
      <c r="G290" s="4" t="n">
        <v>13</v>
      </c>
      <c r="H290" s="5" t="n">
        <v>693.7</v>
      </c>
      <c r="I290" s="5" t="n">
        <v>355.47</v>
      </c>
      <c r="J290" s="9" t="n">
        <v>0.05</v>
      </c>
      <c r="K290" s="5" t="n">
        <f aca="false">G290*H290*(1-J290)</f>
        <v>8567.195</v>
      </c>
      <c r="L290" s="5" t="n">
        <f aca="false">K290-(G290*I290)</f>
        <v>3946.085</v>
      </c>
    </row>
    <row r="291" customFormat="false" ht="16.4" hidden="false" customHeight="false" outlineLevel="0" collapsed="false">
      <c r="A291" s="4" t="s">
        <v>1760</v>
      </c>
      <c r="B291" s="6" t="n">
        <v>45362</v>
      </c>
      <c r="C291" s="4" t="s">
        <v>470</v>
      </c>
      <c r="D291" s="4" t="s">
        <v>304</v>
      </c>
      <c r="E291" s="4" t="s">
        <v>24</v>
      </c>
      <c r="F291" s="4" t="s">
        <v>7</v>
      </c>
      <c r="G291" s="4" t="n">
        <v>24</v>
      </c>
      <c r="H291" s="5" t="n">
        <v>974.63</v>
      </c>
      <c r="I291" s="5" t="n">
        <v>550.93</v>
      </c>
      <c r="J291" s="9" t="n">
        <v>0.1</v>
      </c>
      <c r="K291" s="5" t="n">
        <f aca="false">G291*H291*(1-J291)</f>
        <v>21052.008</v>
      </c>
      <c r="L291" s="5" t="n">
        <f aca="false">K291-(G291*I291)</f>
        <v>7829.688</v>
      </c>
    </row>
    <row r="292" customFormat="false" ht="16.4" hidden="false" customHeight="false" outlineLevel="0" collapsed="false">
      <c r="A292" s="4" t="s">
        <v>1761</v>
      </c>
      <c r="B292" s="6" t="n">
        <v>45864</v>
      </c>
      <c r="C292" s="4" t="s">
        <v>755</v>
      </c>
      <c r="D292" s="4" t="s">
        <v>320</v>
      </c>
      <c r="E292" s="4" t="s">
        <v>18</v>
      </c>
      <c r="F292" s="4" t="s">
        <v>19</v>
      </c>
      <c r="G292" s="4" t="n">
        <v>24</v>
      </c>
      <c r="H292" s="5" t="n">
        <v>956.7</v>
      </c>
      <c r="I292" s="5" t="n">
        <v>370.45</v>
      </c>
      <c r="J292" s="9" t="n">
        <v>0.15</v>
      </c>
      <c r="K292" s="5" t="n">
        <f aca="false">G292*H292*(1-J292)</f>
        <v>19516.68</v>
      </c>
      <c r="L292" s="5" t="n">
        <f aca="false">K292-(G292*I292)</f>
        <v>10625.88</v>
      </c>
    </row>
    <row r="293" customFormat="false" ht="16.4" hidden="false" customHeight="false" outlineLevel="0" collapsed="false">
      <c r="A293" s="4" t="s">
        <v>1762</v>
      </c>
      <c r="B293" s="6" t="n">
        <v>45912</v>
      </c>
      <c r="C293" s="4" t="s">
        <v>1451</v>
      </c>
      <c r="D293" s="4" t="s">
        <v>216</v>
      </c>
      <c r="E293" s="4" t="s">
        <v>12</v>
      </c>
      <c r="F293" s="4" t="s">
        <v>13</v>
      </c>
      <c r="G293" s="4" t="n">
        <v>9</v>
      </c>
      <c r="H293" s="5" t="n">
        <v>497.82</v>
      </c>
      <c r="I293" s="5" t="n">
        <v>233.11</v>
      </c>
      <c r="J293" s="9" t="n">
        <v>0</v>
      </c>
      <c r="K293" s="5" t="n">
        <f aca="false">G293*H293*(1-J293)</f>
        <v>4480.38</v>
      </c>
      <c r="L293" s="5" t="n">
        <f aca="false">K293-(G293*I293)</f>
        <v>2382.39</v>
      </c>
    </row>
    <row r="294" customFormat="false" ht="16.4" hidden="false" customHeight="false" outlineLevel="0" collapsed="false">
      <c r="A294" s="4" t="s">
        <v>1763</v>
      </c>
      <c r="B294" s="6" t="n">
        <v>45296</v>
      </c>
      <c r="C294" s="4" t="s">
        <v>1417</v>
      </c>
      <c r="D294" s="4" t="s">
        <v>272</v>
      </c>
      <c r="E294" s="4" t="s">
        <v>30</v>
      </c>
      <c r="F294" s="4" t="s">
        <v>19</v>
      </c>
      <c r="G294" s="4" t="n">
        <v>13</v>
      </c>
      <c r="H294" s="5" t="n">
        <v>1043.55</v>
      </c>
      <c r="I294" s="5" t="n">
        <v>441.1</v>
      </c>
      <c r="J294" s="9" t="n">
        <v>0.08</v>
      </c>
      <c r="K294" s="5" t="n">
        <f aca="false">G294*H294*(1-J294)</f>
        <v>12480.858</v>
      </c>
      <c r="L294" s="5" t="n">
        <f aca="false">K294-(G294*I294)</f>
        <v>6746.558</v>
      </c>
    </row>
    <row r="295" customFormat="false" ht="16.4" hidden="false" customHeight="false" outlineLevel="0" collapsed="false">
      <c r="A295" s="4" t="s">
        <v>1764</v>
      </c>
      <c r="B295" s="6" t="n">
        <v>45864</v>
      </c>
      <c r="C295" s="4" t="s">
        <v>881</v>
      </c>
      <c r="D295" s="4" t="s">
        <v>128</v>
      </c>
      <c r="E295" s="4" t="s">
        <v>24</v>
      </c>
      <c r="F295" s="4" t="s">
        <v>7</v>
      </c>
      <c r="G295" s="4" t="n">
        <v>17</v>
      </c>
      <c r="H295" s="5" t="n">
        <v>248.5</v>
      </c>
      <c r="I295" s="5" t="n">
        <v>131.57</v>
      </c>
      <c r="J295" s="9" t="n">
        <v>0</v>
      </c>
      <c r="K295" s="5" t="n">
        <f aca="false">G295*H295*(1-J295)</f>
        <v>4224.5</v>
      </c>
      <c r="L295" s="5" t="n">
        <f aca="false">K295-(G295*I295)</f>
        <v>1987.81</v>
      </c>
    </row>
    <row r="296" customFormat="false" ht="16.4" hidden="false" customHeight="false" outlineLevel="0" collapsed="false">
      <c r="A296" s="4" t="s">
        <v>1765</v>
      </c>
      <c r="B296" s="6" t="n">
        <v>46114</v>
      </c>
      <c r="C296" s="4" t="s">
        <v>765</v>
      </c>
      <c r="D296" s="4" t="s">
        <v>296</v>
      </c>
      <c r="E296" s="4" t="s">
        <v>6</v>
      </c>
      <c r="F296" s="4" t="s">
        <v>19</v>
      </c>
      <c r="G296" s="4" t="n">
        <v>11</v>
      </c>
      <c r="H296" s="5" t="n">
        <v>650.98</v>
      </c>
      <c r="I296" s="5" t="n">
        <v>400.1</v>
      </c>
      <c r="J296" s="9" t="n">
        <v>0</v>
      </c>
      <c r="K296" s="5" t="n">
        <f aca="false">G296*H296*(1-J296)</f>
        <v>7160.78</v>
      </c>
      <c r="L296" s="5" t="n">
        <f aca="false">K296-(G296*I296)</f>
        <v>2759.68</v>
      </c>
    </row>
    <row r="297" customFormat="false" ht="16.4" hidden="false" customHeight="false" outlineLevel="0" collapsed="false">
      <c r="A297" s="4" t="s">
        <v>1766</v>
      </c>
      <c r="B297" s="6" t="n">
        <v>46002</v>
      </c>
      <c r="C297" s="4" t="s">
        <v>1297</v>
      </c>
      <c r="D297" s="4" t="s">
        <v>314</v>
      </c>
      <c r="E297" s="4" t="s">
        <v>12</v>
      </c>
      <c r="F297" s="4" t="s">
        <v>25</v>
      </c>
      <c r="G297" s="4" t="n">
        <v>19</v>
      </c>
      <c r="H297" s="5" t="n">
        <v>353.6</v>
      </c>
      <c r="I297" s="5" t="n">
        <v>208.08</v>
      </c>
      <c r="J297" s="9" t="n">
        <v>0.02</v>
      </c>
      <c r="K297" s="5" t="n">
        <f aca="false">G297*H297*(1-J297)</f>
        <v>6584.032</v>
      </c>
      <c r="L297" s="5" t="n">
        <f aca="false">K297-(G297*I297)</f>
        <v>2630.512</v>
      </c>
    </row>
    <row r="298" customFormat="false" ht="16.4" hidden="false" customHeight="false" outlineLevel="0" collapsed="false">
      <c r="A298" s="4" t="s">
        <v>1767</v>
      </c>
      <c r="B298" s="6" t="n">
        <v>45541</v>
      </c>
      <c r="C298" s="4" t="s">
        <v>1041</v>
      </c>
      <c r="D298" s="4" t="s">
        <v>232</v>
      </c>
      <c r="E298" s="4" t="s">
        <v>12</v>
      </c>
      <c r="F298" s="4" t="s">
        <v>19</v>
      </c>
      <c r="G298" s="4" t="n">
        <v>16</v>
      </c>
      <c r="H298" s="5" t="n">
        <v>743.25</v>
      </c>
      <c r="I298" s="5" t="n">
        <v>488.61</v>
      </c>
      <c r="J298" s="9" t="n">
        <v>0.15</v>
      </c>
      <c r="K298" s="5" t="n">
        <f aca="false">G298*H298*(1-J298)</f>
        <v>10108.2</v>
      </c>
      <c r="L298" s="5" t="n">
        <f aca="false">K298-(G298*I298)</f>
        <v>2290.44</v>
      </c>
    </row>
    <row r="299" customFormat="false" ht="16.4" hidden="false" customHeight="false" outlineLevel="0" collapsed="false">
      <c r="A299" s="4" t="s">
        <v>1768</v>
      </c>
      <c r="B299" s="6" t="n">
        <v>45892</v>
      </c>
      <c r="C299" s="4" t="s">
        <v>933</v>
      </c>
      <c r="D299" s="4" t="s">
        <v>436</v>
      </c>
      <c r="E299" s="4" t="s">
        <v>18</v>
      </c>
      <c r="F299" s="4" t="s">
        <v>7</v>
      </c>
      <c r="G299" s="4" t="n">
        <v>22</v>
      </c>
      <c r="H299" s="5" t="n">
        <v>220.48</v>
      </c>
      <c r="I299" s="5" t="n">
        <v>103.58</v>
      </c>
      <c r="J299" s="9" t="n">
        <v>0.05</v>
      </c>
      <c r="K299" s="5" t="n">
        <f aca="false">G299*H299*(1-J299)</f>
        <v>4608.032</v>
      </c>
      <c r="L299" s="5" t="n">
        <f aca="false">K299-(G299*I299)</f>
        <v>2329.272</v>
      </c>
    </row>
    <row r="300" customFormat="false" ht="16.4" hidden="false" customHeight="false" outlineLevel="0" collapsed="false">
      <c r="A300" s="4" t="s">
        <v>1769</v>
      </c>
      <c r="B300" s="6" t="n">
        <v>45683</v>
      </c>
      <c r="C300" s="4" t="s">
        <v>583</v>
      </c>
      <c r="D300" s="4" t="s">
        <v>286</v>
      </c>
      <c r="E300" s="4" t="s">
        <v>18</v>
      </c>
      <c r="F300" s="4" t="s">
        <v>13</v>
      </c>
      <c r="G300" s="4" t="n">
        <v>9</v>
      </c>
      <c r="H300" s="5" t="n">
        <v>926.11</v>
      </c>
      <c r="I300" s="5" t="n">
        <v>386.29</v>
      </c>
      <c r="J300" s="9" t="n">
        <v>0</v>
      </c>
      <c r="K300" s="5" t="n">
        <f aca="false">G300*H300*(1-J300)</f>
        <v>8334.99</v>
      </c>
      <c r="L300" s="5" t="n">
        <f aca="false">K300-(G300*I300)</f>
        <v>4858.38</v>
      </c>
    </row>
    <row r="301" customFormat="false" ht="16.4" hidden="false" customHeight="false" outlineLevel="0" collapsed="false">
      <c r="A301" s="4" t="s">
        <v>1770</v>
      </c>
      <c r="B301" s="6" t="n">
        <v>45615</v>
      </c>
      <c r="C301" s="4" t="s">
        <v>1183</v>
      </c>
      <c r="D301" s="4" t="s">
        <v>386</v>
      </c>
      <c r="E301" s="4" t="s">
        <v>30</v>
      </c>
      <c r="F301" s="4" t="s">
        <v>25</v>
      </c>
      <c r="G301" s="4" t="n">
        <v>8</v>
      </c>
      <c r="H301" s="5" t="n">
        <v>994.29</v>
      </c>
      <c r="I301" s="5" t="n">
        <v>348.46</v>
      </c>
      <c r="J301" s="9" t="n">
        <v>0.15</v>
      </c>
      <c r="K301" s="5" t="n">
        <f aca="false">G301*H301*(1-J301)</f>
        <v>6761.172</v>
      </c>
      <c r="L301" s="5" t="n">
        <f aca="false">K301-(G301*I301)</f>
        <v>3973.492</v>
      </c>
    </row>
    <row r="302" customFormat="false" ht="16.4" hidden="false" customHeight="false" outlineLevel="0" collapsed="false">
      <c r="A302" s="4" t="s">
        <v>1771</v>
      </c>
      <c r="B302" s="6" t="n">
        <v>46009</v>
      </c>
      <c r="C302" s="4" t="s">
        <v>993</v>
      </c>
      <c r="D302" s="4" t="s">
        <v>220</v>
      </c>
      <c r="E302" s="4" t="s">
        <v>6</v>
      </c>
      <c r="F302" s="4" t="s">
        <v>19</v>
      </c>
      <c r="G302" s="4" t="n">
        <v>18</v>
      </c>
      <c r="H302" s="5" t="n">
        <v>693.7</v>
      </c>
      <c r="I302" s="5" t="n">
        <v>355.47</v>
      </c>
      <c r="J302" s="9" t="n">
        <v>0</v>
      </c>
      <c r="K302" s="5" t="n">
        <f aca="false">G302*H302*(1-J302)</f>
        <v>12486.6</v>
      </c>
      <c r="L302" s="5" t="n">
        <f aca="false">K302-(G302*I302)</f>
        <v>6088.14</v>
      </c>
    </row>
    <row r="303" customFormat="false" ht="16.4" hidden="false" customHeight="false" outlineLevel="0" collapsed="false">
      <c r="A303" s="4" t="s">
        <v>1772</v>
      </c>
      <c r="B303" s="6" t="n">
        <v>45981</v>
      </c>
      <c r="C303" s="4" t="s">
        <v>759</v>
      </c>
      <c r="D303" s="4" t="s">
        <v>166</v>
      </c>
      <c r="E303" s="4" t="s">
        <v>18</v>
      </c>
      <c r="F303" s="4" t="s">
        <v>19</v>
      </c>
      <c r="G303" s="4" t="n">
        <v>3</v>
      </c>
      <c r="H303" s="5" t="n">
        <v>376.77</v>
      </c>
      <c r="I303" s="5" t="n">
        <v>231.85</v>
      </c>
      <c r="J303" s="9" t="n">
        <v>0.05</v>
      </c>
      <c r="K303" s="5" t="n">
        <f aca="false">G303*H303*(1-J303)</f>
        <v>1073.7945</v>
      </c>
      <c r="L303" s="5" t="n">
        <f aca="false">K303-(G303*I303)</f>
        <v>378.2445</v>
      </c>
    </row>
    <row r="304" customFormat="false" ht="16.4" hidden="false" customHeight="false" outlineLevel="0" collapsed="false">
      <c r="A304" s="4" t="s">
        <v>1773</v>
      </c>
      <c r="B304" s="6" t="n">
        <v>45613</v>
      </c>
      <c r="C304" s="4" t="s">
        <v>1031</v>
      </c>
      <c r="D304" s="4" t="s">
        <v>78</v>
      </c>
      <c r="E304" s="4" t="s">
        <v>12</v>
      </c>
      <c r="F304" s="4" t="s">
        <v>19</v>
      </c>
      <c r="G304" s="4" t="n">
        <v>6</v>
      </c>
      <c r="H304" s="5" t="n">
        <v>528.41</v>
      </c>
      <c r="I304" s="5" t="n">
        <v>308.28</v>
      </c>
      <c r="J304" s="9" t="n">
        <v>0.05</v>
      </c>
      <c r="K304" s="5" t="n">
        <f aca="false">G304*H304*(1-J304)</f>
        <v>3011.937</v>
      </c>
      <c r="L304" s="5" t="n">
        <f aca="false">K304-(G304*I304)</f>
        <v>1162.257</v>
      </c>
    </row>
    <row r="305" customFormat="false" ht="16.4" hidden="false" customHeight="false" outlineLevel="0" collapsed="false">
      <c r="A305" s="4" t="s">
        <v>1774</v>
      </c>
      <c r="B305" s="6" t="n">
        <v>45479</v>
      </c>
      <c r="C305" s="4" t="s">
        <v>1379</v>
      </c>
      <c r="D305" s="4" t="s">
        <v>150</v>
      </c>
      <c r="E305" s="4" t="s">
        <v>6</v>
      </c>
      <c r="F305" s="4" t="s">
        <v>13</v>
      </c>
      <c r="G305" s="4" t="n">
        <v>19</v>
      </c>
      <c r="H305" s="5" t="n">
        <v>314.3</v>
      </c>
      <c r="I305" s="5" t="n">
        <v>184.75</v>
      </c>
      <c r="J305" s="9" t="n">
        <v>0.02</v>
      </c>
      <c r="K305" s="5" t="n">
        <f aca="false">G305*H305*(1-J305)</f>
        <v>5852.266</v>
      </c>
      <c r="L305" s="5" t="n">
        <f aca="false">K305-(G305*I305)</f>
        <v>2342.016</v>
      </c>
    </row>
    <row r="306" customFormat="false" ht="16.4" hidden="false" customHeight="false" outlineLevel="0" collapsed="false">
      <c r="A306" s="4" t="s">
        <v>1775</v>
      </c>
      <c r="B306" s="6" t="n">
        <v>46045</v>
      </c>
      <c r="C306" s="4" t="s">
        <v>1219</v>
      </c>
      <c r="D306" s="4" t="s">
        <v>294</v>
      </c>
      <c r="E306" s="4" t="s">
        <v>18</v>
      </c>
      <c r="F306" s="4" t="s">
        <v>13</v>
      </c>
      <c r="G306" s="4" t="n">
        <v>7</v>
      </c>
      <c r="H306" s="5" t="n">
        <v>1024.09</v>
      </c>
      <c r="I306" s="5" t="n">
        <v>604.38</v>
      </c>
      <c r="J306" s="9" t="n">
        <v>0</v>
      </c>
      <c r="K306" s="5" t="n">
        <f aca="false">G306*H306*(1-J306)</f>
        <v>7168.63</v>
      </c>
      <c r="L306" s="5" t="n">
        <f aca="false">K306-(G306*I306)</f>
        <v>2937.97</v>
      </c>
    </row>
    <row r="307" customFormat="false" ht="16.4" hidden="false" customHeight="false" outlineLevel="0" collapsed="false">
      <c r="A307" s="4" t="s">
        <v>1776</v>
      </c>
      <c r="B307" s="6" t="n">
        <v>46146</v>
      </c>
      <c r="C307" s="4" t="s">
        <v>675</v>
      </c>
      <c r="D307" s="4" t="s">
        <v>174</v>
      </c>
      <c r="E307" s="4" t="s">
        <v>12</v>
      </c>
      <c r="F307" s="4" t="s">
        <v>13</v>
      </c>
      <c r="G307" s="4" t="n">
        <v>8</v>
      </c>
      <c r="H307" s="5" t="n">
        <v>770.28</v>
      </c>
      <c r="I307" s="5" t="n">
        <v>525.13</v>
      </c>
      <c r="J307" s="9" t="n">
        <v>0</v>
      </c>
      <c r="K307" s="5" t="n">
        <f aca="false">G307*H307*(1-J307)</f>
        <v>6162.24</v>
      </c>
      <c r="L307" s="5" t="n">
        <f aca="false">K307-(G307*I307)</f>
        <v>1961.2</v>
      </c>
    </row>
    <row r="308" customFormat="false" ht="16.4" hidden="false" customHeight="false" outlineLevel="0" collapsed="false">
      <c r="A308" s="4" t="s">
        <v>1777</v>
      </c>
      <c r="B308" s="6" t="n">
        <v>45401</v>
      </c>
      <c r="C308" s="4" t="s">
        <v>829</v>
      </c>
      <c r="D308" s="4" t="s">
        <v>356</v>
      </c>
      <c r="E308" s="4" t="s">
        <v>18</v>
      </c>
      <c r="F308" s="4" t="s">
        <v>7</v>
      </c>
      <c r="G308" s="4" t="n">
        <v>5</v>
      </c>
      <c r="H308" s="5" t="n">
        <v>835.01</v>
      </c>
      <c r="I308" s="5" t="n">
        <v>449.21</v>
      </c>
      <c r="J308" s="9" t="n">
        <v>0.15</v>
      </c>
      <c r="K308" s="5" t="n">
        <f aca="false">G308*H308*(1-J308)</f>
        <v>3548.7925</v>
      </c>
      <c r="L308" s="5" t="n">
        <f aca="false">K308-(G308*I308)</f>
        <v>1302.7425</v>
      </c>
    </row>
    <row r="309" customFormat="false" ht="16.4" hidden="false" customHeight="false" outlineLevel="0" collapsed="false">
      <c r="A309" s="4" t="s">
        <v>1778</v>
      </c>
      <c r="B309" s="6" t="n">
        <v>45920</v>
      </c>
      <c r="C309" s="4" t="s">
        <v>1157</v>
      </c>
      <c r="D309" s="4" t="s">
        <v>80</v>
      </c>
      <c r="E309" s="4" t="s">
        <v>18</v>
      </c>
      <c r="F309" s="4" t="s">
        <v>7</v>
      </c>
      <c r="G309" s="4" t="n">
        <v>22</v>
      </c>
      <c r="H309" s="5" t="n">
        <v>623.69</v>
      </c>
      <c r="I309" s="5" t="n">
        <v>240.97</v>
      </c>
      <c r="J309" s="9" t="n">
        <v>0.05</v>
      </c>
      <c r="K309" s="5" t="n">
        <f aca="false">G309*H309*(1-J309)</f>
        <v>13035.121</v>
      </c>
      <c r="L309" s="5" t="n">
        <f aca="false">K309-(G309*I309)</f>
        <v>7733.781</v>
      </c>
    </row>
    <row r="310" customFormat="false" ht="16.4" hidden="false" customHeight="false" outlineLevel="0" collapsed="false">
      <c r="A310" s="4" t="s">
        <v>1779</v>
      </c>
      <c r="B310" s="6" t="n">
        <v>46160</v>
      </c>
      <c r="C310" s="4" t="s">
        <v>1341</v>
      </c>
      <c r="D310" s="4" t="s">
        <v>430</v>
      </c>
      <c r="E310" s="4" t="s">
        <v>24</v>
      </c>
      <c r="F310" s="4" t="s">
        <v>25</v>
      </c>
      <c r="G310" s="4" t="n">
        <v>18</v>
      </c>
      <c r="H310" s="5" t="n">
        <v>761.49</v>
      </c>
      <c r="I310" s="5" t="n">
        <v>536.83</v>
      </c>
      <c r="J310" s="9" t="n">
        <v>0</v>
      </c>
      <c r="K310" s="5" t="n">
        <f aca="false">G310*H310*(1-J310)</f>
        <v>13706.82</v>
      </c>
      <c r="L310" s="5" t="n">
        <f aca="false">K310-(G310*I310)</f>
        <v>4043.88</v>
      </c>
    </row>
    <row r="311" customFormat="false" ht="16.4" hidden="false" customHeight="false" outlineLevel="0" collapsed="false">
      <c r="A311" s="4" t="s">
        <v>1780</v>
      </c>
      <c r="B311" s="6" t="n">
        <v>46194</v>
      </c>
      <c r="C311" s="4" t="s">
        <v>1099</v>
      </c>
      <c r="D311" s="4" t="s">
        <v>230</v>
      </c>
      <c r="E311" s="4" t="s">
        <v>24</v>
      </c>
      <c r="F311" s="4" t="s">
        <v>19</v>
      </c>
      <c r="G311" s="4" t="n">
        <v>11</v>
      </c>
      <c r="H311" s="5" t="n">
        <v>972.71</v>
      </c>
      <c r="I311" s="5" t="n">
        <v>397.78</v>
      </c>
      <c r="J311" s="9" t="n">
        <v>0.05</v>
      </c>
      <c r="K311" s="5" t="n">
        <f aca="false">G311*H311*(1-J311)</f>
        <v>10164.8195</v>
      </c>
      <c r="L311" s="5" t="n">
        <f aca="false">K311-(G311*I311)</f>
        <v>5789.2395</v>
      </c>
    </row>
    <row r="312" customFormat="false" ht="16.4" hidden="false" customHeight="false" outlineLevel="0" collapsed="false">
      <c r="A312" s="4" t="s">
        <v>1781</v>
      </c>
      <c r="B312" s="6" t="n">
        <v>45578</v>
      </c>
      <c r="C312" s="4" t="s">
        <v>651</v>
      </c>
      <c r="D312" s="4" t="s">
        <v>290</v>
      </c>
      <c r="E312" s="4" t="s">
        <v>6</v>
      </c>
      <c r="F312" s="4" t="s">
        <v>25</v>
      </c>
      <c r="G312" s="4" t="n">
        <v>25</v>
      </c>
      <c r="H312" s="5" t="n">
        <v>820.88</v>
      </c>
      <c r="I312" s="5" t="n">
        <v>601.93</v>
      </c>
      <c r="J312" s="9" t="n">
        <v>0.08</v>
      </c>
      <c r="K312" s="5" t="n">
        <f aca="false">G312*H312*(1-J312)</f>
        <v>18880.24</v>
      </c>
      <c r="L312" s="5" t="n">
        <f aca="false">K312-(G312*I312)</f>
        <v>3831.99</v>
      </c>
    </row>
    <row r="313" customFormat="false" ht="16.4" hidden="false" customHeight="false" outlineLevel="0" collapsed="false">
      <c r="A313" s="4" t="s">
        <v>1782</v>
      </c>
      <c r="B313" s="6" t="n">
        <v>45347</v>
      </c>
      <c r="C313" s="4" t="s">
        <v>1233</v>
      </c>
      <c r="D313" s="4" t="s">
        <v>152</v>
      </c>
      <c r="E313" s="4" t="s">
        <v>30</v>
      </c>
      <c r="F313" s="4" t="s">
        <v>25</v>
      </c>
      <c r="G313" s="4" t="n">
        <v>19</v>
      </c>
      <c r="H313" s="5" t="n">
        <v>797.41</v>
      </c>
      <c r="I313" s="5" t="n">
        <v>459.38</v>
      </c>
      <c r="J313" s="9" t="n">
        <v>0</v>
      </c>
      <c r="K313" s="5" t="n">
        <f aca="false">G313*H313*(1-J313)</f>
        <v>15150.79</v>
      </c>
      <c r="L313" s="5" t="n">
        <f aca="false">K313-(G313*I313)</f>
        <v>6422.57</v>
      </c>
    </row>
    <row r="314" customFormat="false" ht="16.4" hidden="false" customHeight="false" outlineLevel="0" collapsed="false">
      <c r="A314" s="4" t="s">
        <v>1783</v>
      </c>
      <c r="B314" s="6" t="n">
        <v>45806</v>
      </c>
      <c r="C314" s="4" t="s">
        <v>1427</v>
      </c>
      <c r="D314" s="4" t="s">
        <v>284</v>
      </c>
      <c r="E314" s="4" t="s">
        <v>18</v>
      </c>
      <c r="F314" s="4" t="s">
        <v>19</v>
      </c>
      <c r="G314" s="4" t="n">
        <v>18</v>
      </c>
      <c r="H314" s="5" t="n">
        <v>581.43</v>
      </c>
      <c r="I314" s="5" t="n">
        <v>230.1</v>
      </c>
      <c r="J314" s="9" t="n">
        <v>0</v>
      </c>
      <c r="K314" s="5" t="n">
        <f aca="false">G314*H314*(1-J314)</f>
        <v>10465.74</v>
      </c>
      <c r="L314" s="5" t="n">
        <f aca="false">K314-(G314*I314)</f>
        <v>6323.94</v>
      </c>
    </row>
    <row r="315" customFormat="false" ht="16.4" hidden="false" customHeight="false" outlineLevel="0" collapsed="false">
      <c r="A315" s="4" t="s">
        <v>1784</v>
      </c>
      <c r="B315" s="6" t="n">
        <v>45470</v>
      </c>
      <c r="C315" s="4" t="s">
        <v>1345</v>
      </c>
      <c r="D315" s="4" t="s">
        <v>240</v>
      </c>
      <c r="E315" s="4" t="s">
        <v>18</v>
      </c>
      <c r="F315" s="4" t="s">
        <v>25</v>
      </c>
      <c r="G315" s="4" t="n">
        <v>22</v>
      </c>
      <c r="H315" s="5" t="n">
        <v>679.95</v>
      </c>
      <c r="I315" s="5" t="n">
        <v>487.52</v>
      </c>
      <c r="J315" s="9" t="n">
        <v>0.15</v>
      </c>
      <c r="K315" s="5" t="n">
        <f aca="false">G315*H315*(1-J315)</f>
        <v>12715.065</v>
      </c>
      <c r="L315" s="5" t="n">
        <f aca="false">K315-(G315*I315)</f>
        <v>1989.625</v>
      </c>
    </row>
    <row r="316" customFormat="false" ht="16.4" hidden="false" customHeight="false" outlineLevel="0" collapsed="false">
      <c r="A316" s="4" t="s">
        <v>1785</v>
      </c>
      <c r="B316" s="6" t="n">
        <v>45615</v>
      </c>
      <c r="C316" s="4" t="s">
        <v>1179</v>
      </c>
      <c r="D316" s="4" t="s">
        <v>100</v>
      </c>
      <c r="E316" s="4" t="s">
        <v>18</v>
      </c>
      <c r="F316" s="4" t="s">
        <v>7</v>
      </c>
      <c r="G316" s="4" t="n">
        <v>17</v>
      </c>
      <c r="H316" s="5" t="n">
        <v>93.06</v>
      </c>
      <c r="I316" s="5" t="n">
        <v>65.25</v>
      </c>
      <c r="J316" s="9" t="n">
        <v>0.05</v>
      </c>
      <c r="K316" s="5" t="n">
        <f aca="false">G316*H316*(1-J316)</f>
        <v>1502.919</v>
      </c>
      <c r="L316" s="5" t="n">
        <f aca="false">K316-(G316*I316)</f>
        <v>393.669</v>
      </c>
    </row>
    <row r="317" customFormat="false" ht="16.4" hidden="false" customHeight="false" outlineLevel="0" collapsed="false">
      <c r="A317" s="4" t="s">
        <v>1786</v>
      </c>
      <c r="B317" s="6" t="n">
        <v>45886</v>
      </c>
      <c r="C317" s="4" t="s">
        <v>1155</v>
      </c>
      <c r="D317" s="4" t="s">
        <v>46</v>
      </c>
      <c r="E317" s="4" t="s">
        <v>30</v>
      </c>
      <c r="F317" s="4" t="s">
        <v>7</v>
      </c>
      <c r="G317" s="4" t="n">
        <v>7</v>
      </c>
      <c r="H317" s="5" t="n">
        <v>258.63</v>
      </c>
      <c r="I317" s="5" t="n">
        <v>157.75</v>
      </c>
      <c r="J317" s="9" t="n">
        <v>0.05</v>
      </c>
      <c r="K317" s="5" t="n">
        <f aca="false">G317*H317*(1-J317)</f>
        <v>1719.8895</v>
      </c>
      <c r="L317" s="5" t="n">
        <f aca="false">K317-(G317*I317)</f>
        <v>615.6395</v>
      </c>
    </row>
    <row r="318" customFormat="false" ht="16.4" hidden="false" customHeight="false" outlineLevel="0" collapsed="false">
      <c r="A318" s="4" t="s">
        <v>1787</v>
      </c>
      <c r="B318" s="6" t="n">
        <v>45557</v>
      </c>
      <c r="C318" s="4" t="s">
        <v>835</v>
      </c>
      <c r="D318" s="4" t="s">
        <v>206</v>
      </c>
      <c r="E318" s="4" t="s">
        <v>18</v>
      </c>
      <c r="F318" s="4" t="s">
        <v>13</v>
      </c>
      <c r="G318" s="4" t="n">
        <v>20</v>
      </c>
      <c r="H318" s="5" t="n">
        <v>152.37</v>
      </c>
      <c r="I318" s="5" t="n">
        <v>79.82</v>
      </c>
      <c r="J318" s="9" t="n">
        <v>0.15</v>
      </c>
      <c r="K318" s="5" t="n">
        <f aca="false">G318*H318*(1-J318)</f>
        <v>2590.29</v>
      </c>
      <c r="L318" s="5" t="n">
        <f aca="false">K318-(G318*I318)</f>
        <v>993.89</v>
      </c>
    </row>
    <row r="319" customFormat="false" ht="16.4" hidden="false" customHeight="false" outlineLevel="0" collapsed="false">
      <c r="A319" s="4" t="s">
        <v>1788</v>
      </c>
      <c r="B319" s="6" t="n">
        <v>45774</v>
      </c>
      <c r="C319" s="4" t="s">
        <v>733</v>
      </c>
      <c r="D319" s="4" t="s">
        <v>320</v>
      </c>
      <c r="E319" s="4" t="s">
        <v>6</v>
      </c>
      <c r="F319" s="4" t="s">
        <v>19</v>
      </c>
      <c r="G319" s="4" t="n">
        <v>8</v>
      </c>
      <c r="H319" s="5" t="n">
        <v>956.7</v>
      </c>
      <c r="I319" s="5" t="n">
        <v>370.45</v>
      </c>
      <c r="J319" s="9" t="n">
        <v>0.02</v>
      </c>
      <c r="K319" s="5" t="n">
        <f aca="false">G319*H319*(1-J319)</f>
        <v>7500.528</v>
      </c>
      <c r="L319" s="5" t="n">
        <f aca="false">K319-(G319*I319)</f>
        <v>4536.928</v>
      </c>
    </row>
    <row r="320" customFormat="false" ht="16.4" hidden="false" customHeight="false" outlineLevel="0" collapsed="false">
      <c r="A320" s="4" t="s">
        <v>1789</v>
      </c>
      <c r="B320" s="6" t="n">
        <v>45507</v>
      </c>
      <c r="C320" s="4" t="s">
        <v>653</v>
      </c>
      <c r="D320" s="4" t="s">
        <v>226</v>
      </c>
      <c r="E320" s="4" t="s">
        <v>18</v>
      </c>
      <c r="F320" s="4" t="s">
        <v>25</v>
      </c>
      <c r="G320" s="4" t="n">
        <v>16</v>
      </c>
      <c r="H320" s="5" t="n">
        <v>799.15</v>
      </c>
      <c r="I320" s="5" t="n">
        <v>370.42</v>
      </c>
      <c r="J320" s="9" t="n">
        <v>0.05</v>
      </c>
      <c r="K320" s="5" t="n">
        <f aca="false">G320*H320*(1-J320)</f>
        <v>12147.08</v>
      </c>
      <c r="L320" s="5" t="n">
        <f aca="false">K320-(G320*I320)</f>
        <v>6220.36</v>
      </c>
    </row>
    <row r="321" customFormat="false" ht="16.4" hidden="false" customHeight="false" outlineLevel="0" collapsed="false">
      <c r="A321" s="4" t="s">
        <v>1790</v>
      </c>
      <c r="B321" s="6" t="n">
        <v>46166</v>
      </c>
      <c r="C321" s="4" t="s">
        <v>1235</v>
      </c>
      <c r="D321" s="4" t="s">
        <v>398</v>
      </c>
      <c r="E321" s="4" t="s">
        <v>6</v>
      </c>
      <c r="F321" s="4" t="s">
        <v>25</v>
      </c>
      <c r="G321" s="4" t="n">
        <v>12</v>
      </c>
      <c r="H321" s="5" t="n">
        <v>1137.8</v>
      </c>
      <c r="I321" s="5" t="n">
        <v>693.02</v>
      </c>
      <c r="J321" s="9" t="n">
        <v>0.02</v>
      </c>
      <c r="K321" s="5" t="n">
        <f aca="false">G321*H321*(1-J321)</f>
        <v>13380.528</v>
      </c>
      <c r="L321" s="5" t="n">
        <f aca="false">K321-(G321*I321)</f>
        <v>5064.288</v>
      </c>
    </row>
    <row r="322" customFormat="false" ht="16.4" hidden="false" customHeight="false" outlineLevel="0" collapsed="false">
      <c r="A322" s="4" t="s">
        <v>1791</v>
      </c>
      <c r="B322" s="6" t="n">
        <v>45426</v>
      </c>
      <c r="C322" s="4" t="s">
        <v>925</v>
      </c>
      <c r="D322" s="4" t="s">
        <v>182</v>
      </c>
      <c r="E322" s="4" t="s">
        <v>6</v>
      </c>
      <c r="F322" s="4" t="s">
        <v>13</v>
      </c>
      <c r="G322" s="4" t="n">
        <v>6</v>
      </c>
      <c r="H322" s="5" t="n">
        <v>709.45</v>
      </c>
      <c r="I322" s="5" t="n">
        <v>290.33</v>
      </c>
      <c r="J322" s="9" t="n">
        <v>0.08</v>
      </c>
      <c r="K322" s="5" t="n">
        <f aca="false">G322*H322*(1-J322)</f>
        <v>3916.164</v>
      </c>
      <c r="L322" s="5" t="n">
        <f aca="false">K322-(G322*I322)</f>
        <v>2174.184</v>
      </c>
    </row>
    <row r="323" customFormat="false" ht="16.4" hidden="false" customHeight="false" outlineLevel="0" collapsed="false">
      <c r="A323" s="4" t="s">
        <v>1792</v>
      </c>
      <c r="B323" s="6" t="n">
        <v>45533</v>
      </c>
      <c r="C323" s="4" t="s">
        <v>1203</v>
      </c>
      <c r="D323" s="4" t="s">
        <v>90</v>
      </c>
      <c r="E323" s="4" t="s">
        <v>12</v>
      </c>
      <c r="F323" s="4" t="s">
        <v>25</v>
      </c>
      <c r="G323" s="4" t="n">
        <v>9</v>
      </c>
      <c r="H323" s="5" t="n">
        <v>535.85</v>
      </c>
      <c r="I323" s="5" t="n">
        <v>284.8</v>
      </c>
      <c r="J323" s="9" t="n">
        <v>0.15</v>
      </c>
      <c r="K323" s="5" t="n">
        <f aca="false">G323*H323*(1-J323)</f>
        <v>4099.2525</v>
      </c>
      <c r="L323" s="5" t="n">
        <f aca="false">K323-(G323*I323)</f>
        <v>1536.0525</v>
      </c>
    </row>
    <row r="324" customFormat="false" ht="16.4" hidden="false" customHeight="false" outlineLevel="0" collapsed="false">
      <c r="A324" s="4" t="s">
        <v>1793</v>
      </c>
      <c r="B324" s="6" t="n">
        <v>46048</v>
      </c>
      <c r="C324" s="4" t="s">
        <v>665</v>
      </c>
      <c r="D324" s="4" t="s">
        <v>234</v>
      </c>
      <c r="E324" s="4" t="s">
        <v>30</v>
      </c>
      <c r="F324" s="4" t="s">
        <v>13</v>
      </c>
      <c r="G324" s="4" t="n">
        <v>5</v>
      </c>
      <c r="H324" s="5" t="n">
        <v>253.46</v>
      </c>
      <c r="I324" s="5" t="n">
        <v>159.31</v>
      </c>
      <c r="J324" s="9" t="n">
        <v>0.15</v>
      </c>
      <c r="K324" s="5" t="n">
        <f aca="false">G324*H324*(1-J324)</f>
        <v>1077.205</v>
      </c>
      <c r="L324" s="5" t="n">
        <f aca="false">K324-(G324*I324)</f>
        <v>280.655</v>
      </c>
    </row>
    <row r="325" customFormat="false" ht="16.4" hidden="false" customHeight="false" outlineLevel="0" collapsed="false">
      <c r="A325" s="4" t="s">
        <v>1794</v>
      </c>
      <c r="B325" s="6" t="n">
        <v>45723</v>
      </c>
      <c r="C325" s="4" t="s">
        <v>1289</v>
      </c>
      <c r="D325" s="4" t="s">
        <v>282</v>
      </c>
      <c r="E325" s="4" t="s">
        <v>18</v>
      </c>
      <c r="F325" s="4" t="s">
        <v>25</v>
      </c>
      <c r="G325" s="4" t="n">
        <v>1</v>
      </c>
      <c r="H325" s="5" t="n">
        <v>259.25</v>
      </c>
      <c r="I325" s="5" t="n">
        <v>92.85</v>
      </c>
      <c r="J325" s="9" t="n">
        <v>0</v>
      </c>
      <c r="K325" s="5" t="n">
        <f aca="false">G325*H325*(1-J325)</f>
        <v>259.25</v>
      </c>
      <c r="L325" s="5" t="n">
        <f aca="false">K325-(G325*I325)</f>
        <v>166.4</v>
      </c>
    </row>
    <row r="326" customFormat="false" ht="16.4" hidden="false" customHeight="false" outlineLevel="0" collapsed="false">
      <c r="A326" s="4" t="s">
        <v>1795</v>
      </c>
      <c r="B326" s="6" t="n">
        <v>45838</v>
      </c>
      <c r="C326" s="4" t="s">
        <v>1379</v>
      </c>
      <c r="D326" s="4" t="s">
        <v>108</v>
      </c>
      <c r="E326" s="4" t="s">
        <v>6</v>
      </c>
      <c r="F326" s="4" t="s">
        <v>19</v>
      </c>
      <c r="G326" s="4" t="n">
        <v>21</v>
      </c>
      <c r="H326" s="5" t="n">
        <v>493.82</v>
      </c>
      <c r="I326" s="5" t="n">
        <v>305.51</v>
      </c>
      <c r="J326" s="9" t="n">
        <v>0.08</v>
      </c>
      <c r="K326" s="5" t="n">
        <f aca="false">G326*H326*(1-J326)</f>
        <v>9540.6024</v>
      </c>
      <c r="L326" s="5" t="n">
        <f aca="false">K326-(G326*I326)</f>
        <v>3124.8924</v>
      </c>
    </row>
    <row r="327" customFormat="false" ht="16.4" hidden="false" customHeight="false" outlineLevel="0" collapsed="false">
      <c r="A327" s="4" t="s">
        <v>1796</v>
      </c>
      <c r="B327" s="6" t="n">
        <v>46171</v>
      </c>
      <c r="C327" s="4" t="s">
        <v>771</v>
      </c>
      <c r="D327" s="4" t="s">
        <v>288</v>
      </c>
      <c r="E327" s="4" t="s">
        <v>18</v>
      </c>
      <c r="F327" s="4" t="s">
        <v>7</v>
      </c>
      <c r="G327" s="4" t="n">
        <v>9</v>
      </c>
      <c r="H327" s="5" t="n">
        <v>1158.55</v>
      </c>
      <c r="I327" s="5" t="n">
        <v>455.59</v>
      </c>
      <c r="J327" s="9" t="n">
        <v>0.08</v>
      </c>
      <c r="K327" s="5" t="n">
        <f aca="false">G327*H327*(1-J327)</f>
        <v>9592.794</v>
      </c>
      <c r="L327" s="5" t="n">
        <f aca="false">K327-(G327*I327)</f>
        <v>5492.484</v>
      </c>
    </row>
    <row r="328" customFormat="false" ht="16.4" hidden="false" customHeight="false" outlineLevel="0" collapsed="false">
      <c r="A328" s="4" t="s">
        <v>1797</v>
      </c>
      <c r="B328" s="6" t="n">
        <v>45353</v>
      </c>
      <c r="C328" s="4" t="s">
        <v>565</v>
      </c>
      <c r="D328" s="4" t="s">
        <v>242</v>
      </c>
      <c r="E328" s="4" t="s">
        <v>24</v>
      </c>
      <c r="F328" s="4" t="s">
        <v>13</v>
      </c>
      <c r="G328" s="4" t="n">
        <v>23</v>
      </c>
      <c r="H328" s="5" t="n">
        <v>966.66</v>
      </c>
      <c r="I328" s="5" t="n">
        <v>596.46</v>
      </c>
      <c r="J328" s="9" t="n">
        <v>0</v>
      </c>
      <c r="K328" s="5" t="n">
        <f aca="false">G328*H328*(1-J328)</f>
        <v>22233.18</v>
      </c>
      <c r="L328" s="5" t="n">
        <f aca="false">K328-(G328*I328)</f>
        <v>8514.6</v>
      </c>
    </row>
    <row r="329" customFormat="false" ht="16.4" hidden="false" customHeight="false" outlineLevel="0" collapsed="false">
      <c r="A329" s="4" t="s">
        <v>1798</v>
      </c>
      <c r="B329" s="6" t="n">
        <v>45752</v>
      </c>
      <c r="C329" s="4" t="s">
        <v>951</v>
      </c>
      <c r="D329" s="4" t="s">
        <v>170</v>
      </c>
      <c r="E329" s="4" t="s">
        <v>24</v>
      </c>
      <c r="F329" s="4" t="s">
        <v>19</v>
      </c>
      <c r="G329" s="4" t="n">
        <v>21</v>
      </c>
      <c r="H329" s="5" t="n">
        <v>356.06</v>
      </c>
      <c r="I329" s="5" t="n">
        <v>154.62</v>
      </c>
      <c r="J329" s="9" t="n">
        <v>0</v>
      </c>
      <c r="K329" s="5" t="n">
        <f aca="false">G329*H329*(1-J329)</f>
        <v>7477.26</v>
      </c>
      <c r="L329" s="5" t="n">
        <f aca="false">K329-(G329*I329)</f>
        <v>4230.24</v>
      </c>
    </row>
    <row r="330" customFormat="false" ht="16.4" hidden="false" customHeight="false" outlineLevel="0" collapsed="false">
      <c r="A330" s="4" t="s">
        <v>1799</v>
      </c>
      <c r="B330" s="6" t="n">
        <v>45862</v>
      </c>
      <c r="C330" s="4" t="s">
        <v>833</v>
      </c>
      <c r="D330" s="4" t="s">
        <v>172</v>
      </c>
      <c r="E330" s="4" t="s">
        <v>30</v>
      </c>
      <c r="F330" s="4" t="s">
        <v>19</v>
      </c>
      <c r="G330" s="4" t="n">
        <v>12</v>
      </c>
      <c r="H330" s="5" t="n">
        <v>618.86</v>
      </c>
      <c r="I330" s="5" t="n">
        <v>278.76</v>
      </c>
      <c r="J330" s="9" t="n">
        <v>0.08</v>
      </c>
      <c r="K330" s="5" t="n">
        <f aca="false">G330*H330*(1-J330)</f>
        <v>6832.2144</v>
      </c>
      <c r="L330" s="5" t="n">
        <f aca="false">K330-(G330*I330)</f>
        <v>3487.0944</v>
      </c>
    </row>
    <row r="331" customFormat="false" ht="16.4" hidden="false" customHeight="false" outlineLevel="0" collapsed="false">
      <c r="A331" s="4" t="s">
        <v>1800</v>
      </c>
      <c r="B331" s="6" t="n">
        <v>45651</v>
      </c>
      <c r="C331" s="4" t="s">
        <v>478</v>
      </c>
      <c r="D331" s="4" t="s">
        <v>216</v>
      </c>
      <c r="E331" s="4" t="s">
        <v>6</v>
      </c>
      <c r="F331" s="4" t="s">
        <v>13</v>
      </c>
      <c r="G331" s="4" t="n">
        <v>14</v>
      </c>
      <c r="H331" s="5" t="n">
        <v>497.82</v>
      </c>
      <c r="I331" s="5" t="n">
        <v>233.11</v>
      </c>
      <c r="J331" s="9" t="n">
        <v>0</v>
      </c>
      <c r="K331" s="5" t="n">
        <f aca="false">G331*H331*(1-J331)</f>
        <v>6969.48</v>
      </c>
      <c r="L331" s="5" t="n">
        <f aca="false">K331-(G331*I331)</f>
        <v>3705.94</v>
      </c>
    </row>
    <row r="332" customFormat="false" ht="16.4" hidden="false" customHeight="false" outlineLevel="0" collapsed="false">
      <c r="A332" s="4" t="s">
        <v>1801</v>
      </c>
      <c r="B332" s="6" t="n">
        <v>45843</v>
      </c>
      <c r="C332" s="4" t="s">
        <v>1053</v>
      </c>
      <c r="D332" s="4" t="s">
        <v>334</v>
      </c>
      <c r="E332" s="4" t="s">
        <v>30</v>
      </c>
      <c r="F332" s="4" t="s">
        <v>13</v>
      </c>
      <c r="G332" s="4" t="n">
        <v>21</v>
      </c>
      <c r="H332" s="5" t="n">
        <v>41.62</v>
      </c>
      <c r="I332" s="5" t="n">
        <v>23.46</v>
      </c>
      <c r="J332" s="9" t="n">
        <v>0.1</v>
      </c>
      <c r="K332" s="5" t="n">
        <f aca="false">G332*H332*(1-J332)</f>
        <v>786.618</v>
      </c>
      <c r="L332" s="5" t="n">
        <f aca="false">K332-(G332*I332)</f>
        <v>293.958</v>
      </c>
    </row>
    <row r="333" customFormat="false" ht="16.4" hidden="false" customHeight="false" outlineLevel="0" collapsed="false">
      <c r="A333" s="4" t="s">
        <v>1802</v>
      </c>
      <c r="B333" s="6" t="n">
        <v>45981</v>
      </c>
      <c r="C333" s="4" t="s">
        <v>755</v>
      </c>
      <c r="D333" s="4" t="s">
        <v>438</v>
      </c>
      <c r="E333" s="4" t="s">
        <v>18</v>
      </c>
      <c r="F333" s="4" t="s">
        <v>25</v>
      </c>
      <c r="G333" s="4" t="n">
        <v>12</v>
      </c>
      <c r="H333" s="5" t="n">
        <v>960.47</v>
      </c>
      <c r="I333" s="5" t="n">
        <v>448.87</v>
      </c>
      <c r="J333" s="9" t="n">
        <v>0.02</v>
      </c>
      <c r="K333" s="5" t="n">
        <f aca="false">G333*H333*(1-J333)</f>
        <v>11295.1272</v>
      </c>
      <c r="L333" s="5" t="n">
        <f aca="false">K333-(G333*I333)</f>
        <v>5908.6872</v>
      </c>
    </row>
    <row r="334" customFormat="false" ht="16.4" hidden="false" customHeight="false" outlineLevel="0" collapsed="false">
      <c r="A334" s="4" t="s">
        <v>1803</v>
      </c>
      <c r="B334" s="6" t="n">
        <v>45682</v>
      </c>
      <c r="C334" s="4" t="s">
        <v>1219</v>
      </c>
      <c r="D334" s="4" t="s">
        <v>436</v>
      </c>
      <c r="E334" s="4" t="s">
        <v>18</v>
      </c>
      <c r="F334" s="4" t="s">
        <v>19</v>
      </c>
      <c r="G334" s="4" t="n">
        <v>15</v>
      </c>
      <c r="H334" s="5" t="n">
        <v>220.48</v>
      </c>
      <c r="I334" s="5" t="n">
        <v>103.58</v>
      </c>
      <c r="J334" s="9" t="n">
        <v>0</v>
      </c>
      <c r="K334" s="5" t="n">
        <f aca="false">G334*H334*(1-J334)</f>
        <v>3307.2</v>
      </c>
      <c r="L334" s="5" t="n">
        <f aca="false">K334-(G334*I334)</f>
        <v>1753.5</v>
      </c>
    </row>
    <row r="335" customFormat="false" ht="16.4" hidden="false" customHeight="false" outlineLevel="0" collapsed="false">
      <c r="A335" s="4" t="s">
        <v>1804</v>
      </c>
      <c r="B335" s="6" t="n">
        <v>45463</v>
      </c>
      <c r="C335" s="4" t="s">
        <v>1111</v>
      </c>
      <c r="D335" s="4" t="s">
        <v>276</v>
      </c>
      <c r="E335" s="4" t="s">
        <v>6</v>
      </c>
      <c r="F335" s="4" t="s">
        <v>19</v>
      </c>
      <c r="G335" s="4" t="n">
        <v>5</v>
      </c>
      <c r="H335" s="5" t="n">
        <v>908.61</v>
      </c>
      <c r="I335" s="5" t="n">
        <v>620.37</v>
      </c>
      <c r="J335" s="9" t="n">
        <v>0.15</v>
      </c>
      <c r="K335" s="5" t="n">
        <f aca="false">G335*H335*(1-J335)</f>
        <v>3861.5925</v>
      </c>
      <c r="L335" s="5" t="n">
        <f aca="false">K335-(G335*I335)</f>
        <v>759.7425</v>
      </c>
    </row>
    <row r="336" customFormat="false" ht="16.4" hidden="false" customHeight="false" outlineLevel="0" collapsed="false">
      <c r="A336" s="4" t="s">
        <v>1805</v>
      </c>
      <c r="B336" s="6" t="n">
        <v>45706</v>
      </c>
      <c r="C336" s="4" t="s">
        <v>1111</v>
      </c>
      <c r="D336" s="4" t="s">
        <v>254</v>
      </c>
      <c r="E336" s="4" t="s">
        <v>6</v>
      </c>
      <c r="F336" s="4" t="s">
        <v>7</v>
      </c>
      <c r="G336" s="4" t="n">
        <v>20</v>
      </c>
      <c r="H336" s="5" t="n">
        <v>202.23</v>
      </c>
      <c r="I336" s="5" t="n">
        <v>101.76</v>
      </c>
      <c r="J336" s="9" t="n">
        <v>0.08</v>
      </c>
      <c r="K336" s="5" t="n">
        <f aca="false">G336*H336*(1-J336)</f>
        <v>3721.032</v>
      </c>
      <c r="L336" s="5" t="n">
        <f aca="false">K336-(G336*I336)</f>
        <v>1685.832</v>
      </c>
    </row>
    <row r="337" customFormat="false" ht="16.4" hidden="false" customHeight="false" outlineLevel="0" collapsed="false">
      <c r="A337" s="4" t="s">
        <v>1806</v>
      </c>
      <c r="B337" s="6" t="n">
        <v>45613</v>
      </c>
      <c r="C337" s="4" t="s">
        <v>629</v>
      </c>
      <c r="D337" s="4" t="s">
        <v>80</v>
      </c>
      <c r="E337" s="4" t="s">
        <v>30</v>
      </c>
      <c r="F337" s="4" t="s">
        <v>19</v>
      </c>
      <c r="G337" s="4" t="n">
        <v>11</v>
      </c>
      <c r="H337" s="5" t="n">
        <v>623.69</v>
      </c>
      <c r="I337" s="5" t="n">
        <v>240.97</v>
      </c>
      <c r="J337" s="9" t="n">
        <v>0</v>
      </c>
      <c r="K337" s="5" t="n">
        <f aca="false">G337*H337*(1-J337)</f>
        <v>6860.59</v>
      </c>
      <c r="L337" s="5" t="n">
        <f aca="false">K337-(G337*I337)</f>
        <v>4209.92</v>
      </c>
    </row>
    <row r="338" customFormat="false" ht="16.4" hidden="false" customHeight="false" outlineLevel="0" collapsed="false">
      <c r="A338" s="4" t="s">
        <v>1807</v>
      </c>
      <c r="B338" s="6" t="n">
        <v>45911</v>
      </c>
      <c r="C338" s="4" t="s">
        <v>763</v>
      </c>
      <c r="D338" s="4" t="s">
        <v>374</v>
      </c>
      <c r="E338" s="4" t="s">
        <v>18</v>
      </c>
      <c r="F338" s="4" t="s">
        <v>25</v>
      </c>
      <c r="G338" s="4" t="n">
        <v>23</v>
      </c>
      <c r="H338" s="5" t="n">
        <v>702.09</v>
      </c>
      <c r="I338" s="5" t="n">
        <v>460.04</v>
      </c>
      <c r="J338" s="9" t="n">
        <v>0.02</v>
      </c>
      <c r="K338" s="5" t="n">
        <f aca="false">G338*H338*(1-J338)</f>
        <v>15825.1086</v>
      </c>
      <c r="L338" s="5" t="n">
        <f aca="false">K338-(G338*I338)</f>
        <v>5244.1886</v>
      </c>
    </row>
    <row r="339" customFormat="false" ht="16.4" hidden="false" customHeight="false" outlineLevel="0" collapsed="false">
      <c r="A339" s="4" t="s">
        <v>1808</v>
      </c>
      <c r="B339" s="6" t="n">
        <v>46175</v>
      </c>
      <c r="C339" s="4" t="s">
        <v>1373</v>
      </c>
      <c r="D339" s="4" t="s">
        <v>178</v>
      </c>
      <c r="E339" s="4" t="s">
        <v>24</v>
      </c>
      <c r="F339" s="4" t="s">
        <v>19</v>
      </c>
      <c r="G339" s="4" t="n">
        <v>15</v>
      </c>
      <c r="H339" s="5" t="n">
        <v>673.22</v>
      </c>
      <c r="I339" s="5" t="n">
        <v>350.8</v>
      </c>
      <c r="J339" s="9" t="n">
        <v>0.15</v>
      </c>
      <c r="K339" s="5" t="n">
        <f aca="false">G339*H339*(1-J339)</f>
        <v>8583.555</v>
      </c>
      <c r="L339" s="5" t="n">
        <f aca="false">K339-(G339*I339)</f>
        <v>3321.555</v>
      </c>
    </row>
    <row r="340" customFormat="false" ht="16.4" hidden="false" customHeight="false" outlineLevel="0" collapsed="false">
      <c r="A340" s="4" t="s">
        <v>1809</v>
      </c>
      <c r="B340" s="6" t="n">
        <v>45715</v>
      </c>
      <c r="C340" s="4" t="s">
        <v>1065</v>
      </c>
      <c r="D340" s="4" t="s">
        <v>422</v>
      </c>
      <c r="E340" s="4" t="s">
        <v>18</v>
      </c>
      <c r="F340" s="4" t="s">
        <v>13</v>
      </c>
      <c r="G340" s="4" t="n">
        <v>17</v>
      </c>
      <c r="H340" s="5" t="n">
        <v>1052.17</v>
      </c>
      <c r="I340" s="5" t="n">
        <v>553.57</v>
      </c>
      <c r="J340" s="9" t="n">
        <v>0.05</v>
      </c>
      <c r="K340" s="5" t="n">
        <f aca="false">G340*H340*(1-J340)</f>
        <v>16992.5455</v>
      </c>
      <c r="L340" s="5" t="n">
        <f aca="false">K340-(G340*I340)</f>
        <v>7581.8555</v>
      </c>
    </row>
    <row r="341" customFormat="false" ht="16.4" hidden="false" customHeight="false" outlineLevel="0" collapsed="false">
      <c r="A341" s="4" t="s">
        <v>1810</v>
      </c>
      <c r="B341" s="6" t="n">
        <v>46037</v>
      </c>
      <c r="C341" s="4" t="s">
        <v>1339</v>
      </c>
      <c r="D341" s="4" t="s">
        <v>134</v>
      </c>
      <c r="E341" s="4" t="s">
        <v>6</v>
      </c>
      <c r="F341" s="4" t="s">
        <v>13</v>
      </c>
      <c r="G341" s="4" t="n">
        <v>1</v>
      </c>
      <c r="H341" s="5" t="n">
        <v>1113.48</v>
      </c>
      <c r="I341" s="5" t="n">
        <v>767.72</v>
      </c>
      <c r="J341" s="9" t="n">
        <v>0</v>
      </c>
      <c r="K341" s="5" t="n">
        <f aca="false">G341*H341*(1-J341)</f>
        <v>1113.48</v>
      </c>
      <c r="L341" s="5" t="n">
        <f aca="false">K341-(G341*I341)</f>
        <v>345.76</v>
      </c>
    </row>
    <row r="342" customFormat="false" ht="16.4" hidden="false" customHeight="false" outlineLevel="0" collapsed="false">
      <c r="A342" s="4" t="s">
        <v>1811</v>
      </c>
      <c r="B342" s="6" t="n">
        <v>46059</v>
      </c>
      <c r="C342" s="4" t="s">
        <v>721</v>
      </c>
      <c r="D342" s="4" t="s">
        <v>378</v>
      </c>
      <c r="E342" s="4" t="s">
        <v>24</v>
      </c>
      <c r="F342" s="4" t="s">
        <v>7</v>
      </c>
      <c r="G342" s="4" t="n">
        <v>24</v>
      </c>
      <c r="H342" s="5" t="n">
        <v>1163.64</v>
      </c>
      <c r="I342" s="5" t="n">
        <v>626.04</v>
      </c>
      <c r="J342" s="9" t="n">
        <v>0.1</v>
      </c>
      <c r="K342" s="5" t="n">
        <f aca="false">G342*H342*(1-J342)</f>
        <v>25134.624</v>
      </c>
      <c r="L342" s="5" t="n">
        <f aca="false">K342-(G342*I342)</f>
        <v>10109.664</v>
      </c>
    </row>
    <row r="343" customFormat="false" ht="16.4" hidden="false" customHeight="false" outlineLevel="0" collapsed="false">
      <c r="A343" s="4" t="s">
        <v>1812</v>
      </c>
      <c r="B343" s="6" t="n">
        <v>45389</v>
      </c>
      <c r="C343" s="4" t="s">
        <v>635</v>
      </c>
      <c r="D343" s="4" t="s">
        <v>146</v>
      </c>
      <c r="E343" s="4" t="s">
        <v>24</v>
      </c>
      <c r="F343" s="4" t="s">
        <v>7</v>
      </c>
      <c r="G343" s="4" t="n">
        <v>13</v>
      </c>
      <c r="H343" s="5" t="n">
        <v>1153.92</v>
      </c>
      <c r="I343" s="5" t="n">
        <v>440.85</v>
      </c>
      <c r="J343" s="9" t="n">
        <v>0</v>
      </c>
      <c r="K343" s="5" t="n">
        <f aca="false">G343*H343*(1-J343)</f>
        <v>15000.96</v>
      </c>
      <c r="L343" s="5" t="n">
        <f aca="false">K343-(G343*I343)</f>
        <v>9269.91</v>
      </c>
    </row>
    <row r="344" customFormat="false" ht="16.4" hidden="false" customHeight="false" outlineLevel="0" collapsed="false">
      <c r="A344" s="4" t="s">
        <v>1813</v>
      </c>
      <c r="B344" s="6" t="n">
        <v>46081</v>
      </c>
      <c r="C344" s="4" t="s">
        <v>1025</v>
      </c>
      <c r="D344" s="4" t="s">
        <v>282</v>
      </c>
      <c r="E344" s="4" t="s">
        <v>30</v>
      </c>
      <c r="F344" s="4" t="s">
        <v>25</v>
      </c>
      <c r="G344" s="4" t="n">
        <v>2</v>
      </c>
      <c r="H344" s="5" t="n">
        <v>259.25</v>
      </c>
      <c r="I344" s="5" t="n">
        <v>92.85</v>
      </c>
      <c r="J344" s="9" t="n">
        <v>0</v>
      </c>
      <c r="K344" s="5" t="n">
        <f aca="false">G344*H344*(1-J344)</f>
        <v>518.5</v>
      </c>
      <c r="L344" s="5" t="n">
        <f aca="false">K344-(G344*I344)</f>
        <v>332.8</v>
      </c>
    </row>
    <row r="345" customFormat="false" ht="16.4" hidden="false" customHeight="false" outlineLevel="0" collapsed="false">
      <c r="A345" s="4" t="s">
        <v>1814</v>
      </c>
      <c r="B345" s="6" t="n">
        <v>45560</v>
      </c>
      <c r="C345" s="4" t="s">
        <v>1247</v>
      </c>
      <c r="D345" s="4" t="s">
        <v>308</v>
      </c>
      <c r="E345" s="4" t="s">
        <v>6</v>
      </c>
      <c r="F345" s="4" t="s">
        <v>13</v>
      </c>
      <c r="G345" s="4" t="n">
        <v>3</v>
      </c>
      <c r="H345" s="5" t="n">
        <v>352.74</v>
      </c>
      <c r="I345" s="5" t="n">
        <v>187.07</v>
      </c>
      <c r="J345" s="9" t="n">
        <v>0</v>
      </c>
      <c r="K345" s="5" t="n">
        <f aca="false">G345*H345*(1-J345)</f>
        <v>1058.22</v>
      </c>
      <c r="L345" s="5" t="n">
        <f aca="false">K345-(G345*I345)</f>
        <v>497.01</v>
      </c>
    </row>
    <row r="346" customFormat="false" ht="16.4" hidden="false" customHeight="false" outlineLevel="0" collapsed="false">
      <c r="A346" s="4" t="s">
        <v>1815</v>
      </c>
      <c r="B346" s="6" t="n">
        <v>45526</v>
      </c>
      <c r="C346" s="4" t="s">
        <v>1135</v>
      </c>
      <c r="D346" s="4" t="s">
        <v>82</v>
      </c>
      <c r="E346" s="4" t="s">
        <v>12</v>
      </c>
      <c r="F346" s="4" t="s">
        <v>13</v>
      </c>
      <c r="G346" s="4" t="n">
        <v>13</v>
      </c>
      <c r="H346" s="5" t="n">
        <v>762.25</v>
      </c>
      <c r="I346" s="5" t="n">
        <v>508.29</v>
      </c>
      <c r="J346" s="9" t="n">
        <v>0.02</v>
      </c>
      <c r="K346" s="5" t="n">
        <f aca="false">G346*H346*(1-J346)</f>
        <v>9711.065</v>
      </c>
      <c r="L346" s="5" t="n">
        <f aca="false">K346-(G346*I346)</f>
        <v>3103.295</v>
      </c>
    </row>
    <row r="347" customFormat="false" ht="16.4" hidden="false" customHeight="false" outlineLevel="0" collapsed="false">
      <c r="A347" s="4" t="s">
        <v>1816</v>
      </c>
      <c r="B347" s="6" t="n">
        <v>45421</v>
      </c>
      <c r="C347" s="4" t="s">
        <v>755</v>
      </c>
      <c r="D347" s="4" t="s">
        <v>416</v>
      </c>
      <c r="E347" s="4" t="s">
        <v>18</v>
      </c>
      <c r="F347" s="4" t="s">
        <v>13</v>
      </c>
      <c r="G347" s="4" t="n">
        <v>15</v>
      </c>
      <c r="H347" s="5" t="n">
        <v>900.03</v>
      </c>
      <c r="I347" s="5" t="n">
        <v>568.9</v>
      </c>
      <c r="J347" s="9" t="n">
        <v>0.1</v>
      </c>
      <c r="K347" s="5" t="n">
        <f aca="false">G347*H347*(1-J347)</f>
        <v>12150.405</v>
      </c>
      <c r="L347" s="5" t="n">
        <f aca="false">K347-(G347*I347)</f>
        <v>3616.905</v>
      </c>
    </row>
    <row r="348" customFormat="false" ht="16.4" hidden="false" customHeight="false" outlineLevel="0" collapsed="false">
      <c r="A348" s="4" t="s">
        <v>1817</v>
      </c>
      <c r="B348" s="6" t="n">
        <v>45327</v>
      </c>
      <c r="C348" s="4" t="s">
        <v>1323</v>
      </c>
      <c r="D348" s="4" t="s">
        <v>308</v>
      </c>
      <c r="E348" s="4" t="s">
        <v>12</v>
      </c>
      <c r="F348" s="4" t="s">
        <v>19</v>
      </c>
      <c r="G348" s="4" t="n">
        <v>6</v>
      </c>
      <c r="H348" s="5" t="n">
        <v>352.74</v>
      </c>
      <c r="I348" s="5" t="n">
        <v>187.07</v>
      </c>
      <c r="J348" s="9" t="n">
        <v>0</v>
      </c>
      <c r="K348" s="5" t="n">
        <f aca="false">G348*H348*(1-J348)</f>
        <v>2116.44</v>
      </c>
      <c r="L348" s="5" t="n">
        <f aca="false">K348-(G348*I348)</f>
        <v>994.02</v>
      </c>
    </row>
    <row r="349" customFormat="false" ht="16.4" hidden="false" customHeight="false" outlineLevel="0" collapsed="false">
      <c r="A349" s="4" t="s">
        <v>1818</v>
      </c>
      <c r="B349" s="6" t="n">
        <v>46183</v>
      </c>
      <c r="C349" s="4" t="s">
        <v>1349</v>
      </c>
      <c r="D349" s="4" t="s">
        <v>206</v>
      </c>
      <c r="E349" s="4" t="s">
        <v>6</v>
      </c>
      <c r="F349" s="4" t="s">
        <v>19</v>
      </c>
      <c r="G349" s="4" t="n">
        <v>16</v>
      </c>
      <c r="H349" s="5" t="n">
        <v>152.37</v>
      </c>
      <c r="I349" s="5" t="n">
        <v>79.82</v>
      </c>
      <c r="J349" s="9" t="n">
        <v>0.05</v>
      </c>
      <c r="K349" s="5" t="n">
        <f aca="false">G349*H349*(1-J349)</f>
        <v>2316.024</v>
      </c>
      <c r="L349" s="5" t="n">
        <f aca="false">K349-(G349*I349)</f>
        <v>1038.904</v>
      </c>
    </row>
    <row r="350" customFormat="false" ht="16.4" hidden="false" customHeight="false" outlineLevel="0" collapsed="false">
      <c r="A350" s="4" t="s">
        <v>1819</v>
      </c>
      <c r="B350" s="6" t="n">
        <v>45844</v>
      </c>
      <c r="C350" s="4" t="s">
        <v>919</v>
      </c>
      <c r="D350" s="4" t="s">
        <v>320</v>
      </c>
      <c r="E350" s="4" t="s">
        <v>6</v>
      </c>
      <c r="F350" s="4" t="s">
        <v>13</v>
      </c>
      <c r="G350" s="4" t="n">
        <v>5</v>
      </c>
      <c r="H350" s="5" t="n">
        <v>956.7</v>
      </c>
      <c r="I350" s="5" t="n">
        <v>370.45</v>
      </c>
      <c r="J350" s="9" t="n">
        <v>0.1</v>
      </c>
      <c r="K350" s="5" t="n">
        <f aca="false">G350*H350*(1-J350)</f>
        <v>4305.15</v>
      </c>
      <c r="L350" s="5" t="n">
        <f aca="false">K350-(G350*I350)</f>
        <v>2452.9</v>
      </c>
    </row>
    <row r="351" customFormat="false" ht="16.4" hidden="false" customHeight="false" outlineLevel="0" collapsed="false">
      <c r="A351" s="4" t="s">
        <v>1820</v>
      </c>
      <c r="B351" s="6" t="n">
        <v>46058</v>
      </c>
      <c r="C351" s="4" t="s">
        <v>1075</v>
      </c>
      <c r="D351" s="4" t="s">
        <v>342</v>
      </c>
      <c r="E351" s="4" t="s">
        <v>6</v>
      </c>
      <c r="F351" s="4" t="s">
        <v>25</v>
      </c>
      <c r="G351" s="4" t="n">
        <v>15</v>
      </c>
      <c r="H351" s="5" t="n">
        <v>990.99</v>
      </c>
      <c r="I351" s="5" t="n">
        <v>505.69</v>
      </c>
      <c r="J351" s="9" t="n">
        <v>0.1</v>
      </c>
      <c r="K351" s="5" t="n">
        <f aca="false">G351*H351*(1-J351)</f>
        <v>13378.365</v>
      </c>
      <c r="L351" s="5" t="n">
        <f aca="false">K351-(G351*I351)</f>
        <v>5793.015</v>
      </c>
    </row>
    <row r="352" customFormat="false" ht="16.4" hidden="false" customHeight="false" outlineLevel="0" collapsed="false">
      <c r="A352" s="4" t="s">
        <v>1821</v>
      </c>
      <c r="B352" s="6" t="n">
        <v>45609</v>
      </c>
      <c r="C352" s="4" t="s">
        <v>1119</v>
      </c>
      <c r="D352" s="4" t="s">
        <v>308</v>
      </c>
      <c r="E352" s="4" t="s">
        <v>30</v>
      </c>
      <c r="F352" s="4" t="s">
        <v>19</v>
      </c>
      <c r="G352" s="4" t="n">
        <v>21</v>
      </c>
      <c r="H352" s="5" t="n">
        <v>352.74</v>
      </c>
      <c r="I352" s="5" t="n">
        <v>187.07</v>
      </c>
      <c r="J352" s="9" t="n">
        <v>0.08</v>
      </c>
      <c r="K352" s="5" t="n">
        <f aca="false">G352*H352*(1-J352)</f>
        <v>6814.9368</v>
      </c>
      <c r="L352" s="5" t="n">
        <f aca="false">K352-(G352*I352)</f>
        <v>2886.4668</v>
      </c>
    </row>
    <row r="353" customFormat="false" ht="16.4" hidden="false" customHeight="false" outlineLevel="0" collapsed="false">
      <c r="A353" s="4" t="s">
        <v>1822</v>
      </c>
      <c r="B353" s="6" t="n">
        <v>45383</v>
      </c>
      <c r="C353" s="4" t="s">
        <v>1017</v>
      </c>
      <c r="D353" s="4" t="s">
        <v>286</v>
      </c>
      <c r="E353" s="4" t="s">
        <v>24</v>
      </c>
      <c r="F353" s="4" t="s">
        <v>25</v>
      </c>
      <c r="G353" s="4" t="n">
        <v>8</v>
      </c>
      <c r="H353" s="5" t="n">
        <v>926.11</v>
      </c>
      <c r="I353" s="5" t="n">
        <v>386.29</v>
      </c>
      <c r="J353" s="9" t="n">
        <v>0.15</v>
      </c>
      <c r="K353" s="5" t="n">
        <f aca="false">G353*H353*(1-J353)</f>
        <v>6297.548</v>
      </c>
      <c r="L353" s="5" t="n">
        <f aca="false">K353-(G353*I353)</f>
        <v>3207.228</v>
      </c>
    </row>
    <row r="354" customFormat="false" ht="16.4" hidden="false" customHeight="false" outlineLevel="0" collapsed="false">
      <c r="A354" s="4" t="s">
        <v>1823</v>
      </c>
      <c r="B354" s="6" t="n">
        <v>45451</v>
      </c>
      <c r="C354" s="4" t="s">
        <v>839</v>
      </c>
      <c r="D354" s="4" t="s">
        <v>196</v>
      </c>
      <c r="E354" s="4" t="s">
        <v>12</v>
      </c>
      <c r="F354" s="4" t="s">
        <v>19</v>
      </c>
      <c r="G354" s="4" t="n">
        <v>14</v>
      </c>
      <c r="H354" s="5" t="n">
        <v>1033.85</v>
      </c>
      <c r="I354" s="5" t="n">
        <v>453.83</v>
      </c>
      <c r="J354" s="9" t="n">
        <v>0.02</v>
      </c>
      <c r="K354" s="5" t="n">
        <f aca="false">G354*H354*(1-J354)</f>
        <v>14184.422</v>
      </c>
      <c r="L354" s="5" t="n">
        <f aca="false">K354-(G354*I354)</f>
        <v>7830.802</v>
      </c>
    </row>
    <row r="355" customFormat="false" ht="16.4" hidden="false" customHeight="false" outlineLevel="0" collapsed="false">
      <c r="A355" s="4" t="s">
        <v>1824</v>
      </c>
      <c r="B355" s="6" t="n">
        <v>46068</v>
      </c>
      <c r="C355" s="4" t="s">
        <v>446</v>
      </c>
      <c r="D355" s="4" t="s">
        <v>44</v>
      </c>
      <c r="E355" s="4" t="s">
        <v>12</v>
      </c>
      <c r="F355" s="4" t="s">
        <v>13</v>
      </c>
      <c r="G355" s="4" t="n">
        <v>17</v>
      </c>
      <c r="H355" s="5" t="n">
        <v>60.01</v>
      </c>
      <c r="I355" s="5" t="n">
        <v>26.25</v>
      </c>
      <c r="J355" s="9" t="n">
        <v>0.15</v>
      </c>
      <c r="K355" s="5" t="n">
        <f aca="false">G355*H355*(1-J355)</f>
        <v>867.1445</v>
      </c>
      <c r="L355" s="5" t="n">
        <f aca="false">K355-(G355*I355)</f>
        <v>420.8945</v>
      </c>
    </row>
    <row r="356" customFormat="false" ht="16.4" hidden="false" customHeight="false" outlineLevel="0" collapsed="false">
      <c r="A356" s="4" t="s">
        <v>1825</v>
      </c>
      <c r="B356" s="6" t="n">
        <v>45300</v>
      </c>
      <c r="C356" s="4" t="s">
        <v>757</v>
      </c>
      <c r="D356" s="4" t="s">
        <v>216</v>
      </c>
      <c r="E356" s="4" t="s">
        <v>12</v>
      </c>
      <c r="F356" s="4" t="s">
        <v>25</v>
      </c>
      <c r="G356" s="4" t="n">
        <v>16</v>
      </c>
      <c r="H356" s="5" t="n">
        <v>497.82</v>
      </c>
      <c r="I356" s="5" t="n">
        <v>233.11</v>
      </c>
      <c r="J356" s="9" t="n">
        <v>0.08</v>
      </c>
      <c r="K356" s="5" t="n">
        <f aca="false">G356*H356*(1-J356)</f>
        <v>7327.9104</v>
      </c>
      <c r="L356" s="5" t="n">
        <f aca="false">K356-(G356*I356)</f>
        <v>3598.1504</v>
      </c>
    </row>
    <row r="357" customFormat="false" ht="16.4" hidden="false" customHeight="false" outlineLevel="0" collapsed="false">
      <c r="A357" s="4" t="s">
        <v>1826</v>
      </c>
      <c r="B357" s="6" t="n">
        <v>46076</v>
      </c>
      <c r="C357" s="4" t="s">
        <v>953</v>
      </c>
      <c r="D357" s="4" t="s">
        <v>426</v>
      </c>
      <c r="E357" s="4" t="s">
        <v>18</v>
      </c>
      <c r="F357" s="4" t="s">
        <v>25</v>
      </c>
      <c r="G357" s="4" t="n">
        <v>10</v>
      </c>
      <c r="H357" s="5" t="n">
        <v>576.65</v>
      </c>
      <c r="I357" s="5" t="n">
        <v>425.38</v>
      </c>
      <c r="J357" s="9" t="n">
        <v>0</v>
      </c>
      <c r="K357" s="5" t="n">
        <f aca="false">G357*H357*(1-J357)</f>
        <v>5766.5</v>
      </c>
      <c r="L357" s="5" t="n">
        <f aca="false">K357-(G357*I357)</f>
        <v>1512.7</v>
      </c>
    </row>
    <row r="358" customFormat="false" ht="16.4" hidden="false" customHeight="false" outlineLevel="0" collapsed="false">
      <c r="A358" s="4" t="s">
        <v>1827</v>
      </c>
      <c r="B358" s="6" t="n">
        <v>45299</v>
      </c>
      <c r="C358" s="4" t="s">
        <v>1075</v>
      </c>
      <c r="D358" s="4" t="s">
        <v>188</v>
      </c>
      <c r="E358" s="4" t="s">
        <v>6</v>
      </c>
      <c r="F358" s="4" t="s">
        <v>19</v>
      </c>
      <c r="G358" s="4" t="n">
        <v>8</v>
      </c>
      <c r="H358" s="5" t="n">
        <v>1063.86</v>
      </c>
      <c r="I358" s="5" t="n">
        <v>545.28</v>
      </c>
      <c r="J358" s="9" t="n">
        <v>0.15</v>
      </c>
      <c r="K358" s="5" t="n">
        <f aca="false">G358*H358*(1-J358)</f>
        <v>7234.248</v>
      </c>
      <c r="L358" s="5" t="n">
        <f aca="false">K358-(G358*I358)</f>
        <v>2872.008</v>
      </c>
    </row>
    <row r="359" customFormat="false" ht="16.4" hidden="false" customHeight="false" outlineLevel="0" collapsed="false">
      <c r="A359" s="4" t="s">
        <v>1828</v>
      </c>
      <c r="B359" s="6" t="n">
        <v>45696</v>
      </c>
      <c r="C359" s="4" t="s">
        <v>885</v>
      </c>
      <c r="D359" s="4" t="s">
        <v>136</v>
      </c>
      <c r="E359" s="4" t="s">
        <v>12</v>
      </c>
      <c r="F359" s="4" t="s">
        <v>13</v>
      </c>
      <c r="G359" s="4" t="n">
        <v>18</v>
      </c>
      <c r="H359" s="5" t="n">
        <v>590.6</v>
      </c>
      <c r="I359" s="5" t="n">
        <v>410.98</v>
      </c>
      <c r="J359" s="9" t="n">
        <v>0.05</v>
      </c>
      <c r="K359" s="5" t="n">
        <f aca="false">G359*H359*(1-J359)</f>
        <v>10099.26</v>
      </c>
      <c r="L359" s="5" t="n">
        <f aca="false">K359-(G359*I359)</f>
        <v>2701.62</v>
      </c>
    </row>
    <row r="360" customFormat="false" ht="16.4" hidden="false" customHeight="false" outlineLevel="0" collapsed="false">
      <c r="A360" s="4" t="s">
        <v>1829</v>
      </c>
      <c r="B360" s="6" t="n">
        <v>45691</v>
      </c>
      <c r="C360" s="4" t="s">
        <v>1197</v>
      </c>
      <c r="D360" s="4" t="s">
        <v>122</v>
      </c>
      <c r="E360" s="4" t="s">
        <v>6</v>
      </c>
      <c r="F360" s="4" t="s">
        <v>25</v>
      </c>
      <c r="G360" s="4" t="n">
        <v>24</v>
      </c>
      <c r="H360" s="5" t="n">
        <v>799.3</v>
      </c>
      <c r="I360" s="5" t="n">
        <v>393.03</v>
      </c>
      <c r="J360" s="9" t="n">
        <v>0.1</v>
      </c>
      <c r="K360" s="5" t="n">
        <f aca="false">G360*H360*(1-J360)</f>
        <v>17264.88</v>
      </c>
      <c r="L360" s="5" t="n">
        <f aca="false">K360-(G360*I360)</f>
        <v>7832.16</v>
      </c>
    </row>
    <row r="361" customFormat="false" ht="16.4" hidden="false" customHeight="false" outlineLevel="0" collapsed="false">
      <c r="A361" s="4" t="s">
        <v>1830</v>
      </c>
      <c r="B361" s="6" t="n">
        <v>45932</v>
      </c>
      <c r="C361" s="4" t="s">
        <v>733</v>
      </c>
      <c r="D361" s="4" t="s">
        <v>152</v>
      </c>
      <c r="E361" s="4" t="s">
        <v>6</v>
      </c>
      <c r="F361" s="4" t="s">
        <v>13</v>
      </c>
      <c r="G361" s="4" t="n">
        <v>3</v>
      </c>
      <c r="H361" s="5" t="n">
        <v>797.41</v>
      </c>
      <c r="I361" s="5" t="n">
        <v>459.38</v>
      </c>
      <c r="J361" s="9" t="n">
        <v>0.05</v>
      </c>
      <c r="K361" s="5" t="n">
        <f aca="false">G361*H361*(1-J361)</f>
        <v>2272.6185</v>
      </c>
      <c r="L361" s="5" t="n">
        <f aca="false">K361-(G361*I361)</f>
        <v>894.4785</v>
      </c>
    </row>
    <row r="362" customFormat="false" ht="16.4" hidden="false" customHeight="false" outlineLevel="0" collapsed="false">
      <c r="A362" s="4" t="s">
        <v>1831</v>
      </c>
      <c r="B362" s="6" t="n">
        <v>46002</v>
      </c>
      <c r="C362" s="4" t="s">
        <v>1247</v>
      </c>
      <c r="D362" s="4" t="s">
        <v>304</v>
      </c>
      <c r="E362" s="4" t="s">
        <v>6</v>
      </c>
      <c r="F362" s="4" t="s">
        <v>19</v>
      </c>
      <c r="G362" s="4" t="n">
        <v>20</v>
      </c>
      <c r="H362" s="5" t="n">
        <v>974.63</v>
      </c>
      <c r="I362" s="5" t="n">
        <v>550.93</v>
      </c>
      <c r="J362" s="9" t="n">
        <v>0.15</v>
      </c>
      <c r="K362" s="5" t="n">
        <f aca="false">G362*H362*(1-J362)</f>
        <v>16568.71</v>
      </c>
      <c r="L362" s="5" t="n">
        <f aca="false">K362-(G362*I362)</f>
        <v>5550.11</v>
      </c>
    </row>
    <row r="363" customFormat="false" ht="16.4" hidden="false" customHeight="false" outlineLevel="0" collapsed="false">
      <c r="A363" s="4" t="s">
        <v>1832</v>
      </c>
      <c r="B363" s="6" t="n">
        <v>46120</v>
      </c>
      <c r="C363" s="4" t="s">
        <v>1129</v>
      </c>
      <c r="D363" s="4" t="s">
        <v>184</v>
      </c>
      <c r="E363" s="4" t="s">
        <v>18</v>
      </c>
      <c r="F363" s="4" t="s">
        <v>19</v>
      </c>
      <c r="G363" s="4" t="n">
        <v>24</v>
      </c>
      <c r="H363" s="5" t="n">
        <v>453.47</v>
      </c>
      <c r="I363" s="5" t="n">
        <v>327.97</v>
      </c>
      <c r="J363" s="9" t="n">
        <v>0.08</v>
      </c>
      <c r="K363" s="5" t="n">
        <f aca="false">G363*H363*(1-J363)</f>
        <v>10012.6176</v>
      </c>
      <c r="L363" s="5" t="n">
        <f aca="false">K363-(G363*I363)</f>
        <v>2141.3376</v>
      </c>
    </row>
    <row r="364" customFormat="false" ht="16.4" hidden="false" customHeight="false" outlineLevel="0" collapsed="false">
      <c r="A364" s="4" t="s">
        <v>1833</v>
      </c>
      <c r="B364" s="6" t="n">
        <v>45431</v>
      </c>
      <c r="C364" s="4" t="s">
        <v>657</v>
      </c>
      <c r="D364" s="4" t="s">
        <v>250</v>
      </c>
      <c r="E364" s="4" t="s">
        <v>12</v>
      </c>
      <c r="F364" s="4" t="s">
        <v>19</v>
      </c>
      <c r="G364" s="4" t="n">
        <v>3</v>
      </c>
      <c r="H364" s="5" t="n">
        <v>594.4</v>
      </c>
      <c r="I364" s="5" t="n">
        <v>264.92</v>
      </c>
      <c r="J364" s="9" t="n">
        <v>0</v>
      </c>
      <c r="K364" s="5" t="n">
        <f aca="false">G364*H364*(1-J364)</f>
        <v>1783.2</v>
      </c>
      <c r="L364" s="5" t="n">
        <f aca="false">K364-(G364*I364)</f>
        <v>988.44</v>
      </c>
    </row>
    <row r="365" customFormat="false" ht="16.4" hidden="false" customHeight="false" outlineLevel="0" collapsed="false">
      <c r="A365" s="4" t="s">
        <v>1834</v>
      </c>
      <c r="B365" s="6" t="n">
        <v>45755</v>
      </c>
      <c r="C365" s="4" t="s">
        <v>1117</v>
      </c>
      <c r="D365" s="4" t="s">
        <v>96</v>
      </c>
      <c r="E365" s="4" t="s">
        <v>18</v>
      </c>
      <c r="F365" s="4" t="s">
        <v>19</v>
      </c>
      <c r="G365" s="4" t="n">
        <v>15</v>
      </c>
      <c r="H365" s="5" t="n">
        <v>1145.36</v>
      </c>
      <c r="I365" s="5" t="n">
        <v>823.48</v>
      </c>
      <c r="J365" s="9" t="n">
        <v>0.08</v>
      </c>
      <c r="K365" s="5" t="n">
        <f aca="false">G365*H365*(1-J365)</f>
        <v>15805.968</v>
      </c>
      <c r="L365" s="5" t="n">
        <f aca="false">K365-(G365*I365)</f>
        <v>3453.768</v>
      </c>
    </row>
    <row r="366" customFormat="false" ht="16.4" hidden="false" customHeight="false" outlineLevel="0" collapsed="false">
      <c r="A366" s="4" t="s">
        <v>1835</v>
      </c>
      <c r="B366" s="6" t="n">
        <v>45620</v>
      </c>
      <c r="C366" s="4" t="s">
        <v>1101</v>
      </c>
      <c r="D366" s="4" t="s">
        <v>398</v>
      </c>
      <c r="E366" s="4" t="s">
        <v>24</v>
      </c>
      <c r="F366" s="4" t="s">
        <v>7</v>
      </c>
      <c r="G366" s="4" t="n">
        <v>16</v>
      </c>
      <c r="H366" s="5" t="n">
        <v>1137.8</v>
      </c>
      <c r="I366" s="5" t="n">
        <v>693.02</v>
      </c>
      <c r="J366" s="9" t="n">
        <v>0</v>
      </c>
      <c r="K366" s="5" t="n">
        <f aca="false">G366*H366*(1-J366)</f>
        <v>18204.8</v>
      </c>
      <c r="L366" s="5" t="n">
        <f aca="false">K366-(G366*I366)</f>
        <v>7116.48</v>
      </c>
    </row>
    <row r="367" customFormat="false" ht="16.4" hidden="false" customHeight="false" outlineLevel="0" collapsed="false">
      <c r="A367" s="4" t="s">
        <v>1836</v>
      </c>
      <c r="B367" s="6" t="n">
        <v>45482</v>
      </c>
      <c r="C367" s="4" t="s">
        <v>512</v>
      </c>
      <c r="D367" s="4" t="s">
        <v>116</v>
      </c>
      <c r="E367" s="4" t="s">
        <v>18</v>
      </c>
      <c r="F367" s="4" t="s">
        <v>7</v>
      </c>
      <c r="G367" s="4" t="n">
        <v>18</v>
      </c>
      <c r="H367" s="5" t="n">
        <v>108.26</v>
      </c>
      <c r="I367" s="5" t="n">
        <v>48.2</v>
      </c>
      <c r="J367" s="9" t="n">
        <v>0</v>
      </c>
      <c r="K367" s="5" t="n">
        <f aca="false">G367*H367*(1-J367)</f>
        <v>1948.68</v>
      </c>
      <c r="L367" s="5" t="n">
        <f aca="false">K367-(G367*I367)</f>
        <v>1081.08</v>
      </c>
    </row>
    <row r="368" customFormat="false" ht="16.4" hidden="false" customHeight="false" outlineLevel="0" collapsed="false">
      <c r="A368" s="4" t="s">
        <v>1837</v>
      </c>
      <c r="B368" s="6" t="n">
        <v>45740</v>
      </c>
      <c r="C368" s="4" t="s">
        <v>739</v>
      </c>
      <c r="D368" s="4" t="s">
        <v>184</v>
      </c>
      <c r="E368" s="4" t="s">
        <v>12</v>
      </c>
      <c r="F368" s="4" t="s">
        <v>7</v>
      </c>
      <c r="G368" s="4" t="n">
        <v>5</v>
      </c>
      <c r="H368" s="5" t="n">
        <v>453.47</v>
      </c>
      <c r="I368" s="5" t="n">
        <v>327.97</v>
      </c>
      <c r="J368" s="9" t="n">
        <v>0.1</v>
      </c>
      <c r="K368" s="5" t="n">
        <f aca="false">G368*H368*(1-J368)</f>
        <v>2040.615</v>
      </c>
      <c r="L368" s="5" t="n">
        <f aca="false">K368-(G368*I368)</f>
        <v>400.765</v>
      </c>
    </row>
    <row r="369" customFormat="false" ht="16.4" hidden="false" customHeight="false" outlineLevel="0" collapsed="false">
      <c r="A369" s="4" t="s">
        <v>1838</v>
      </c>
      <c r="B369" s="6" t="n">
        <v>45797</v>
      </c>
      <c r="C369" s="4" t="s">
        <v>557</v>
      </c>
      <c r="D369" s="4" t="s">
        <v>158</v>
      </c>
      <c r="E369" s="4" t="s">
        <v>30</v>
      </c>
      <c r="F369" s="4" t="s">
        <v>13</v>
      </c>
      <c r="G369" s="4" t="n">
        <v>5</v>
      </c>
      <c r="H369" s="5" t="n">
        <v>563.49</v>
      </c>
      <c r="I369" s="5" t="n">
        <v>422.27</v>
      </c>
      <c r="J369" s="9" t="n">
        <v>0</v>
      </c>
      <c r="K369" s="5" t="n">
        <f aca="false">G369*H369*(1-J369)</f>
        <v>2817.45</v>
      </c>
      <c r="L369" s="5" t="n">
        <f aca="false">K369-(G369*I369)</f>
        <v>706.1</v>
      </c>
    </row>
    <row r="370" customFormat="false" ht="16.4" hidden="false" customHeight="false" outlineLevel="0" collapsed="false">
      <c r="A370" s="4" t="s">
        <v>1839</v>
      </c>
      <c r="B370" s="6" t="n">
        <v>46110</v>
      </c>
      <c r="C370" s="4" t="s">
        <v>895</v>
      </c>
      <c r="D370" s="4" t="s">
        <v>214</v>
      </c>
      <c r="E370" s="4" t="s">
        <v>18</v>
      </c>
      <c r="F370" s="4" t="s">
        <v>25</v>
      </c>
      <c r="G370" s="4" t="n">
        <v>10</v>
      </c>
      <c r="H370" s="5" t="n">
        <v>870.71</v>
      </c>
      <c r="I370" s="5" t="n">
        <v>409.35</v>
      </c>
      <c r="J370" s="9" t="n">
        <v>0.15</v>
      </c>
      <c r="K370" s="5" t="n">
        <f aca="false">G370*H370*(1-J370)</f>
        <v>7401.035</v>
      </c>
      <c r="L370" s="5" t="n">
        <f aca="false">K370-(G370*I370)</f>
        <v>3307.535</v>
      </c>
    </row>
    <row r="371" customFormat="false" ht="16.4" hidden="false" customHeight="false" outlineLevel="0" collapsed="false">
      <c r="A371" s="4" t="s">
        <v>1840</v>
      </c>
      <c r="B371" s="6" t="n">
        <v>45324</v>
      </c>
      <c r="C371" s="4" t="s">
        <v>939</v>
      </c>
      <c r="D371" s="4" t="s">
        <v>230</v>
      </c>
      <c r="E371" s="4" t="s">
        <v>12</v>
      </c>
      <c r="F371" s="4" t="s">
        <v>19</v>
      </c>
      <c r="G371" s="4" t="n">
        <v>23</v>
      </c>
      <c r="H371" s="5" t="n">
        <v>972.71</v>
      </c>
      <c r="I371" s="5" t="n">
        <v>397.78</v>
      </c>
      <c r="J371" s="9" t="n">
        <v>0.15</v>
      </c>
      <c r="K371" s="5" t="n">
        <f aca="false">G371*H371*(1-J371)</f>
        <v>19016.4805</v>
      </c>
      <c r="L371" s="5" t="n">
        <f aca="false">K371-(G371*I371)</f>
        <v>9867.5405</v>
      </c>
    </row>
    <row r="372" customFormat="false" ht="16.4" hidden="false" customHeight="false" outlineLevel="0" collapsed="false">
      <c r="A372" s="4" t="s">
        <v>1841</v>
      </c>
      <c r="B372" s="6" t="n">
        <v>45349</v>
      </c>
      <c r="C372" s="4" t="s">
        <v>1327</v>
      </c>
      <c r="D372" s="4" t="s">
        <v>80</v>
      </c>
      <c r="E372" s="4" t="s">
        <v>18</v>
      </c>
      <c r="F372" s="4" t="s">
        <v>19</v>
      </c>
      <c r="G372" s="4" t="n">
        <v>25</v>
      </c>
      <c r="H372" s="5" t="n">
        <v>623.69</v>
      </c>
      <c r="I372" s="5" t="n">
        <v>240.97</v>
      </c>
      <c r="J372" s="9" t="n">
        <v>0</v>
      </c>
      <c r="K372" s="5" t="n">
        <f aca="false">G372*H372*(1-J372)</f>
        <v>15592.25</v>
      </c>
      <c r="L372" s="5" t="n">
        <f aca="false">K372-(G372*I372)</f>
        <v>9568</v>
      </c>
    </row>
    <row r="373" customFormat="false" ht="16.4" hidden="false" customHeight="false" outlineLevel="0" collapsed="false">
      <c r="A373" s="4" t="s">
        <v>1842</v>
      </c>
      <c r="B373" s="6" t="n">
        <v>45773</v>
      </c>
      <c r="C373" s="4" t="s">
        <v>865</v>
      </c>
      <c r="D373" s="4" t="s">
        <v>436</v>
      </c>
      <c r="E373" s="4" t="s">
        <v>30</v>
      </c>
      <c r="F373" s="4" t="s">
        <v>13</v>
      </c>
      <c r="G373" s="4" t="n">
        <v>3</v>
      </c>
      <c r="H373" s="5" t="n">
        <v>220.48</v>
      </c>
      <c r="I373" s="5" t="n">
        <v>103.58</v>
      </c>
      <c r="J373" s="9" t="n">
        <v>0.08</v>
      </c>
      <c r="K373" s="5" t="n">
        <f aca="false">G373*H373*(1-J373)</f>
        <v>608.5248</v>
      </c>
      <c r="L373" s="5" t="n">
        <f aca="false">K373-(G373*I373)</f>
        <v>297.7848</v>
      </c>
    </row>
    <row r="374" customFormat="false" ht="16.4" hidden="false" customHeight="false" outlineLevel="0" collapsed="false">
      <c r="A374" s="4" t="s">
        <v>1843</v>
      </c>
      <c r="B374" s="6" t="n">
        <v>45682</v>
      </c>
      <c r="C374" s="4" t="s">
        <v>1381</v>
      </c>
      <c r="D374" s="4" t="s">
        <v>138</v>
      </c>
      <c r="E374" s="4" t="s">
        <v>6</v>
      </c>
      <c r="F374" s="4" t="s">
        <v>7</v>
      </c>
      <c r="G374" s="4" t="n">
        <v>9</v>
      </c>
      <c r="H374" s="5" t="n">
        <v>27.53</v>
      </c>
      <c r="I374" s="5" t="n">
        <v>13.93</v>
      </c>
      <c r="J374" s="9" t="n">
        <v>0.15</v>
      </c>
      <c r="K374" s="5" t="n">
        <f aca="false">G374*H374*(1-J374)</f>
        <v>210.6045</v>
      </c>
      <c r="L374" s="5" t="n">
        <f aca="false">K374-(G374*I374)</f>
        <v>85.2345</v>
      </c>
    </row>
    <row r="375" customFormat="false" ht="16.4" hidden="false" customHeight="false" outlineLevel="0" collapsed="false">
      <c r="A375" s="4" t="s">
        <v>1844</v>
      </c>
      <c r="B375" s="6" t="n">
        <v>45546</v>
      </c>
      <c r="C375" s="4" t="s">
        <v>1461</v>
      </c>
      <c r="D375" s="4" t="s">
        <v>102</v>
      </c>
      <c r="E375" s="4" t="s">
        <v>12</v>
      </c>
      <c r="F375" s="4" t="s">
        <v>25</v>
      </c>
      <c r="G375" s="4" t="n">
        <v>25</v>
      </c>
      <c r="H375" s="5" t="n">
        <v>983.83</v>
      </c>
      <c r="I375" s="5" t="n">
        <v>729.21</v>
      </c>
      <c r="J375" s="9" t="n">
        <v>0.1</v>
      </c>
      <c r="K375" s="5" t="n">
        <f aca="false">G375*H375*(1-J375)</f>
        <v>22136.175</v>
      </c>
      <c r="L375" s="5" t="n">
        <f aca="false">K375-(G375*I375)</f>
        <v>3905.925</v>
      </c>
    </row>
    <row r="376" customFormat="false" ht="16.4" hidden="false" customHeight="false" outlineLevel="0" collapsed="false">
      <c r="A376" s="4" t="s">
        <v>1845</v>
      </c>
      <c r="B376" s="6" t="n">
        <v>46047</v>
      </c>
      <c r="C376" s="4" t="s">
        <v>1463</v>
      </c>
      <c r="D376" s="4" t="s">
        <v>434</v>
      </c>
      <c r="E376" s="4" t="s">
        <v>12</v>
      </c>
      <c r="F376" s="4" t="s">
        <v>7</v>
      </c>
      <c r="G376" s="4" t="n">
        <v>15</v>
      </c>
      <c r="H376" s="5" t="n">
        <v>534.92</v>
      </c>
      <c r="I376" s="5" t="n">
        <v>208.29</v>
      </c>
      <c r="J376" s="9" t="n">
        <v>0</v>
      </c>
      <c r="K376" s="5" t="n">
        <f aca="false">G376*H376*(1-J376)</f>
        <v>8023.8</v>
      </c>
      <c r="L376" s="5" t="n">
        <f aca="false">K376-(G376*I376)</f>
        <v>4899.45</v>
      </c>
    </row>
    <row r="377" customFormat="false" ht="16.4" hidden="false" customHeight="false" outlineLevel="0" collapsed="false">
      <c r="A377" s="4" t="s">
        <v>1846</v>
      </c>
      <c r="B377" s="6" t="n">
        <v>45388</v>
      </c>
      <c r="C377" s="4" t="s">
        <v>935</v>
      </c>
      <c r="D377" s="4" t="s">
        <v>140</v>
      </c>
      <c r="E377" s="4" t="s">
        <v>24</v>
      </c>
      <c r="F377" s="4" t="s">
        <v>13</v>
      </c>
      <c r="G377" s="4" t="n">
        <v>24</v>
      </c>
      <c r="H377" s="5" t="n">
        <v>522.03</v>
      </c>
      <c r="I377" s="5" t="n">
        <v>382.61</v>
      </c>
      <c r="J377" s="9" t="n">
        <v>0.15</v>
      </c>
      <c r="K377" s="5" t="n">
        <f aca="false">G377*H377*(1-J377)</f>
        <v>10649.412</v>
      </c>
      <c r="L377" s="5" t="n">
        <f aca="false">K377-(G377*I377)</f>
        <v>1466.772</v>
      </c>
    </row>
    <row r="378" customFormat="false" ht="16.4" hidden="false" customHeight="false" outlineLevel="0" collapsed="false">
      <c r="A378" s="4" t="s">
        <v>1847</v>
      </c>
      <c r="B378" s="6" t="n">
        <v>45622</v>
      </c>
      <c r="C378" s="4" t="s">
        <v>863</v>
      </c>
      <c r="D378" s="4" t="s">
        <v>282</v>
      </c>
      <c r="E378" s="4" t="s">
        <v>18</v>
      </c>
      <c r="F378" s="4" t="s">
        <v>13</v>
      </c>
      <c r="G378" s="4" t="n">
        <v>22</v>
      </c>
      <c r="H378" s="5" t="n">
        <v>259.25</v>
      </c>
      <c r="I378" s="5" t="n">
        <v>92.85</v>
      </c>
      <c r="J378" s="9" t="n">
        <v>0.02</v>
      </c>
      <c r="K378" s="5" t="n">
        <f aca="false">G378*H378*(1-J378)</f>
        <v>5589.43</v>
      </c>
      <c r="L378" s="5" t="n">
        <f aca="false">K378-(G378*I378)</f>
        <v>3546.73</v>
      </c>
    </row>
    <row r="379" customFormat="false" ht="16.4" hidden="false" customHeight="false" outlineLevel="0" collapsed="false">
      <c r="A379" s="4" t="s">
        <v>1848</v>
      </c>
      <c r="B379" s="6" t="n">
        <v>45854</v>
      </c>
      <c r="C379" s="4" t="s">
        <v>1209</v>
      </c>
      <c r="D379" s="4" t="s">
        <v>362</v>
      </c>
      <c r="E379" s="4" t="s">
        <v>30</v>
      </c>
      <c r="F379" s="4" t="s">
        <v>7</v>
      </c>
      <c r="G379" s="4" t="n">
        <v>2</v>
      </c>
      <c r="H379" s="5" t="n">
        <v>159.86</v>
      </c>
      <c r="I379" s="5" t="n">
        <v>70.33</v>
      </c>
      <c r="J379" s="9" t="n">
        <v>0.1</v>
      </c>
      <c r="K379" s="5" t="n">
        <f aca="false">G379*H379*(1-J379)</f>
        <v>287.748</v>
      </c>
      <c r="L379" s="5" t="n">
        <f aca="false">K379-(G379*I379)</f>
        <v>147.088</v>
      </c>
    </row>
    <row r="380" customFormat="false" ht="16.4" hidden="false" customHeight="false" outlineLevel="0" collapsed="false">
      <c r="A380" s="4" t="s">
        <v>1849</v>
      </c>
      <c r="B380" s="6" t="n">
        <v>45495</v>
      </c>
      <c r="C380" s="4" t="s">
        <v>957</v>
      </c>
      <c r="D380" s="4" t="s">
        <v>168</v>
      </c>
      <c r="E380" s="4" t="s">
        <v>6</v>
      </c>
      <c r="F380" s="4" t="s">
        <v>19</v>
      </c>
      <c r="G380" s="4" t="n">
        <v>21</v>
      </c>
      <c r="H380" s="5" t="n">
        <v>160.63</v>
      </c>
      <c r="I380" s="5" t="n">
        <v>63.1</v>
      </c>
      <c r="J380" s="9" t="n">
        <v>0.02</v>
      </c>
      <c r="K380" s="5" t="n">
        <f aca="false">G380*H380*(1-J380)</f>
        <v>3305.7654</v>
      </c>
      <c r="L380" s="5" t="n">
        <f aca="false">K380-(G380*I380)</f>
        <v>1980.6654</v>
      </c>
    </row>
    <row r="381" customFormat="false" ht="16.4" hidden="false" customHeight="false" outlineLevel="0" collapsed="false">
      <c r="A381" s="4" t="s">
        <v>1850</v>
      </c>
      <c r="B381" s="6" t="n">
        <v>45407</v>
      </c>
      <c r="C381" s="4" t="s">
        <v>1349</v>
      </c>
      <c r="D381" s="4" t="s">
        <v>66</v>
      </c>
      <c r="E381" s="4" t="s">
        <v>6</v>
      </c>
      <c r="F381" s="4" t="s">
        <v>13</v>
      </c>
      <c r="G381" s="4" t="n">
        <v>22</v>
      </c>
      <c r="H381" s="5" t="n">
        <v>771.1</v>
      </c>
      <c r="I381" s="5" t="n">
        <v>434.64</v>
      </c>
      <c r="J381" s="9" t="n">
        <v>0</v>
      </c>
      <c r="K381" s="5" t="n">
        <f aca="false">G381*H381*(1-J381)</f>
        <v>16964.2</v>
      </c>
      <c r="L381" s="5" t="n">
        <f aca="false">K381-(G381*I381)</f>
        <v>7402.12</v>
      </c>
    </row>
    <row r="382" customFormat="false" ht="16.4" hidden="false" customHeight="false" outlineLevel="0" collapsed="false">
      <c r="A382" s="4" t="s">
        <v>1851</v>
      </c>
      <c r="B382" s="6" t="n">
        <v>45463</v>
      </c>
      <c r="C382" s="4" t="s">
        <v>909</v>
      </c>
      <c r="D382" s="4" t="s">
        <v>364</v>
      </c>
      <c r="E382" s="4" t="s">
        <v>18</v>
      </c>
      <c r="F382" s="4" t="s">
        <v>19</v>
      </c>
      <c r="G382" s="4" t="n">
        <v>11</v>
      </c>
      <c r="H382" s="5" t="n">
        <v>108.91</v>
      </c>
      <c r="I382" s="5" t="n">
        <v>45.35</v>
      </c>
      <c r="J382" s="9" t="n">
        <v>0</v>
      </c>
      <c r="K382" s="5" t="n">
        <f aca="false">G382*H382*(1-J382)</f>
        <v>1198.01</v>
      </c>
      <c r="L382" s="5" t="n">
        <f aca="false">K382-(G382*I382)</f>
        <v>699.16</v>
      </c>
    </row>
    <row r="383" customFormat="false" ht="16.4" hidden="false" customHeight="false" outlineLevel="0" collapsed="false">
      <c r="A383" s="4" t="s">
        <v>1852</v>
      </c>
      <c r="B383" s="6" t="n">
        <v>45540</v>
      </c>
      <c r="C383" s="4" t="s">
        <v>587</v>
      </c>
      <c r="D383" s="4" t="s">
        <v>338</v>
      </c>
      <c r="E383" s="4" t="s">
        <v>18</v>
      </c>
      <c r="F383" s="4" t="s">
        <v>7</v>
      </c>
      <c r="G383" s="4" t="n">
        <v>13</v>
      </c>
      <c r="H383" s="5" t="n">
        <v>1050.45</v>
      </c>
      <c r="I383" s="5" t="n">
        <v>608.87</v>
      </c>
      <c r="J383" s="9" t="n">
        <v>0.15</v>
      </c>
      <c r="K383" s="5" t="n">
        <f aca="false">G383*H383*(1-J383)</f>
        <v>11607.4725</v>
      </c>
      <c r="L383" s="5" t="n">
        <f aca="false">K383-(G383*I383)</f>
        <v>3692.1625</v>
      </c>
    </row>
    <row r="384" customFormat="false" ht="16.4" hidden="false" customHeight="false" outlineLevel="0" collapsed="false">
      <c r="A384" s="4" t="s">
        <v>1853</v>
      </c>
      <c r="B384" s="6" t="n">
        <v>45996</v>
      </c>
      <c r="C384" s="4" t="s">
        <v>1059</v>
      </c>
      <c r="D384" s="4" t="s">
        <v>60</v>
      </c>
      <c r="E384" s="4" t="s">
        <v>24</v>
      </c>
      <c r="F384" s="4" t="s">
        <v>13</v>
      </c>
      <c r="G384" s="4" t="n">
        <v>23</v>
      </c>
      <c r="H384" s="5" t="n">
        <v>1182.64</v>
      </c>
      <c r="I384" s="5" t="n">
        <v>818.54</v>
      </c>
      <c r="J384" s="9" t="n">
        <v>0.05</v>
      </c>
      <c r="K384" s="5" t="n">
        <f aca="false">G384*H384*(1-J384)</f>
        <v>25840.684</v>
      </c>
      <c r="L384" s="5" t="n">
        <f aca="false">K384-(G384*I384)</f>
        <v>7014.264</v>
      </c>
    </row>
    <row r="385" customFormat="false" ht="16.4" hidden="false" customHeight="false" outlineLevel="0" collapsed="false">
      <c r="A385" s="4" t="s">
        <v>1854</v>
      </c>
      <c r="B385" s="6" t="n">
        <v>45453</v>
      </c>
      <c r="C385" s="4" t="s">
        <v>1253</v>
      </c>
      <c r="D385" s="4" t="s">
        <v>230</v>
      </c>
      <c r="E385" s="4" t="s">
        <v>30</v>
      </c>
      <c r="F385" s="4" t="s">
        <v>25</v>
      </c>
      <c r="G385" s="4" t="n">
        <v>3</v>
      </c>
      <c r="H385" s="5" t="n">
        <v>972.71</v>
      </c>
      <c r="I385" s="5" t="n">
        <v>397.78</v>
      </c>
      <c r="J385" s="9" t="n">
        <v>0</v>
      </c>
      <c r="K385" s="5" t="n">
        <f aca="false">G385*H385*(1-J385)</f>
        <v>2918.13</v>
      </c>
      <c r="L385" s="5" t="n">
        <f aca="false">K385-(G385*I385)</f>
        <v>1724.79</v>
      </c>
    </row>
    <row r="386" customFormat="false" ht="16.4" hidden="false" customHeight="false" outlineLevel="0" collapsed="false">
      <c r="A386" s="4" t="s">
        <v>1855</v>
      </c>
      <c r="B386" s="6" t="n">
        <v>46069</v>
      </c>
      <c r="C386" s="4" t="s">
        <v>1167</v>
      </c>
      <c r="D386" s="4" t="s">
        <v>86</v>
      </c>
      <c r="E386" s="4" t="s">
        <v>18</v>
      </c>
      <c r="F386" s="4" t="s">
        <v>7</v>
      </c>
      <c r="G386" s="4" t="n">
        <v>20</v>
      </c>
      <c r="H386" s="5" t="n">
        <v>1036.42</v>
      </c>
      <c r="I386" s="5" t="n">
        <v>367.51</v>
      </c>
      <c r="J386" s="9" t="n">
        <v>0.02</v>
      </c>
      <c r="K386" s="5" t="n">
        <f aca="false">G386*H386*(1-J386)</f>
        <v>20313.832</v>
      </c>
      <c r="L386" s="5" t="n">
        <f aca="false">K386-(G386*I386)</f>
        <v>12963.632</v>
      </c>
    </row>
    <row r="387" customFormat="false" ht="16.4" hidden="false" customHeight="false" outlineLevel="0" collapsed="false">
      <c r="A387" s="4" t="s">
        <v>1856</v>
      </c>
      <c r="B387" s="6" t="n">
        <v>46010</v>
      </c>
      <c r="C387" s="4" t="s">
        <v>829</v>
      </c>
      <c r="D387" s="4" t="s">
        <v>70</v>
      </c>
      <c r="E387" s="4" t="s">
        <v>18</v>
      </c>
      <c r="F387" s="4" t="s">
        <v>7</v>
      </c>
      <c r="G387" s="4" t="n">
        <v>21</v>
      </c>
      <c r="H387" s="5" t="n">
        <v>1015.35</v>
      </c>
      <c r="I387" s="5" t="n">
        <v>670.54</v>
      </c>
      <c r="J387" s="9" t="n">
        <v>0</v>
      </c>
      <c r="K387" s="5" t="n">
        <f aca="false">G387*H387*(1-J387)</f>
        <v>21322.35</v>
      </c>
      <c r="L387" s="5" t="n">
        <f aca="false">K387-(G387*I387)</f>
        <v>7241.01</v>
      </c>
    </row>
    <row r="388" customFormat="false" ht="16.4" hidden="false" customHeight="false" outlineLevel="0" collapsed="false">
      <c r="A388" s="4" t="s">
        <v>1857</v>
      </c>
      <c r="B388" s="6" t="n">
        <v>45863</v>
      </c>
      <c r="C388" s="4" t="s">
        <v>963</v>
      </c>
      <c r="D388" s="4" t="s">
        <v>104</v>
      </c>
      <c r="E388" s="4" t="s">
        <v>30</v>
      </c>
      <c r="F388" s="4" t="s">
        <v>19</v>
      </c>
      <c r="G388" s="4" t="n">
        <v>8</v>
      </c>
      <c r="H388" s="5" t="n">
        <v>800.21</v>
      </c>
      <c r="I388" s="5" t="n">
        <v>583.14</v>
      </c>
      <c r="J388" s="9" t="n">
        <v>0.02</v>
      </c>
      <c r="K388" s="5" t="n">
        <f aca="false">G388*H388*(1-J388)</f>
        <v>6273.6464</v>
      </c>
      <c r="L388" s="5" t="n">
        <f aca="false">K388-(G388*I388)</f>
        <v>1608.5264</v>
      </c>
    </row>
    <row r="389" customFormat="false" ht="16.4" hidden="false" customHeight="false" outlineLevel="0" collapsed="false">
      <c r="A389" s="4" t="s">
        <v>1858</v>
      </c>
      <c r="B389" s="6" t="n">
        <v>45997</v>
      </c>
      <c r="C389" s="4" t="s">
        <v>1215</v>
      </c>
      <c r="D389" s="4" t="s">
        <v>264</v>
      </c>
      <c r="E389" s="4" t="s">
        <v>18</v>
      </c>
      <c r="F389" s="4" t="s">
        <v>25</v>
      </c>
      <c r="G389" s="4" t="n">
        <v>7</v>
      </c>
      <c r="H389" s="5" t="n">
        <v>282.82</v>
      </c>
      <c r="I389" s="5" t="n">
        <v>148.29</v>
      </c>
      <c r="J389" s="9" t="n">
        <v>0</v>
      </c>
      <c r="K389" s="5" t="n">
        <f aca="false">G389*H389*(1-J389)</f>
        <v>1979.74</v>
      </c>
      <c r="L389" s="5" t="n">
        <f aca="false">K389-(G389*I389)</f>
        <v>941.71</v>
      </c>
    </row>
    <row r="390" customFormat="false" ht="16.4" hidden="false" customHeight="false" outlineLevel="0" collapsed="false">
      <c r="A390" s="4" t="s">
        <v>1859</v>
      </c>
      <c r="B390" s="6" t="n">
        <v>45332</v>
      </c>
      <c r="C390" s="4" t="s">
        <v>1205</v>
      </c>
      <c r="D390" s="4" t="s">
        <v>222</v>
      </c>
      <c r="E390" s="4" t="s">
        <v>18</v>
      </c>
      <c r="F390" s="4" t="s">
        <v>25</v>
      </c>
      <c r="G390" s="4" t="n">
        <v>5</v>
      </c>
      <c r="H390" s="5" t="n">
        <v>362.12</v>
      </c>
      <c r="I390" s="5" t="n">
        <v>189.01</v>
      </c>
      <c r="J390" s="9" t="n">
        <v>0.02</v>
      </c>
      <c r="K390" s="5" t="n">
        <f aca="false">G390*H390*(1-J390)</f>
        <v>1774.388</v>
      </c>
      <c r="L390" s="5" t="n">
        <f aca="false">K390-(G390*I390)</f>
        <v>829.338</v>
      </c>
    </row>
    <row r="391" customFormat="false" ht="16.4" hidden="false" customHeight="false" outlineLevel="0" collapsed="false">
      <c r="A391" s="4" t="s">
        <v>1860</v>
      </c>
      <c r="B391" s="6" t="n">
        <v>45847</v>
      </c>
      <c r="C391" s="4" t="s">
        <v>913</v>
      </c>
      <c r="D391" s="4" t="s">
        <v>400</v>
      </c>
      <c r="E391" s="4" t="s">
        <v>24</v>
      </c>
      <c r="F391" s="4" t="s">
        <v>25</v>
      </c>
      <c r="G391" s="4" t="n">
        <v>18</v>
      </c>
      <c r="H391" s="5" t="n">
        <v>622.92</v>
      </c>
      <c r="I391" s="5" t="n">
        <v>286.15</v>
      </c>
      <c r="J391" s="9" t="n">
        <v>0.02</v>
      </c>
      <c r="K391" s="5" t="n">
        <f aca="false">G391*H391*(1-J391)</f>
        <v>10988.3088</v>
      </c>
      <c r="L391" s="5" t="n">
        <f aca="false">K391-(G391*I391)</f>
        <v>5837.6088</v>
      </c>
    </row>
    <row r="392" customFormat="false" ht="16.4" hidden="false" customHeight="false" outlineLevel="0" collapsed="false">
      <c r="A392" s="4" t="s">
        <v>1861</v>
      </c>
      <c r="B392" s="6" t="n">
        <v>45648</v>
      </c>
      <c r="C392" s="4" t="s">
        <v>1045</v>
      </c>
      <c r="D392" s="4" t="s">
        <v>136</v>
      </c>
      <c r="E392" s="4" t="s">
        <v>12</v>
      </c>
      <c r="F392" s="4" t="s">
        <v>19</v>
      </c>
      <c r="G392" s="4" t="n">
        <v>6</v>
      </c>
      <c r="H392" s="5" t="n">
        <v>590.6</v>
      </c>
      <c r="I392" s="5" t="n">
        <v>410.98</v>
      </c>
      <c r="J392" s="9" t="n">
        <v>0.08</v>
      </c>
      <c r="K392" s="5" t="n">
        <f aca="false">G392*H392*(1-J392)</f>
        <v>3260.112</v>
      </c>
      <c r="L392" s="5" t="n">
        <f aca="false">K392-(G392*I392)</f>
        <v>794.232</v>
      </c>
    </row>
    <row r="393" customFormat="false" ht="16.4" hidden="false" customHeight="false" outlineLevel="0" collapsed="false">
      <c r="A393" s="4" t="s">
        <v>1862</v>
      </c>
      <c r="B393" s="6" t="n">
        <v>46143</v>
      </c>
      <c r="C393" s="4" t="s">
        <v>943</v>
      </c>
      <c r="D393" s="4" t="s">
        <v>414</v>
      </c>
      <c r="E393" s="4" t="s">
        <v>6</v>
      </c>
      <c r="F393" s="4" t="s">
        <v>13</v>
      </c>
      <c r="G393" s="4" t="n">
        <v>9</v>
      </c>
      <c r="H393" s="5" t="n">
        <v>474.99</v>
      </c>
      <c r="I393" s="5" t="n">
        <v>328.89</v>
      </c>
      <c r="J393" s="9" t="n">
        <v>0.15</v>
      </c>
      <c r="K393" s="5" t="n">
        <f aca="false">G393*H393*(1-J393)</f>
        <v>3633.6735</v>
      </c>
      <c r="L393" s="5" t="n">
        <f aca="false">K393-(G393*I393)</f>
        <v>673.6635</v>
      </c>
    </row>
    <row r="394" customFormat="false" ht="16.4" hidden="false" customHeight="false" outlineLevel="0" collapsed="false">
      <c r="A394" s="4" t="s">
        <v>1863</v>
      </c>
      <c r="B394" s="6" t="n">
        <v>45594</v>
      </c>
      <c r="C394" s="4" t="s">
        <v>1007</v>
      </c>
      <c r="D394" s="4" t="s">
        <v>74</v>
      </c>
      <c r="E394" s="4" t="s">
        <v>30</v>
      </c>
      <c r="F394" s="4" t="s">
        <v>19</v>
      </c>
      <c r="G394" s="4" t="n">
        <v>5</v>
      </c>
      <c r="H394" s="5" t="n">
        <v>795.14</v>
      </c>
      <c r="I394" s="5" t="n">
        <v>404.13</v>
      </c>
      <c r="J394" s="9" t="n">
        <v>0.05</v>
      </c>
      <c r="K394" s="5" t="n">
        <f aca="false">G394*H394*(1-J394)</f>
        <v>3776.915</v>
      </c>
      <c r="L394" s="5" t="n">
        <f aca="false">K394-(G394*I394)</f>
        <v>1756.265</v>
      </c>
    </row>
    <row r="395" customFormat="false" ht="16.4" hidden="false" customHeight="false" outlineLevel="0" collapsed="false">
      <c r="A395" s="4" t="s">
        <v>1864</v>
      </c>
      <c r="B395" s="6" t="n">
        <v>46086</v>
      </c>
      <c r="C395" s="4" t="s">
        <v>839</v>
      </c>
      <c r="D395" s="4" t="s">
        <v>316</v>
      </c>
      <c r="E395" s="4" t="s">
        <v>12</v>
      </c>
      <c r="F395" s="4" t="s">
        <v>25</v>
      </c>
      <c r="G395" s="4" t="n">
        <v>15</v>
      </c>
      <c r="H395" s="5" t="n">
        <v>1138.97</v>
      </c>
      <c r="I395" s="5" t="n">
        <v>437.64</v>
      </c>
      <c r="J395" s="9" t="n">
        <v>0</v>
      </c>
      <c r="K395" s="5" t="n">
        <f aca="false">G395*H395*(1-J395)</f>
        <v>17084.55</v>
      </c>
      <c r="L395" s="5" t="n">
        <f aca="false">K395-(G395*I395)</f>
        <v>10519.95</v>
      </c>
    </row>
    <row r="396" customFormat="false" ht="16.4" hidden="false" customHeight="false" outlineLevel="0" collapsed="false">
      <c r="A396" s="4" t="s">
        <v>1865</v>
      </c>
      <c r="B396" s="6" t="n">
        <v>46169</v>
      </c>
      <c r="C396" s="4" t="s">
        <v>653</v>
      </c>
      <c r="D396" s="4" t="s">
        <v>414</v>
      </c>
      <c r="E396" s="4" t="s">
        <v>18</v>
      </c>
      <c r="F396" s="4" t="s">
        <v>19</v>
      </c>
      <c r="G396" s="4" t="n">
        <v>1</v>
      </c>
      <c r="H396" s="5" t="n">
        <v>474.99</v>
      </c>
      <c r="I396" s="5" t="n">
        <v>328.89</v>
      </c>
      <c r="J396" s="9" t="n">
        <v>0.08</v>
      </c>
      <c r="K396" s="5" t="n">
        <f aca="false">G396*H396*(1-J396)</f>
        <v>436.9908</v>
      </c>
      <c r="L396" s="5" t="n">
        <f aca="false">K396-(G396*I396)</f>
        <v>108.1008</v>
      </c>
    </row>
    <row r="397" customFormat="false" ht="16.4" hidden="false" customHeight="false" outlineLevel="0" collapsed="false">
      <c r="A397" s="4" t="s">
        <v>1866</v>
      </c>
      <c r="B397" s="6" t="n">
        <v>46030</v>
      </c>
      <c r="C397" s="4" t="s">
        <v>1099</v>
      </c>
      <c r="D397" s="4" t="s">
        <v>436</v>
      </c>
      <c r="E397" s="4" t="s">
        <v>24</v>
      </c>
      <c r="F397" s="4" t="s">
        <v>7</v>
      </c>
      <c r="G397" s="4" t="n">
        <v>8</v>
      </c>
      <c r="H397" s="5" t="n">
        <v>220.48</v>
      </c>
      <c r="I397" s="5" t="n">
        <v>103.58</v>
      </c>
      <c r="J397" s="9" t="n">
        <v>0.02</v>
      </c>
      <c r="K397" s="5" t="n">
        <f aca="false">G397*H397*(1-J397)</f>
        <v>1728.5632</v>
      </c>
      <c r="L397" s="5" t="n">
        <f aca="false">K397-(G397*I397)</f>
        <v>899.9232</v>
      </c>
    </row>
    <row r="398" customFormat="false" ht="16.4" hidden="false" customHeight="false" outlineLevel="0" collapsed="false">
      <c r="A398" s="4" t="s">
        <v>1867</v>
      </c>
      <c r="B398" s="6" t="n">
        <v>45688</v>
      </c>
      <c r="C398" s="4" t="s">
        <v>1455</v>
      </c>
      <c r="D398" s="4" t="s">
        <v>376</v>
      </c>
      <c r="E398" s="4" t="s">
        <v>18</v>
      </c>
      <c r="F398" s="4" t="s">
        <v>13</v>
      </c>
      <c r="G398" s="4" t="n">
        <v>18</v>
      </c>
      <c r="H398" s="5" t="n">
        <v>790.52</v>
      </c>
      <c r="I398" s="5" t="n">
        <v>566.35</v>
      </c>
      <c r="J398" s="9" t="n">
        <v>0.15</v>
      </c>
      <c r="K398" s="5" t="n">
        <f aca="false">G398*H398*(1-J398)</f>
        <v>12094.956</v>
      </c>
      <c r="L398" s="5" t="n">
        <f aca="false">K398-(G398*I398)</f>
        <v>1900.656</v>
      </c>
    </row>
    <row r="399" customFormat="false" ht="16.4" hidden="false" customHeight="false" outlineLevel="0" collapsed="false">
      <c r="A399" s="4" t="s">
        <v>1868</v>
      </c>
      <c r="B399" s="6" t="n">
        <v>45856</v>
      </c>
      <c r="C399" s="4" t="s">
        <v>1163</v>
      </c>
      <c r="D399" s="4" t="s">
        <v>308</v>
      </c>
      <c r="E399" s="4" t="s">
        <v>30</v>
      </c>
      <c r="F399" s="4" t="s">
        <v>13</v>
      </c>
      <c r="G399" s="4" t="n">
        <v>16</v>
      </c>
      <c r="H399" s="5" t="n">
        <v>352.74</v>
      </c>
      <c r="I399" s="5" t="n">
        <v>187.07</v>
      </c>
      <c r="J399" s="9" t="n">
        <v>0.15</v>
      </c>
      <c r="K399" s="5" t="n">
        <f aca="false">G399*H399*(1-J399)</f>
        <v>4797.264</v>
      </c>
      <c r="L399" s="5" t="n">
        <f aca="false">K399-(G399*I399)</f>
        <v>1804.144</v>
      </c>
    </row>
    <row r="400" customFormat="false" ht="16.4" hidden="false" customHeight="false" outlineLevel="0" collapsed="false">
      <c r="A400" s="4" t="s">
        <v>1869</v>
      </c>
      <c r="B400" s="6" t="n">
        <v>45948</v>
      </c>
      <c r="C400" s="4" t="s">
        <v>753</v>
      </c>
      <c r="D400" s="4" t="s">
        <v>352</v>
      </c>
      <c r="E400" s="4" t="s">
        <v>24</v>
      </c>
      <c r="F400" s="4" t="s">
        <v>19</v>
      </c>
      <c r="G400" s="4" t="n">
        <v>11</v>
      </c>
      <c r="H400" s="5" t="n">
        <v>759.98</v>
      </c>
      <c r="I400" s="5" t="n">
        <v>346.44</v>
      </c>
      <c r="J400" s="9" t="n">
        <v>0.05</v>
      </c>
      <c r="K400" s="5" t="n">
        <f aca="false">G400*H400*(1-J400)</f>
        <v>7941.791</v>
      </c>
      <c r="L400" s="5" t="n">
        <f aca="false">K400-(G400*I400)</f>
        <v>4130.951</v>
      </c>
    </row>
    <row r="401" customFormat="false" ht="16.4" hidden="false" customHeight="false" outlineLevel="0" collapsed="false">
      <c r="A401" s="4" t="s">
        <v>1870</v>
      </c>
      <c r="B401" s="6" t="n">
        <v>45360</v>
      </c>
      <c r="C401" s="4" t="s">
        <v>563</v>
      </c>
      <c r="D401" s="4" t="s">
        <v>96</v>
      </c>
      <c r="E401" s="4" t="s">
        <v>30</v>
      </c>
      <c r="F401" s="4" t="s">
        <v>7</v>
      </c>
      <c r="G401" s="4" t="n">
        <v>17</v>
      </c>
      <c r="H401" s="5" t="n">
        <v>1145.36</v>
      </c>
      <c r="I401" s="5" t="n">
        <v>823.48</v>
      </c>
      <c r="J401" s="9" t="n">
        <v>0.1</v>
      </c>
      <c r="K401" s="5" t="n">
        <f aca="false">G401*H401*(1-J401)</f>
        <v>17524.008</v>
      </c>
      <c r="L401" s="5" t="n">
        <f aca="false">K401-(G401*I401)</f>
        <v>3524.848</v>
      </c>
    </row>
    <row r="402" customFormat="false" ht="16.4" hidden="false" customHeight="false" outlineLevel="0" collapsed="false">
      <c r="A402" s="4" t="s">
        <v>1871</v>
      </c>
      <c r="B402" s="6" t="n">
        <v>45401</v>
      </c>
      <c r="C402" s="4" t="s">
        <v>647</v>
      </c>
      <c r="D402" s="4" t="s">
        <v>106</v>
      </c>
      <c r="E402" s="4" t="s">
        <v>30</v>
      </c>
      <c r="F402" s="4" t="s">
        <v>25</v>
      </c>
      <c r="G402" s="4" t="n">
        <v>2</v>
      </c>
      <c r="H402" s="5" t="n">
        <v>1050.11</v>
      </c>
      <c r="I402" s="5" t="n">
        <v>545.28</v>
      </c>
      <c r="J402" s="9" t="n">
        <v>0</v>
      </c>
      <c r="K402" s="5" t="n">
        <f aca="false">G402*H402*(1-J402)</f>
        <v>2100.22</v>
      </c>
      <c r="L402" s="5" t="n">
        <f aca="false">K402-(G402*I402)</f>
        <v>1009.66</v>
      </c>
    </row>
    <row r="403" customFormat="false" ht="16.4" hidden="false" customHeight="false" outlineLevel="0" collapsed="false">
      <c r="A403" s="4" t="s">
        <v>1872</v>
      </c>
      <c r="B403" s="6" t="n">
        <v>45949</v>
      </c>
      <c r="C403" s="4" t="s">
        <v>565</v>
      </c>
      <c r="D403" s="4" t="s">
        <v>138</v>
      </c>
      <c r="E403" s="4" t="s">
        <v>24</v>
      </c>
      <c r="F403" s="4" t="s">
        <v>25</v>
      </c>
      <c r="G403" s="4" t="n">
        <v>2</v>
      </c>
      <c r="H403" s="5" t="n">
        <v>27.53</v>
      </c>
      <c r="I403" s="5" t="n">
        <v>13.93</v>
      </c>
      <c r="J403" s="9" t="n">
        <v>0.08</v>
      </c>
      <c r="K403" s="5" t="n">
        <f aca="false">G403*H403*(1-J403)</f>
        <v>50.6552</v>
      </c>
      <c r="L403" s="5" t="n">
        <f aca="false">K403-(G403*I403)</f>
        <v>22.7952</v>
      </c>
    </row>
    <row r="404" customFormat="false" ht="16.4" hidden="false" customHeight="false" outlineLevel="0" collapsed="false">
      <c r="A404" s="4" t="s">
        <v>1873</v>
      </c>
      <c r="B404" s="6" t="n">
        <v>46010</v>
      </c>
      <c r="C404" s="4" t="s">
        <v>965</v>
      </c>
      <c r="D404" s="4" t="s">
        <v>376</v>
      </c>
      <c r="E404" s="4" t="s">
        <v>30</v>
      </c>
      <c r="F404" s="4" t="s">
        <v>19</v>
      </c>
      <c r="G404" s="4" t="n">
        <v>17</v>
      </c>
      <c r="H404" s="5" t="n">
        <v>790.52</v>
      </c>
      <c r="I404" s="5" t="n">
        <v>566.35</v>
      </c>
      <c r="J404" s="9" t="n">
        <v>0.08</v>
      </c>
      <c r="K404" s="5" t="n">
        <f aca="false">G404*H404*(1-J404)</f>
        <v>12363.7328</v>
      </c>
      <c r="L404" s="5" t="n">
        <f aca="false">K404-(G404*I404)</f>
        <v>2735.7828</v>
      </c>
    </row>
    <row r="405" customFormat="false" ht="16.4" hidden="false" customHeight="false" outlineLevel="0" collapsed="false">
      <c r="A405" s="4" t="s">
        <v>1874</v>
      </c>
      <c r="B405" s="6" t="n">
        <v>46027</v>
      </c>
      <c r="C405" s="4" t="s">
        <v>839</v>
      </c>
      <c r="D405" s="4" t="s">
        <v>64</v>
      </c>
      <c r="E405" s="4" t="s">
        <v>12</v>
      </c>
      <c r="F405" s="4" t="s">
        <v>7</v>
      </c>
      <c r="G405" s="4" t="n">
        <v>8</v>
      </c>
      <c r="H405" s="5" t="n">
        <v>442.44</v>
      </c>
      <c r="I405" s="5" t="n">
        <v>273.46</v>
      </c>
      <c r="J405" s="9" t="n">
        <v>0.08</v>
      </c>
      <c r="K405" s="5" t="n">
        <f aca="false">G405*H405*(1-J405)</f>
        <v>3256.3584</v>
      </c>
      <c r="L405" s="5" t="n">
        <f aca="false">K405-(G405*I405)</f>
        <v>1068.6784</v>
      </c>
    </row>
    <row r="406" customFormat="false" ht="16.4" hidden="false" customHeight="false" outlineLevel="0" collapsed="false">
      <c r="A406" s="4" t="s">
        <v>1875</v>
      </c>
      <c r="B406" s="6" t="n">
        <v>45795</v>
      </c>
      <c r="C406" s="4" t="s">
        <v>1417</v>
      </c>
      <c r="D406" s="4" t="s">
        <v>46</v>
      </c>
      <c r="E406" s="4" t="s">
        <v>30</v>
      </c>
      <c r="F406" s="4" t="s">
        <v>7</v>
      </c>
      <c r="G406" s="4" t="n">
        <v>7</v>
      </c>
      <c r="H406" s="5" t="n">
        <v>258.63</v>
      </c>
      <c r="I406" s="5" t="n">
        <v>157.75</v>
      </c>
      <c r="J406" s="9" t="n">
        <v>0.1</v>
      </c>
      <c r="K406" s="5" t="n">
        <f aca="false">G406*H406*(1-J406)</f>
        <v>1629.369</v>
      </c>
      <c r="L406" s="5" t="n">
        <f aca="false">K406-(G406*I406)</f>
        <v>525.119</v>
      </c>
    </row>
    <row r="407" customFormat="false" ht="16.4" hidden="false" customHeight="false" outlineLevel="0" collapsed="false">
      <c r="A407" s="4" t="s">
        <v>1876</v>
      </c>
      <c r="B407" s="6" t="n">
        <v>45661</v>
      </c>
      <c r="C407" s="4" t="s">
        <v>1285</v>
      </c>
      <c r="D407" s="4" t="s">
        <v>278</v>
      </c>
      <c r="E407" s="4" t="s">
        <v>6</v>
      </c>
      <c r="F407" s="4" t="s">
        <v>25</v>
      </c>
      <c r="G407" s="4" t="n">
        <v>21</v>
      </c>
      <c r="H407" s="5" t="n">
        <v>47.78</v>
      </c>
      <c r="I407" s="5" t="n">
        <v>27.03</v>
      </c>
      <c r="J407" s="9" t="n">
        <v>0</v>
      </c>
      <c r="K407" s="5" t="n">
        <f aca="false">G407*H407*(1-J407)</f>
        <v>1003.38</v>
      </c>
      <c r="L407" s="5" t="n">
        <f aca="false">K407-(G407*I407)</f>
        <v>435.75</v>
      </c>
    </row>
    <row r="408" customFormat="false" ht="16.4" hidden="false" customHeight="false" outlineLevel="0" collapsed="false">
      <c r="A408" s="4" t="s">
        <v>1877</v>
      </c>
      <c r="B408" s="6" t="n">
        <v>46135</v>
      </c>
      <c r="C408" s="4" t="s">
        <v>1277</v>
      </c>
      <c r="D408" s="4" t="s">
        <v>228</v>
      </c>
      <c r="E408" s="4" t="s">
        <v>18</v>
      </c>
      <c r="F408" s="4" t="s">
        <v>19</v>
      </c>
      <c r="G408" s="4" t="n">
        <v>23</v>
      </c>
      <c r="H408" s="5" t="n">
        <v>986.65</v>
      </c>
      <c r="I408" s="5" t="n">
        <v>641.77</v>
      </c>
      <c r="J408" s="9" t="n">
        <v>0</v>
      </c>
      <c r="K408" s="5" t="n">
        <f aca="false">G408*H408*(1-J408)</f>
        <v>22692.95</v>
      </c>
      <c r="L408" s="5" t="n">
        <f aca="false">K408-(G408*I408)</f>
        <v>7932.24</v>
      </c>
    </row>
    <row r="409" customFormat="false" ht="16.4" hidden="false" customHeight="false" outlineLevel="0" collapsed="false">
      <c r="A409" s="4" t="s">
        <v>1878</v>
      </c>
      <c r="B409" s="6" t="n">
        <v>46146</v>
      </c>
      <c r="C409" s="4" t="s">
        <v>502</v>
      </c>
      <c r="D409" s="4" t="s">
        <v>310</v>
      </c>
      <c r="E409" s="4" t="s">
        <v>18</v>
      </c>
      <c r="F409" s="4" t="s">
        <v>19</v>
      </c>
      <c r="G409" s="4" t="n">
        <v>24</v>
      </c>
      <c r="H409" s="5" t="n">
        <v>742.14</v>
      </c>
      <c r="I409" s="5" t="n">
        <v>372.25</v>
      </c>
      <c r="J409" s="9" t="n">
        <v>0</v>
      </c>
      <c r="K409" s="5" t="n">
        <f aca="false">G409*H409*(1-J409)</f>
        <v>17811.36</v>
      </c>
      <c r="L409" s="5" t="n">
        <f aca="false">K409-(G409*I409)</f>
        <v>8877.36</v>
      </c>
    </row>
    <row r="410" customFormat="false" ht="16.4" hidden="false" customHeight="false" outlineLevel="0" collapsed="false">
      <c r="A410" s="4" t="s">
        <v>1879</v>
      </c>
      <c r="B410" s="6" t="n">
        <v>45391</v>
      </c>
      <c r="C410" s="4" t="s">
        <v>1431</v>
      </c>
      <c r="D410" s="4" t="s">
        <v>78</v>
      </c>
      <c r="E410" s="4" t="s">
        <v>30</v>
      </c>
      <c r="F410" s="4" t="s">
        <v>7</v>
      </c>
      <c r="G410" s="4" t="n">
        <v>7</v>
      </c>
      <c r="H410" s="5" t="n">
        <v>528.41</v>
      </c>
      <c r="I410" s="5" t="n">
        <v>308.28</v>
      </c>
      <c r="J410" s="9" t="n">
        <v>0.08</v>
      </c>
      <c r="K410" s="5" t="n">
        <f aca="false">G410*H410*(1-J410)</f>
        <v>3402.9604</v>
      </c>
      <c r="L410" s="5" t="n">
        <f aca="false">K410-(G410*I410)</f>
        <v>1245.0004</v>
      </c>
    </row>
    <row r="411" customFormat="false" ht="16.4" hidden="false" customHeight="false" outlineLevel="0" collapsed="false">
      <c r="A411" s="4" t="s">
        <v>1880</v>
      </c>
      <c r="B411" s="6" t="n">
        <v>45486</v>
      </c>
      <c r="C411" s="4" t="s">
        <v>701</v>
      </c>
      <c r="D411" s="4" t="s">
        <v>410</v>
      </c>
      <c r="E411" s="4" t="s">
        <v>12</v>
      </c>
      <c r="F411" s="4" t="s">
        <v>13</v>
      </c>
      <c r="G411" s="4" t="n">
        <v>18</v>
      </c>
      <c r="H411" s="5" t="n">
        <v>549.69</v>
      </c>
      <c r="I411" s="5" t="n">
        <v>298.89</v>
      </c>
      <c r="J411" s="9" t="n">
        <v>0.05</v>
      </c>
      <c r="K411" s="5" t="n">
        <f aca="false">G411*H411*(1-J411)</f>
        <v>9399.699</v>
      </c>
      <c r="L411" s="5" t="n">
        <f aca="false">K411-(G411*I411)</f>
        <v>4019.679</v>
      </c>
    </row>
    <row r="412" customFormat="false" ht="16.4" hidden="false" customHeight="false" outlineLevel="0" collapsed="false">
      <c r="A412" s="4" t="s">
        <v>1881</v>
      </c>
      <c r="B412" s="6" t="n">
        <v>45932</v>
      </c>
      <c r="C412" s="4" t="s">
        <v>1137</v>
      </c>
      <c r="D412" s="4" t="s">
        <v>308</v>
      </c>
      <c r="E412" s="4" t="s">
        <v>18</v>
      </c>
      <c r="F412" s="4" t="s">
        <v>13</v>
      </c>
      <c r="G412" s="4" t="n">
        <v>8</v>
      </c>
      <c r="H412" s="5" t="n">
        <v>352.74</v>
      </c>
      <c r="I412" s="5" t="n">
        <v>187.07</v>
      </c>
      <c r="J412" s="9" t="n">
        <v>0.08</v>
      </c>
      <c r="K412" s="5" t="n">
        <f aca="false">G412*H412*(1-J412)</f>
        <v>2596.1664</v>
      </c>
      <c r="L412" s="5" t="n">
        <f aca="false">K412-(G412*I412)</f>
        <v>1099.6064</v>
      </c>
    </row>
    <row r="413" customFormat="false" ht="16.4" hidden="false" customHeight="false" outlineLevel="0" collapsed="false">
      <c r="A413" s="4" t="s">
        <v>1882</v>
      </c>
      <c r="B413" s="6" t="n">
        <v>46056</v>
      </c>
      <c r="C413" s="4" t="s">
        <v>1231</v>
      </c>
      <c r="D413" s="4" t="s">
        <v>324</v>
      </c>
      <c r="E413" s="4" t="s">
        <v>18</v>
      </c>
      <c r="F413" s="4" t="s">
        <v>7</v>
      </c>
      <c r="G413" s="4" t="n">
        <v>18</v>
      </c>
      <c r="H413" s="5" t="n">
        <v>1196.04</v>
      </c>
      <c r="I413" s="5" t="n">
        <v>681.93</v>
      </c>
      <c r="J413" s="9" t="n">
        <v>0.05</v>
      </c>
      <c r="K413" s="5" t="n">
        <f aca="false">G413*H413*(1-J413)</f>
        <v>20452.284</v>
      </c>
      <c r="L413" s="5" t="n">
        <f aca="false">K413-(G413*I413)</f>
        <v>8177.544</v>
      </c>
    </row>
    <row r="414" customFormat="false" ht="16.4" hidden="false" customHeight="false" outlineLevel="0" collapsed="false">
      <c r="A414" s="4" t="s">
        <v>1883</v>
      </c>
      <c r="B414" s="6" t="n">
        <v>45982</v>
      </c>
      <c r="C414" s="4" t="s">
        <v>1117</v>
      </c>
      <c r="D414" s="4" t="s">
        <v>432</v>
      </c>
      <c r="E414" s="4" t="s">
        <v>18</v>
      </c>
      <c r="F414" s="4" t="s">
        <v>25</v>
      </c>
      <c r="G414" s="4" t="n">
        <v>19</v>
      </c>
      <c r="H414" s="5" t="n">
        <v>105.39</v>
      </c>
      <c r="I414" s="5" t="n">
        <v>63.49</v>
      </c>
      <c r="J414" s="9" t="n">
        <v>0.02</v>
      </c>
      <c r="K414" s="5" t="n">
        <f aca="false">G414*H414*(1-J414)</f>
        <v>1962.3618</v>
      </c>
      <c r="L414" s="5" t="n">
        <f aca="false">K414-(G414*I414)</f>
        <v>756.0518</v>
      </c>
    </row>
    <row r="415" customFormat="false" ht="16.4" hidden="false" customHeight="false" outlineLevel="0" collapsed="false">
      <c r="A415" s="4" t="s">
        <v>1884</v>
      </c>
      <c r="B415" s="6" t="n">
        <v>45462</v>
      </c>
      <c r="C415" s="4" t="s">
        <v>1145</v>
      </c>
      <c r="D415" s="4" t="s">
        <v>398</v>
      </c>
      <c r="E415" s="4" t="s">
        <v>18</v>
      </c>
      <c r="F415" s="4" t="s">
        <v>13</v>
      </c>
      <c r="G415" s="4" t="n">
        <v>14</v>
      </c>
      <c r="H415" s="5" t="n">
        <v>1137.8</v>
      </c>
      <c r="I415" s="5" t="n">
        <v>693.02</v>
      </c>
      <c r="J415" s="9" t="n">
        <v>0</v>
      </c>
      <c r="K415" s="5" t="n">
        <f aca="false">G415*H415*(1-J415)</f>
        <v>15929.2</v>
      </c>
      <c r="L415" s="5" t="n">
        <f aca="false">K415-(G415*I415)</f>
        <v>6226.92</v>
      </c>
    </row>
    <row r="416" customFormat="false" ht="16.4" hidden="false" customHeight="false" outlineLevel="0" collapsed="false">
      <c r="A416" s="4" t="s">
        <v>1885</v>
      </c>
      <c r="B416" s="6" t="n">
        <v>45965</v>
      </c>
      <c r="C416" s="4" t="s">
        <v>875</v>
      </c>
      <c r="D416" s="4" t="s">
        <v>320</v>
      </c>
      <c r="E416" s="4" t="s">
        <v>30</v>
      </c>
      <c r="F416" s="4" t="s">
        <v>13</v>
      </c>
      <c r="G416" s="4" t="n">
        <v>17</v>
      </c>
      <c r="H416" s="5" t="n">
        <v>956.7</v>
      </c>
      <c r="I416" s="5" t="n">
        <v>370.45</v>
      </c>
      <c r="J416" s="9" t="n">
        <v>0.02</v>
      </c>
      <c r="K416" s="5" t="n">
        <f aca="false">G416*H416*(1-J416)</f>
        <v>15938.622</v>
      </c>
      <c r="L416" s="5" t="n">
        <f aca="false">K416-(G416*I416)</f>
        <v>9640.972</v>
      </c>
    </row>
    <row r="417" customFormat="false" ht="16.4" hidden="false" customHeight="false" outlineLevel="0" collapsed="false">
      <c r="A417" s="4" t="s">
        <v>1886</v>
      </c>
      <c r="B417" s="6" t="n">
        <v>45614</v>
      </c>
      <c r="C417" s="4" t="s">
        <v>1079</v>
      </c>
      <c r="D417" s="4" t="s">
        <v>312</v>
      </c>
      <c r="E417" s="4" t="s">
        <v>12</v>
      </c>
      <c r="F417" s="4" t="s">
        <v>19</v>
      </c>
      <c r="G417" s="4" t="n">
        <v>15</v>
      </c>
      <c r="H417" s="5" t="n">
        <v>238.66</v>
      </c>
      <c r="I417" s="5" t="n">
        <v>103.78</v>
      </c>
      <c r="J417" s="9" t="n">
        <v>0.02</v>
      </c>
      <c r="K417" s="5" t="n">
        <f aca="false">G417*H417*(1-J417)</f>
        <v>3508.302</v>
      </c>
      <c r="L417" s="5" t="n">
        <f aca="false">K417-(G417*I417)</f>
        <v>1951.602</v>
      </c>
    </row>
    <row r="418" customFormat="false" ht="16.4" hidden="false" customHeight="false" outlineLevel="0" collapsed="false">
      <c r="A418" s="4" t="s">
        <v>1887</v>
      </c>
      <c r="B418" s="6" t="n">
        <v>45732</v>
      </c>
      <c r="C418" s="4" t="s">
        <v>887</v>
      </c>
      <c r="D418" s="4" t="s">
        <v>230</v>
      </c>
      <c r="E418" s="4" t="s">
        <v>12</v>
      </c>
      <c r="F418" s="4" t="s">
        <v>19</v>
      </c>
      <c r="G418" s="4" t="n">
        <v>25</v>
      </c>
      <c r="H418" s="5" t="n">
        <v>972.71</v>
      </c>
      <c r="I418" s="5" t="n">
        <v>397.78</v>
      </c>
      <c r="J418" s="9" t="n">
        <v>0.1</v>
      </c>
      <c r="K418" s="5" t="n">
        <f aca="false">G418*H418*(1-J418)</f>
        <v>21885.975</v>
      </c>
      <c r="L418" s="5" t="n">
        <f aca="false">K418-(G418*I418)</f>
        <v>11941.475</v>
      </c>
    </row>
    <row r="419" customFormat="false" ht="16.4" hidden="false" customHeight="false" outlineLevel="0" collapsed="false">
      <c r="A419" s="4" t="s">
        <v>1888</v>
      </c>
      <c r="B419" s="6" t="n">
        <v>45511</v>
      </c>
      <c r="C419" s="4" t="s">
        <v>711</v>
      </c>
      <c r="D419" s="4" t="s">
        <v>350</v>
      </c>
      <c r="E419" s="4" t="s">
        <v>24</v>
      </c>
      <c r="F419" s="4" t="s">
        <v>25</v>
      </c>
      <c r="G419" s="4" t="n">
        <v>19</v>
      </c>
      <c r="H419" s="5" t="n">
        <v>693.14</v>
      </c>
      <c r="I419" s="5" t="n">
        <v>259.3</v>
      </c>
      <c r="J419" s="9" t="n">
        <v>0.08</v>
      </c>
      <c r="K419" s="5" t="n">
        <f aca="false">G419*H419*(1-J419)</f>
        <v>12116.0872</v>
      </c>
      <c r="L419" s="5" t="n">
        <f aca="false">K419-(G419*I419)</f>
        <v>7189.3872</v>
      </c>
    </row>
    <row r="420" customFormat="false" ht="16.4" hidden="false" customHeight="false" outlineLevel="0" collapsed="false">
      <c r="A420" s="4" t="s">
        <v>1889</v>
      </c>
      <c r="B420" s="6" t="n">
        <v>45660</v>
      </c>
      <c r="C420" s="4" t="s">
        <v>1027</v>
      </c>
      <c r="D420" s="4" t="s">
        <v>432</v>
      </c>
      <c r="E420" s="4" t="s">
        <v>18</v>
      </c>
      <c r="F420" s="4" t="s">
        <v>25</v>
      </c>
      <c r="G420" s="4" t="n">
        <v>24</v>
      </c>
      <c r="H420" s="5" t="n">
        <v>105.39</v>
      </c>
      <c r="I420" s="5" t="n">
        <v>63.49</v>
      </c>
      <c r="J420" s="9" t="n">
        <v>0.02</v>
      </c>
      <c r="K420" s="5" t="n">
        <f aca="false">G420*H420*(1-J420)</f>
        <v>2478.7728</v>
      </c>
      <c r="L420" s="5" t="n">
        <f aca="false">K420-(G420*I420)</f>
        <v>955.0128</v>
      </c>
    </row>
    <row r="421" customFormat="false" ht="16.4" hidden="false" customHeight="false" outlineLevel="0" collapsed="false">
      <c r="A421" s="4" t="s">
        <v>1890</v>
      </c>
      <c r="B421" s="6" t="n">
        <v>46035</v>
      </c>
      <c r="C421" s="4" t="s">
        <v>1447</v>
      </c>
      <c r="D421" s="4" t="s">
        <v>268</v>
      </c>
      <c r="E421" s="4" t="s">
        <v>30</v>
      </c>
      <c r="F421" s="4" t="s">
        <v>7</v>
      </c>
      <c r="G421" s="4" t="n">
        <v>13</v>
      </c>
      <c r="H421" s="5" t="n">
        <v>1105.46</v>
      </c>
      <c r="I421" s="5" t="n">
        <v>820.57</v>
      </c>
      <c r="J421" s="9" t="n">
        <v>0</v>
      </c>
      <c r="K421" s="5" t="n">
        <f aca="false">G421*H421*(1-J421)</f>
        <v>14370.98</v>
      </c>
      <c r="L421" s="5" t="n">
        <f aca="false">K421-(G421*I421)</f>
        <v>3703.57</v>
      </c>
    </row>
    <row r="422" customFormat="false" ht="16.4" hidden="false" customHeight="false" outlineLevel="0" collapsed="false">
      <c r="A422" s="4" t="s">
        <v>1891</v>
      </c>
      <c r="B422" s="6" t="n">
        <v>45430</v>
      </c>
      <c r="C422" s="4" t="s">
        <v>1075</v>
      </c>
      <c r="D422" s="4" t="s">
        <v>184</v>
      </c>
      <c r="E422" s="4" t="s">
        <v>6</v>
      </c>
      <c r="F422" s="4" t="s">
        <v>19</v>
      </c>
      <c r="G422" s="4" t="n">
        <v>1</v>
      </c>
      <c r="H422" s="5" t="n">
        <v>453.47</v>
      </c>
      <c r="I422" s="5" t="n">
        <v>327.97</v>
      </c>
      <c r="J422" s="9" t="n">
        <v>0.08</v>
      </c>
      <c r="K422" s="5" t="n">
        <f aca="false">G422*H422*(1-J422)</f>
        <v>417.1924</v>
      </c>
      <c r="L422" s="5" t="n">
        <f aca="false">K422-(G422*I422)</f>
        <v>89.2224</v>
      </c>
    </row>
    <row r="423" customFormat="false" ht="16.4" hidden="false" customHeight="false" outlineLevel="0" collapsed="false">
      <c r="A423" s="4" t="s">
        <v>1892</v>
      </c>
      <c r="B423" s="6" t="n">
        <v>46168</v>
      </c>
      <c r="C423" s="4" t="s">
        <v>771</v>
      </c>
      <c r="D423" s="4" t="s">
        <v>42</v>
      </c>
      <c r="E423" s="4" t="s">
        <v>18</v>
      </c>
      <c r="F423" s="4" t="s">
        <v>19</v>
      </c>
      <c r="G423" s="4" t="n">
        <v>8</v>
      </c>
      <c r="H423" s="5" t="n">
        <v>820.12</v>
      </c>
      <c r="I423" s="5" t="n">
        <v>579.72</v>
      </c>
      <c r="J423" s="9" t="n">
        <v>0</v>
      </c>
      <c r="K423" s="5" t="n">
        <f aca="false">G423*H423*(1-J423)</f>
        <v>6560.96</v>
      </c>
      <c r="L423" s="5" t="n">
        <f aca="false">K423-(G423*I423)</f>
        <v>1923.2</v>
      </c>
    </row>
    <row r="424" customFormat="false" ht="16.4" hidden="false" customHeight="false" outlineLevel="0" collapsed="false">
      <c r="A424" s="4" t="s">
        <v>1893</v>
      </c>
      <c r="B424" s="6" t="n">
        <v>45574</v>
      </c>
      <c r="C424" s="4" t="s">
        <v>1255</v>
      </c>
      <c r="D424" s="4" t="s">
        <v>50</v>
      </c>
      <c r="E424" s="4" t="s">
        <v>6</v>
      </c>
      <c r="F424" s="4" t="s">
        <v>13</v>
      </c>
      <c r="G424" s="4" t="n">
        <v>23</v>
      </c>
      <c r="H424" s="5" t="n">
        <v>845.31</v>
      </c>
      <c r="I424" s="5" t="n">
        <v>410.91</v>
      </c>
      <c r="J424" s="9" t="n">
        <v>0.15</v>
      </c>
      <c r="K424" s="5" t="n">
        <f aca="false">G424*H424*(1-J424)</f>
        <v>16525.8105</v>
      </c>
      <c r="L424" s="5" t="n">
        <f aca="false">K424-(G424*I424)</f>
        <v>7074.8805</v>
      </c>
    </row>
    <row r="425" customFormat="false" ht="16.4" hidden="false" customHeight="false" outlineLevel="0" collapsed="false">
      <c r="A425" s="4" t="s">
        <v>1894</v>
      </c>
      <c r="B425" s="6" t="n">
        <v>45451</v>
      </c>
      <c r="C425" s="4" t="s">
        <v>500</v>
      </c>
      <c r="D425" s="4" t="s">
        <v>88</v>
      </c>
      <c r="E425" s="4" t="s">
        <v>24</v>
      </c>
      <c r="F425" s="4" t="s">
        <v>13</v>
      </c>
      <c r="G425" s="4" t="n">
        <v>15</v>
      </c>
      <c r="H425" s="5" t="n">
        <v>907.28</v>
      </c>
      <c r="I425" s="5" t="n">
        <v>596.48</v>
      </c>
      <c r="J425" s="9" t="n">
        <v>0.02</v>
      </c>
      <c r="K425" s="5" t="n">
        <f aca="false">G425*H425*(1-J425)</f>
        <v>13337.016</v>
      </c>
      <c r="L425" s="5" t="n">
        <f aca="false">K425-(G425*I425)</f>
        <v>4389.816</v>
      </c>
    </row>
    <row r="426" customFormat="false" ht="16.4" hidden="false" customHeight="false" outlineLevel="0" collapsed="false">
      <c r="A426" s="4" t="s">
        <v>1895</v>
      </c>
      <c r="B426" s="6" t="n">
        <v>45530</v>
      </c>
      <c r="C426" s="4" t="s">
        <v>839</v>
      </c>
      <c r="D426" s="4" t="s">
        <v>174</v>
      </c>
      <c r="E426" s="4" t="s">
        <v>12</v>
      </c>
      <c r="F426" s="4" t="s">
        <v>19</v>
      </c>
      <c r="G426" s="4" t="n">
        <v>19</v>
      </c>
      <c r="H426" s="5" t="n">
        <v>770.28</v>
      </c>
      <c r="I426" s="5" t="n">
        <v>525.13</v>
      </c>
      <c r="J426" s="9" t="n">
        <v>0</v>
      </c>
      <c r="K426" s="5" t="n">
        <f aca="false">G426*H426*(1-J426)</f>
        <v>14635.32</v>
      </c>
      <c r="L426" s="5" t="n">
        <f aca="false">K426-(G426*I426)</f>
        <v>4657.85</v>
      </c>
    </row>
    <row r="427" customFormat="false" ht="16.4" hidden="false" customHeight="false" outlineLevel="0" collapsed="false">
      <c r="A427" s="4" t="s">
        <v>1896</v>
      </c>
      <c r="B427" s="6" t="n">
        <v>45874</v>
      </c>
      <c r="C427" s="4" t="s">
        <v>559</v>
      </c>
      <c r="D427" s="4" t="s">
        <v>192</v>
      </c>
      <c r="E427" s="4" t="s">
        <v>30</v>
      </c>
      <c r="F427" s="4" t="s">
        <v>13</v>
      </c>
      <c r="G427" s="4" t="n">
        <v>19</v>
      </c>
      <c r="H427" s="5" t="n">
        <v>54.12</v>
      </c>
      <c r="I427" s="5" t="n">
        <v>34.89</v>
      </c>
      <c r="J427" s="9" t="n">
        <v>0.05</v>
      </c>
      <c r="K427" s="5" t="n">
        <f aca="false">G427*H427*(1-J427)</f>
        <v>976.866</v>
      </c>
      <c r="L427" s="5" t="n">
        <f aca="false">K427-(G427*I427)</f>
        <v>313.956</v>
      </c>
    </row>
    <row r="428" customFormat="false" ht="16.4" hidden="false" customHeight="false" outlineLevel="0" collapsed="false">
      <c r="A428" s="4" t="s">
        <v>1897</v>
      </c>
      <c r="B428" s="6" t="n">
        <v>46103</v>
      </c>
      <c r="C428" s="4" t="s">
        <v>541</v>
      </c>
      <c r="D428" s="4" t="s">
        <v>414</v>
      </c>
      <c r="E428" s="4" t="s">
        <v>12</v>
      </c>
      <c r="F428" s="4" t="s">
        <v>25</v>
      </c>
      <c r="G428" s="4" t="n">
        <v>24</v>
      </c>
      <c r="H428" s="5" t="n">
        <v>474.99</v>
      </c>
      <c r="I428" s="5" t="n">
        <v>328.89</v>
      </c>
      <c r="J428" s="9" t="n">
        <v>0.02</v>
      </c>
      <c r="K428" s="5" t="n">
        <f aca="false">G428*H428*(1-J428)</f>
        <v>11171.7648</v>
      </c>
      <c r="L428" s="5" t="n">
        <f aca="false">K428-(G428*I428)</f>
        <v>3278.4048</v>
      </c>
    </row>
    <row r="429" customFormat="false" ht="16.4" hidden="false" customHeight="false" outlineLevel="0" collapsed="false">
      <c r="A429" s="4" t="s">
        <v>1898</v>
      </c>
      <c r="B429" s="6" t="n">
        <v>45882</v>
      </c>
      <c r="C429" s="4" t="s">
        <v>963</v>
      </c>
      <c r="D429" s="4" t="s">
        <v>128</v>
      </c>
      <c r="E429" s="4" t="s">
        <v>30</v>
      </c>
      <c r="F429" s="4" t="s">
        <v>7</v>
      </c>
      <c r="G429" s="4" t="n">
        <v>23</v>
      </c>
      <c r="H429" s="5" t="n">
        <v>248.5</v>
      </c>
      <c r="I429" s="5" t="n">
        <v>131.57</v>
      </c>
      <c r="J429" s="9" t="n">
        <v>0.1</v>
      </c>
      <c r="K429" s="5" t="n">
        <f aca="false">G429*H429*(1-J429)</f>
        <v>5143.95</v>
      </c>
      <c r="L429" s="5" t="n">
        <f aca="false">K429-(G429*I429)</f>
        <v>2117.84</v>
      </c>
    </row>
    <row r="430" customFormat="false" ht="16.4" hidden="false" customHeight="false" outlineLevel="0" collapsed="false">
      <c r="A430" s="4" t="s">
        <v>1899</v>
      </c>
      <c r="B430" s="6" t="n">
        <v>46040</v>
      </c>
      <c r="C430" s="4" t="s">
        <v>1121</v>
      </c>
      <c r="D430" s="4" t="s">
        <v>344</v>
      </c>
      <c r="E430" s="4" t="s">
        <v>12</v>
      </c>
      <c r="F430" s="4" t="s">
        <v>25</v>
      </c>
      <c r="G430" s="4" t="n">
        <v>10</v>
      </c>
      <c r="H430" s="5" t="n">
        <v>200.31</v>
      </c>
      <c r="I430" s="5" t="n">
        <v>115.21</v>
      </c>
      <c r="J430" s="9" t="n">
        <v>0</v>
      </c>
      <c r="K430" s="5" t="n">
        <f aca="false">G430*H430*(1-J430)</f>
        <v>2003.1</v>
      </c>
      <c r="L430" s="5" t="n">
        <f aca="false">K430-(G430*I430)</f>
        <v>851</v>
      </c>
    </row>
    <row r="431" customFormat="false" ht="16.4" hidden="false" customHeight="false" outlineLevel="0" collapsed="false">
      <c r="A431" s="4" t="s">
        <v>1900</v>
      </c>
      <c r="B431" s="6" t="n">
        <v>45634</v>
      </c>
      <c r="C431" s="4" t="s">
        <v>1263</v>
      </c>
      <c r="D431" s="4" t="s">
        <v>80</v>
      </c>
      <c r="E431" s="4" t="s">
        <v>18</v>
      </c>
      <c r="F431" s="4" t="s">
        <v>19</v>
      </c>
      <c r="G431" s="4" t="n">
        <v>2</v>
      </c>
      <c r="H431" s="5" t="n">
        <v>623.69</v>
      </c>
      <c r="I431" s="5" t="n">
        <v>240.97</v>
      </c>
      <c r="J431" s="9" t="n">
        <v>0.15</v>
      </c>
      <c r="K431" s="5" t="n">
        <f aca="false">G431*H431*(1-J431)</f>
        <v>1060.273</v>
      </c>
      <c r="L431" s="5" t="n">
        <f aca="false">K431-(G431*I431)</f>
        <v>578.333</v>
      </c>
    </row>
    <row r="432" customFormat="false" ht="16.4" hidden="false" customHeight="false" outlineLevel="0" collapsed="false">
      <c r="A432" s="4" t="s">
        <v>1901</v>
      </c>
      <c r="B432" s="6" t="n">
        <v>46080</v>
      </c>
      <c r="C432" s="4" t="s">
        <v>891</v>
      </c>
      <c r="D432" s="4" t="s">
        <v>262</v>
      </c>
      <c r="E432" s="4" t="s">
        <v>18</v>
      </c>
      <c r="F432" s="4" t="s">
        <v>13</v>
      </c>
      <c r="G432" s="4" t="n">
        <v>4</v>
      </c>
      <c r="H432" s="5" t="n">
        <v>1027.8</v>
      </c>
      <c r="I432" s="5" t="n">
        <v>751.7</v>
      </c>
      <c r="J432" s="9" t="n">
        <v>0.15</v>
      </c>
      <c r="K432" s="5" t="n">
        <f aca="false">G432*H432*(1-J432)</f>
        <v>3494.52</v>
      </c>
      <c r="L432" s="5" t="n">
        <f aca="false">K432-(G432*I432)</f>
        <v>487.719999999999</v>
      </c>
    </row>
    <row r="433" customFormat="false" ht="16.4" hidden="false" customHeight="false" outlineLevel="0" collapsed="false">
      <c r="A433" s="4" t="s">
        <v>1902</v>
      </c>
      <c r="B433" s="6" t="n">
        <v>45941</v>
      </c>
      <c r="C433" s="4" t="s">
        <v>1133</v>
      </c>
      <c r="D433" s="4" t="s">
        <v>422</v>
      </c>
      <c r="E433" s="4" t="s">
        <v>30</v>
      </c>
      <c r="F433" s="4" t="s">
        <v>25</v>
      </c>
      <c r="G433" s="4" t="n">
        <v>20</v>
      </c>
      <c r="H433" s="5" t="n">
        <v>1052.17</v>
      </c>
      <c r="I433" s="5" t="n">
        <v>553.57</v>
      </c>
      <c r="J433" s="9" t="n">
        <v>0</v>
      </c>
      <c r="K433" s="5" t="n">
        <f aca="false">G433*H433*(1-J433)</f>
        <v>21043.4</v>
      </c>
      <c r="L433" s="5" t="n">
        <f aca="false">K433-(G433*I433)</f>
        <v>9972</v>
      </c>
    </row>
    <row r="434" customFormat="false" ht="16.4" hidden="false" customHeight="false" outlineLevel="0" collapsed="false">
      <c r="A434" s="4" t="s">
        <v>1903</v>
      </c>
      <c r="B434" s="6" t="n">
        <v>45618</v>
      </c>
      <c r="C434" s="4" t="s">
        <v>777</v>
      </c>
      <c r="D434" s="4" t="s">
        <v>66</v>
      </c>
      <c r="E434" s="4" t="s">
        <v>18</v>
      </c>
      <c r="F434" s="4" t="s">
        <v>13</v>
      </c>
      <c r="G434" s="4" t="n">
        <v>17</v>
      </c>
      <c r="H434" s="5" t="n">
        <v>771.1</v>
      </c>
      <c r="I434" s="5" t="n">
        <v>434.64</v>
      </c>
      <c r="J434" s="9" t="n">
        <v>0</v>
      </c>
      <c r="K434" s="5" t="n">
        <f aca="false">G434*H434*(1-J434)</f>
        <v>13108.7</v>
      </c>
      <c r="L434" s="5" t="n">
        <f aca="false">K434-(G434*I434)</f>
        <v>5719.82</v>
      </c>
    </row>
    <row r="435" customFormat="false" ht="16.4" hidden="false" customHeight="false" outlineLevel="0" collapsed="false">
      <c r="A435" s="4" t="s">
        <v>1904</v>
      </c>
      <c r="B435" s="6" t="n">
        <v>45448</v>
      </c>
      <c r="C435" s="4" t="s">
        <v>979</v>
      </c>
      <c r="D435" s="4" t="s">
        <v>206</v>
      </c>
      <c r="E435" s="4" t="s">
        <v>24</v>
      </c>
      <c r="F435" s="4" t="s">
        <v>7</v>
      </c>
      <c r="G435" s="4" t="n">
        <v>23</v>
      </c>
      <c r="H435" s="5" t="n">
        <v>152.37</v>
      </c>
      <c r="I435" s="5" t="n">
        <v>79.82</v>
      </c>
      <c r="J435" s="9" t="n">
        <v>0</v>
      </c>
      <c r="K435" s="5" t="n">
        <f aca="false">G435*H435*(1-J435)</f>
        <v>3504.51</v>
      </c>
      <c r="L435" s="5" t="n">
        <f aca="false">K435-(G435*I435)</f>
        <v>1668.65</v>
      </c>
    </row>
    <row r="436" customFormat="false" ht="16.4" hidden="false" customHeight="false" outlineLevel="0" collapsed="false">
      <c r="A436" s="4" t="s">
        <v>1905</v>
      </c>
      <c r="B436" s="6" t="n">
        <v>46062</v>
      </c>
      <c r="C436" s="4" t="s">
        <v>1213</v>
      </c>
      <c r="D436" s="4" t="s">
        <v>384</v>
      </c>
      <c r="E436" s="4" t="s">
        <v>12</v>
      </c>
      <c r="F436" s="4" t="s">
        <v>7</v>
      </c>
      <c r="G436" s="4" t="n">
        <v>13</v>
      </c>
      <c r="H436" s="5" t="n">
        <v>128.47</v>
      </c>
      <c r="I436" s="5" t="n">
        <v>57.93</v>
      </c>
      <c r="J436" s="9" t="n">
        <v>0.05</v>
      </c>
      <c r="K436" s="5" t="n">
        <f aca="false">G436*H436*(1-J436)</f>
        <v>1586.6045</v>
      </c>
      <c r="L436" s="5" t="n">
        <f aca="false">K436-(G436*I436)</f>
        <v>833.5145</v>
      </c>
    </row>
    <row r="437" customFormat="false" ht="16.4" hidden="false" customHeight="false" outlineLevel="0" collapsed="false">
      <c r="A437" s="4" t="s">
        <v>1906</v>
      </c>
      <c r="B437" s="6" t="n">
        <v>45695</v>
      </c>
      <c r="C437" s="4" t="s">
        <v>907</v>
      </c>
      <c r="D437" s="4" t="s">
        <v>152</v>
      </c>
      <c r="E437" s="4" t="s">
        <v>30</v>
      </c>
      <c r="F437" s="4" t="s">
        <v>13</v>
      </c>
      <c r="G437" s="4" t="n">
        <v>10</v>
      </c>
      <c r="H437" s="5" t="n">
        <v>797.41</v>
      </c>
      <c r="I437" s="5" t="n">
        <v>459.38</v>
      </c>
      <c r="J437" s="9" t="n">
        <v>0.15</v>
      </c>
      <c r="K437" s="5" t="n">
        <f aca="false">G437*H437*(1-J437)</f>
        <v>6777.985</v>
      </c>
      <c r="L437" s="5" t="n">
        <f aca="false">K437-(G437*I437)</f>
        <v>2184.185</v>
      </c>
    </row>
    <row r="438" customFormat="false" ht="16.4" hidden="false" customHeight="false" outlineLevel="0" collapsed="false">
      <c r="A438" s="4" t="s">
        <v>1907</v>
      </c>
      <c r="B438" s="6" t="n">
        <v>45877</v>
      </c>
      <c r="C438" s="4" t="s">
        <v>809</v>
      </c>
      <c r="D438" s="4" t="s">
        <v>106</v>
      </c>
      <c r="E438" s="4" t="s">
        <v>30</v>
      </c>
      <c r="F438" s="4" t="s">
        <v>7</v>
      </c>
      <c r="G438" s="4" t="n">
        <v>3</v>
      </c>
      <c r="H438" s="5" t="n">
        <v>1050.11</v>
      </c>
      <c r="I438" s="5" t="n">
        <v>545.28</v>
      </c>
      <c r="J438" s="9" t="n">
        <v>0.05</v>
      </c>
      <c r="K438" s="5" t="n">
        <f aca="false">G438*H438*(1-J438)</f>
        <v>2992.8135</v>
      </c>
      <c r="L438" s="5" t="n">
        <f aca="false">K438-(G438*I438)</f>
        <v>1356.9735</v>
      </c>
    </row>
    <row r="439" customFormat="false" ht="16.4" hidden="false" customHeight="false" outlineLevel="0" collapsed="false">
      <c r="A439" s="4" t="s">
        <v>1908</v>
      </c>
      <c r="B439" s="6" t="n">
        <v>45700</v>
      </c>
      <c r="C439" s="4" t="s">
        <v>873</v>
      </c>
      <c r="D439" s="4" t="s">
        <v>320</v>
      </c>
      <c r="E439" s="4" t="s">
        <v>6</v>
      </c>
      <c r="F439" s="4" t="s">
        <v>25</v>
      </c>
      <c r="G439" s="4" t="n">
        <v>9</v>
      </c>
      <c r="H439" s="5" t="n">
        <v>956.7</v>
      </c>
      <c r="I439" s="5" t="n">
        <v>370.45</v>
      </c>
      <c r="J439" s="9" t="n">
        <v>0</v>
      </c>
      <c r="K439" s="5" t="n">
        <f aca="false">G439*H439*(1-J439)</f>
        <v>8610.3</v>
      </c>
      <c r="L439" s="5" t="n">
        <f aca="false">K439-(G439*I439)</f>
        <v>5276.25</v>
      </c>
    </row>
    <row r="440" customFormat="false" ht="16.4" hidden="false" customHeight="false" outlineLevel="0" collapsed="false">
      <c r="A440" s="4" t="s">
        <v>1909</v>
      </c>
      <c r="B440" s="6" t="n">
        <v>45430</v>
      </c>
      <c r="C440" s="4" t="s">
        <v>1179</v>
      </c>
      <c r="D440" s="4" t="s">
        <v>436</v>
      </c>
      <c r="E440" s="4" t="s">
        <v>18</v>
      </c>
      <c r="F440" s="4" t="s">
        <v>25</v>
      </c>
      <c r="G440" s="4" t="n">
        <v>5</v>
      </c>
      <c r="H440" s="5" t="n">
        <v>220.48</v>
      </c>
      <c r="I440" s="5" t="n">
        <v>103.58</v>
      </c>
      <c r="J440" s="9" t="n">
        <v>0.15</v>
      </c>
      <c r="K440" s="5" t="n">
        <f aca="false">G440*H440*(1-J440)</f>
        <v>937.04</v>
      </c>
      <c r="L440" s="5" t="n">
        <f aca="false">K440-(G440*I440)</f>
        <v>419.14</v>
      </c>
    </row>
    <row r="441" customFormat="false" ht="16.4" hidden="false" customHeight="false" outlineLevel="0" collapsed="false">
      <c r="A441" s="4" t="s">
        <v>1910</v>
      </c>
      <c r="B441" s="6" t="n">
        <v>45959</v>
      </c>
      <c r="C441" s="4" t="s">
        <v>667</v>
      </c>
      <c r="D441" s="4" t="s">
        <v>326</v>
      </c>
      <c r="E441" s="4" t="s">
        <v>12</v>
      </c>
      <c r="F441" s="4" t="s">
        <v>13</v>
      </c>
      <c r="G441" s="4" t="n">
        <v>16</v>
      </c>
      <c r="H441" s="5" t="n">
        <v>385.28</v>
      </c>
      <c r="I441" s="5" t="n">
        <v>170.38</v>
      </c>
      <c r="J441" s="9" t="n">
        <v>0.05</v>
      </c>
      <c r="K441" s="5" t="n">
        <f aca="false">G441*H441*(1-J441)</f>
        <v>5856.256</v>
      </c>
      <c r="L441" s="5" t="n">
        <f aca="false">K441-(G441*I441)</f>
        <v>3130.176</v>
      </c>
    </row>
    <row r="442" customFormat="false" ht="16.4" hidden="false" customHeight="false" outlineLevel="0" collapsed="false">
      <c r="A442" s="4" t="s">
        <v>1911</v>
      </c>
      <c r="B442" s="6" t="n">
        <v>45544</v>
      </c>
      <c r="C442" s="4" t="s">
        <v>1095</v>
      </c>
      <c r="D442" s="4" t="s">
        <v>326</v>
      </c>
      <c r="E442" s="4" t="s">
        <v>6</v>
      </c>
      <c r="F442" s="4" t="s">
        <v>13</v>
      </c>
      <c r="G442" s="4" t="n">
        <v>24</v>
      </c>
      <c r="H442" s="5" t="n">
        <v>385.28</v>
      </c>
      <c r="I442" s="5" t="n">
        <v>170.38</v>
      </c>
      <c r="J442" s="9" t="n">
        <v>0.08</v>
      </c>
      <c r="K442" s="5" t="n">
        <f aca="false">G442*H442*(1-J442)</f>
        <v>8506.9824</v>
      </c>
      <c r="L442" s="5" t="n">
        <f aca="false">K442-(G442*I442)</f>
        <v>4417.8624</v>
      </c>
    </row>
    <row r="443" customFormat="false" ht="16.4" hidden="false" customHeight="false" outlineLevel="0" collapsed="false">
      <c r="A443" s="4" t="s">
        <v>1912</v>
      </c>
      <c r="B443" s="6" t="n">
        <v>45623</v>
      </c>
      <c r="C443" s="4" t="s">
        <v>737</v>
      </c>
      <c r="D443" s="4" t="s">
        <v>76</v>
      </c>
      <c r="E443" s="4" t="s">
        <v>18</v>
      </c>
      <c r="F443" s="4" t="s">
        <v>7</v>
      </c>
      <c r="G443" s="4" t="n">
        <v>25</v>
      </c>
      <c r="H443" s="5" t="n">
        <v>336.23</v>
      </c>
      <c r="I443" s="5" t="n">
        <v>150.85</v>
      </c>
      <c r="J443" s="9" t="n">
        <v>0.05</v>
      </c>
      <c r="K443" s="5" t="n">
        <f aca="false">G443*H443*(1-J443)</f>
        <v>7985.4625</v>
      </c>
      <c r="L443" s="5" t="n">
        <f aca="false">K443-(G443*I443)</f>
        <v>4214.2125</v>
      </c>
    </row>
    <row r="444" customFormat="false" ht="16.4" hidden="false" customHeight="false" outlineLevel="0" collapsed="false">
      <c r="A444" s="4" t="s">
        <v>1913</v>
      </c>
      <c r="B444" s="6" t="n">
        <v>45666</v>
      </c>
      <c r="C444" s="4" t="s">
        <v>1151</v>
      </c>
      <c r="D444" s="4" t="s">
        <v>96</v>
      </c>
      <c r="E444" s="4" t="s">
        <v>24</v>
      </c>
      <c r="F444" s="4" t="s">
        <v>19</v>
      </c>
      <c r="G444" s="4" t="n">
        <v>14</v>
      </c>
      <c r="H444" s="5" t="n">
        <v>1145.36</v>
      </c>
      <c r="I444" s="5" t="n">
        <v>823.48</v>
      </c>
      <c r="J444" s="9" t="n">
        <v>0.05</v>
      </c>
      <c r="K444" s="5" t="n">
        <f aca="false">G444*H444*(1-J444)</f>
        <v>15233.288</v>
      </c>
      <c r="L444" s="5" t="n">
        <f aca="false">K444-(G444*I444)</f>
        <v>3704.568</v>
      </c>
    </row>
    <row r="445" customFormat="false" ht="16.4" hidden="false" customHeight="false" outlineLevel="0" collapsed="false">
      <c r="A445" s="4" t="s">
        <v>1914</v>
      </c>
      <c r="B445" s="6" t="n">
        <v>45963</v>
      </c>
      <c r="C445" s="4" t="s">
        <v>793</v>
      </c>
      <c r="D445" s="4" t="s">
        <v>136</v>
      </c>
      <c r="E445" s="4" t="s">
        <v>24</v>
      </c>
      <c r="F445" s="4" t="s">
        <v>7</v>
      </c>
      <c r="G445" s="4" t="n">
        <v>12</v>
      </c>
      <c r="H445" s="5" t="n">
        <v>590.6</v>
      </c>
      <c r="I445" s="5" t="n">
        <v>410.98</v>
      </c>
      <c r="J445" s="9" t="n">
        <v>0.08</v>
      </c>
      <c r="K445" s="5" t="n">
        <f aca="false">G445*H445*(1-J445)</f>
        <v>6520.224</v>
      </c>
      <c r="L445" s="5" t="n">
        <f aca="false">K445-(G445*I445)</f>
        <v>1588.464</v>
      </c>
    </row>
    <row r="446" customFormat="false" ht="16.4" hidden="false" customHeight="false" outlineLevel="0" collapsed="false">
      <c r="A446" s="4" t="s">
        <v>1915</v>
      </c>
      <c r="B446" s="6" t="n">
        <v>45923</v>
      </c>
      <c r="C446" s="4" t="s">
        <v>777</v>
      </c>
      <c r="D446" s="4" t="s">
        <v>434</v>
      </c>
      <c r="E446" s="4" t="s">
        <v>18</v>
      </c>
      <c r="F446" s="4" t="s">
        <v>25</v>
      </c>
      <c r="G446" s="4" t="n">
        <v>6</v>
      </c>
      <c r="H446" s="5" t="n">
        <v>534.92</v>
      </c>
      <c r="I446" s="5" t="n">
        <v>208.29</v>
      </c>
      <c r="J446" s="9" t="n">
        <v>0.02</v>
      </c>
      <c r="K446" s="5" t="n">
        <f aca="false">G446*H446*(1-J446)</f>
        <v>3145.3296</v>
      </c>
      <c r="L446" s="5" t="n">
        <f aca="false">K446-(G446*I446)</f>
        <v>1895.5896</v>
      </c>
    </row>
    <row r="447" customFormat="false" ht="16.4" hidden="false" customHeight="false" outlineLevel="0" collapsed="false">
      <c r="A447" s="4" t="s">
        <v>1916</v>
      </c>
      <c r="B447" s="6" t="n">
        <v>46129</v>
      </c>
      <c r="C447" s="4" t="s">
        <v>613</v>
      </c>
      <c r="D447" s="4" t="s">
        <v>358</v>
      </c>
      <c r="E447" s="4" t="s">
        <v>18</v>
      </c>
      <c r="F447" s="4" t="s">
        <v>13</v>
      </c>
      <c r="G447" s="4" t="n">
        <v>15</v>
      </c>
      <c r="H447" s="5" t="n">
        <v>855.67</v>
      </c>
      <c r="I447" s="5" t="n">
        <v>540.09</v>
      </c>
      <c r="J447" s="9" t="n">
        <v>0</v>
      </c>
      <c r="K447" s="5" t="n">
        <f aca="false">G447*H447*(1-J447)</f>
        <v>12835.05</v>
      </c>
      <c r="L447" s="5" t="n">
        <f aca="false">K447-(G447*I447)</f>
        <v>4733.7</v>
      </c>
    </row>
    <row r="448" customFormat="false" ht="16.4" hidden="false" customHeight="false" outlineLevel="0" collapsed="false">
      <c r="A448" s="4" t="s">
        <v>1917</v>
      </c>
      <c r="B448" s="6" t="n">
        <v>46067</v>
      </c>
      <c r="C448" s="4" t="s">
        <v>1165</v>
      </c>
      <c r="D448" s="4" t="s">
        <v>142</v>
      </c>
      <c r="E448" s="4" t="s">
        <v>30</v>
      </c>
      <c r="F448" s="4" t="s">
        <v>7</v>
      </c>
      <c r="G448" s="4" t="n">
        <v>12</v>
      </c>
      <c r="H448" s="5" t="n">
        <v>248.13</v>
      </c>
      <c r="I448" s="5" t="n">
        <v>108.45</v>
      </c>
      <c r="J448" s="9" t="n">
        <v>0</v>
      </c>
      <c r="K448" s="5" t="n">
        <f aca="false">G448*H448*(1-J448)</f>
        <v>2977.56</v>
      </c>
      <c r="L448" s="5" t="n">
        <f aca="false">K448-(G448*I448)</f>
        <v>1676.16</v>
      </c>
    </row>
    <row r="449" customFormat="false" ht="16.4" hidden="false" customHeight="false" outlineLevel="0" collapsed="false">
      <c r="A449" s="4" t="s">
        <v>1918</v>
      </c>
      <c r="B449" s="6" t="n">
        <v>45927</v>
      </c>
      <c r="C449" s="4" t="s">
        <v>1221</v>
      </c>
      <c r="D449" s="4" t="s">
        <v>96</v>
      </c>
      <c r="E449" s="4" t="s">
        <v>24</v>
      </c>
      <c r="F449" s="4" t="s">
        <v>13</v>
      </c>
      <c r="G449" s="4" t="n">
        <v>2</v>
      </c>
      <c r="H449" s="5" t="n">
        <v>1145.36</v>
      </c>
      <c r="I449" s="5" t="n">
        <v>823.48</v>
      </c>
      <c r="J449" s="9" t="n">
        <v>0</v>
      </c>
      <c r="K449" s="5" t="n">
        <f aca="false">G449*H449*(1-J449)</f>
        <v>2290.72</v>
      </c>
      <c r="L449" s="5" t="n">
        <f aca="false">K449-(G449*I449)</f>
        <v>643.76</v>
      </c>
    </row>
    <row r="450" customFormat="false" ht="16.4" hidden="false" customHeight="false" outlineLevel="0" collapsed="false">
      <c r="A450" s="4" t="s">
        <v>1919</v>
      </c>
      <c r="B450" s="6" t="n">
        <v>46115</v>
      </c>
      <c r="C450" s="4" t="s">
        <v>470</v>
      </c>
      <c r="D450" s="4" t="s">
        <v>186</v>
      </c>
      <c r="E450" s="4" t="s">
        <v>24</v>
      </c>
      <c r="F450" s="4" t="s">
        <v>7</v>
      </c>
      <c r="G450" s="4" t="n">
        <v>11</v>
      </c>
      <c r="H450" s="5" t="n">
        <v>271.84</v>
      </c>
      <c r="I450" s="5" t="n">
        <v>122.28</v>
      </c>
      <c r="J450" s="9" t="n">
        <v>0.1</v>
      </c>
      <c r="K450" s="5" t="n">
        <f aca="false">G450*H450*(1-J450)</f>
        <v>2691.216</v>
      </c>
      <c r="L450" s="5" t="n">
        <f aca="false">K450-(G450*I450)</f>
        <v>1346.136</v>
      </c>
    </row>
    <row r="451" customFormat="false" ht="16.4" hidden="false" customHeight="false" outlineLevel="0" collapsed="false">
      <c r="A451" s="4" t="s">
        <v>1920</v>
      </c>
      <c r="B451" s="6" t="n">
        <v>45631</v>
      </c>
      <c r="C451" s="4" t="s">
        <v>925</v>
      </c>
      <c r="D451" s="4" t="s">
        <v>196</v>
      </c>
      <c r="E451" s="4" t="s">
        <v>6</v>
      </c>
      <c r="F451" s="4" t="s">
        <v>13</v>
      </c>
      <c r="G451" s="4" t="n">
        <v>16</v>
      </c>
      <c r="H451" s="5" t="n">
        <v>1033.85</v>
      </c>
      <c r="I451" s="5" t="n">
        <v>453.83</v>
      </c>
      <c r="J451" s="9" t="n">
        <v>0</v>
      </c>
      <c r="K451" s="5" t="n">
        <f aca="false">G451*H451*(1-J451)</f>
        <v>16541.6</v>
      </c>
      <c r="L451" s="5" t="n">
        <f aca="false">K451-(G451*I451)</f>
        <v>9280.32</v>
      </c>
    </row>
    <row r="452" customFormat="false" ht="16.4" hidden="false" customHeight="false" outlineLevel="0" collapsed="false">
      <c r="A452" s="4" t="s">
        <v>1921</v>
      </c>
      <c r="B452" s="6" t="n">
        <v>45851</v>
      </c>
      <c r="C452" s="4" t="s">
        <v>1015</v>
      </c>
      <c r="D452" s="4" t="s">
        <v>418</v>
      </c>
      <c r="E452" s="4" t="s">
        <v>12</v>
      </c>
      <c r="F452" s="4" t="s">
        <v>19</v>
      </c>
      <c r="G452" s="4" t="n">
        <v>7</v>
      </c>
      <c r="H452" s="5" t="n">
        <v>1186.39</v>
      </c>
      <c r="I452" s="5" t="n">
        <v>791.27</v>
      </c>
      <c r="J452" s="9" t="n">
        <v>0</v>
      </c>
      <c r="K452" s="5" t="n">
        <f aca="false">G452*H452*(1-J452)</f>
        <v>8304.73</v>
      </c>
      <c r="L452" s="5" t="n">
        <f aca="false">K452-(G452*I452)</f>
        <v>2765.84</v>
      </c>
    </row>
    <row r="453" customFormat="false" ht="16.4" hidden="false" customHeight="false" outlineLevel="0" collapsed="false">
      <c r="A453" s="4" t="s">
        <v>1922</v>
      </c>
      <c r="B453" s="6" t="n">
        <v>45436</v>
      </c>
      <c r="C453" s="4" t="s">
        <v>959</v>
      </c>
      <c r="D453" s="4" t="s">
        <v>320</v>
      </c>
      <c r="E453" s="4" t="s">
        <v>30</v>
      </c>
      <c r="F453" s="4" t="s">
        <v>7</v>
      </c>
      <c r="G453" s="4" t="n">
        <v>20</v>
      </c>
      <c r="H453" s="5" t="n">
        <v>956.7</v>
      </c>
      <c r="I453" s="5" t="n">
        <v>370.45</v>
      </c>
      <c r="J453" s="9" t="n">
        <v>0.1</v>
      </c>
      <c r="K453" s="5" t="n">
        <f aca="false">G453*H453*(1-J453)</f>
        <v>17220.6</v>
      </c>
      <c r="L453" s="5" t="n">
        <f aca="false">K453-(G453*I453)</f>
        <v>9811.6</v>
      </c>
    </row>
    <row r="454" customFormat="false" ht="16.4" hidden="false" customHeight="false" outlineLevel="0" collapsed="false">
      <c r="A454" s="4" t="s">
        <v>1923</v>
      </c>
      <c r="B454" s="6" t="n">
        <v>45336</v>
      </c>
      <c r="C454" s="4" t="s">
        <v>1061</v>
      </c>
      <c r="D454" s="4" t="s">
        <v>232</v>
      </c>
      <c r="E454" s="4" t="s">
        <v>30</v>
      </c>
      <c r="F454" s="4" t="s">
        <v>19</v>
      </c>
      <c r="G454" s="4" t="n">
        <v>22</v>
      </c>
      <c r="H454" s="5" t="n">
        <v>743.25</v>
      </c>
      <c r="I454" s="5" t="n">
        <v>488.61</v>
      </c>
      <c r="J454" s="9" t="n">
        <v>0.08</v>
      </c>
      <c r="K454" s="5" t="n">
        <f aca="false">G454*H454*(1-J454)</f>
        <v>15043.38</v>
      </c>
      <c r="L454" s="5" t="n">
        <f aca="false">K454-(G454*I454)</f>
        <v>4293.96</v>
      </c>
    </row>
    <row r="455" customFormat="false" ht="16.4" hidden="false" customHeight="false" outlineLevel="0" collapsed="false">
      <c r="A455" s="4" t="s">
        <v>1924</v>
      </c>
      <c r="B455" s="6" t="n">
        <v>46100</v>
      </c>
      <c r="C455" s="4" t="s">
        <v>522</v>
      </c>
      <c r="D455" s="4" t="s">
        <v>126</v>
      </c>
      <c r="E455" s="4" t="s">
        <v>18</v>
      </c>
      <c r="F455" s="4" t="s">
        <v>19</v>
      </c>
      <c r="G455" s="4" t="n">
        <v>10</v>
      </c>
      <c r="H455" s="5" t="n">
        <v>880.65</v>
      </c>
      <c r="I455" s="5" t="n">
        <v>590.24</v>
      </c>
      <c r="J455" s="9" t="n">
        <v>0</v>
      </c>
      <c r="K455" s="5" t="n">
        <f aca="false">G455*H455*(1-J455)</f>
        <v>8806.5</v>
      </c>
      <c r="L455" s="5" t="n">
        <f aca="false">K455-(G455*I455)</f>
        <v>2904.1</v>
      </c>
    </row>
    <row r="456" customFormat="false" ht="16.4" hidden="false" customHeight="false" outlineLevel="0" collapsed="false">
      <c r="A456" s="4" t="s">
        <v>1925</v>
      </c>
      <c r="B456" s="6" t="n">
        <v>45360</v>
      </c>
      <c r="C456" s="4" t="s">
        <v>941</v>
      </c>
      <c r="D456" s="4" t="s">
        <v>66</v>
      </c>
      <c r="E456" s="4" t="s">
        <v>18</v>
      </c>
      <c r="F456" s="4" t="s">
        <v>25</v>
      </c>
      <c r="G456" s="4" t="n">
        <v>21</v>
      </c>
      <c r="H456" s="5" t="n">
        <v>771.1</v>
      </c>
      <c r="I456" s="5" t="n">
        <v>434.64</v>
      </c>
      <c r="J456" s="9" t="n">
        <v>0</v>
      </c>
      <c r="K456" s="5" t="n">
        <f aca="false">G456*H456*(1-J456)</f>
        <v>16193.1</v>
      </c>
      <c r="L456" s="5" t="n">
        <f aca="false">K456-(G456*I456)</f>
        <v>7065.66</v>
      </c>
    </row>
    <row r="457" customFormat="false" ht="16.4" hidden="false" customHeight="false" outlineLevel="0" collapsed="false">
      <c r="A457" s="4" t="s">
        <v>1926</v>
      </c>
      <c r="B457" s="6" t="n">
        <v>45967</v>
      </c>
      <c r="C457" s="4" t="s">
        <v>741</v>
      </c>
      <c r="D457" s="4" t="s">
        <v>378</v>
      </c>
      <c r="E457" s="4" t="s">
        <v>24</v>
      </c>
      <c r="F457" s="4" t="s">
        <v>19</v>
      </c>
      <c r="G457" s="4" t="n">
        <v>22</v>
      </c>
      <c r="H457" s="5" t="n">
        <v>1163.64</v>
      </c>
      <c r="I457" s="5" t="n">
        <v>626.04</v>
      </c>
      <c r="J457" s="9" t="n">
        <v>0.15</v>
      </c>
      <c r="K457" s="5" t="n">
        <f aca="false">G457*H457*(1-J457)</f>
        <v>21760.068</v>
      </c>
      <c r="L457" s="5" t="n">
        <f aca="false">K457-(G457*I457)</f>
        <v>7987.188</v>
      </c>
    </row>
    <row r="458" customFormat="false" ht="16.4" hidden="false" customHeight="false" outlineLevel="0" collapsed="false">
      <c r="A458" s="4" t="s">
        <v>1927</v>
      </c>
      <c r="B458" s="6" t="n">
        <v>46196</v>
      </c>
      <c r="C458" s="4" t="s">
        <v>476</v>
      </c>
      <c r="D458" s="4" t="s">
        <v>94</v>
      </c>
      <c r="E458" s="4" t="s">
        <v>24</v>
      </c>
      <c r="F458" s="4" t="s">
        <v>25</v>
      </c>
      <c r="G458" s="4" t="n">
        <v>10</v>
      </c>
      <c r="H458" s="5" t="n">
        <v>740.54</v>
      </c>
      <c r="I458" s="5" t="n">
        <v>304.46</v>
      </c>
      <c r="J458" s="9" t="n">
        <v>0.15</v>
      </c>
      <c r="K458" s="5" t="n">
        <f aca="false">G458*H458*(1-J458)</f>
        <v>6294.59</v>
      </c>
      <c r="L458" s="5" t="n">
        <f aca="false">K458-(G458*I458)</f>
        <v>3249.99</v>
      </c>
    </row>
    <row r="459" customFormat="false" ht="16.4" hidden="false" customHeight="false" outlineLevel="0" collapsed="false">
      <c r="A459" s="4" t="s">
        <v>1928</v>
      </c>
      <c r="B459" s="6" t="n">
        <v>45393</v>
      </c>
      <c r="C459" s="4" t="s">
        <v>853</v>
      </c>
      <c r="D459" s="4" t="s">
        <v>158</v>
      </c>
      <c r="E459" s="4" t="s">
        <v>30</v>
      </c>
      <c r="F459" s="4" t="s">
        <v>19</v>
      </c>
      <c r="G459" s="4" t="n">
        <v>17</v>
      </c>
      <c r="H459" s="5" t="n">
        <v>563.49</v>
      </c>
      <c r="I459" s="5" t="n">
        <v>422.27</v>
      </c>
      <c r="J459" s="9" t="n">
        <v>0.1</v>
      </c>
      <c r="K459" s="5" t="n">
        <f aca="false">G459*H459*(1-J459)</f>
        <v>8621.397</v>
      </c>
      <c r="L459" s="5" t="n">
        <f aca="false">K459-(G459*I459)</f>
        <v>1442.807</v>
      </c>
    </row>
    <row r="460" customFormat="false" ht="16.4" hidden="false" customHeight="false" outlineLevel="0" collapsed="false">
      <c r="A460" s="4" t="s">
        <v>1929</v>
      </c>
      <c r="B460" s="6" t="n">
        <v>45382</v>
      </c>
      <c r="C460" s="4" t="s">
        <v>1351</v>
      </c>
      <c r="D460" s="4" t="s">
        <v>288</v>
      </c>
      <c r="E460" s="4" t="s">
        <v>18</v>
      </c>
      <c r="F460" s="4" t="s">
        <v>13</v>
      </c>
      <c r="G460" s="4" t="n">
        <v>20</v>
      </c>
      <c r="H460" s="5" t="n">
        <v>1158.55</v>
      </c>
      <c r="I460" s="5" t="n">
        <v>455.59</v>
      </c>
      <c r="J460" s="9" t="n">
        <v>0.08</v>
      </c>
      <c r="K460" s="5" t="n">
        <f aca="false">G460*H460*(1-J460)</f>
        <v>21317.32</v>
      </c>
      <c r="L460" s="5" t="n">
        <f aca="false">K460-(G460*I460)</f>
        <v>12205.52</v>
      </c>
    </row>
    <row r="461" customFormat="false" ht="16.4" hidden="false" customHeight="false" outlineLevel="0" collapsed="false">
      <c r="A461" s="4" t="s">
        <v>1930</v>
      </c>
      <c r="B461" s="6" t="n">
        <v>46021</v>
      </c>
      <c r="C461" s="4" t="s">
        <v>977</v>
      </c>
      <c r="D461" s="4" t="s">
        <v>140</v>
      </c>
      <c r="E461" s="4" t="s">
        <v>18</v>
      </c>
      <c r="F461" s="4" t="s">
        <v>7</v>
      </c>
      <c r="G461" s="4" t="n">
        <v>15</v>
      </c>
      <c r="H461" s="5" t="n">
        <v>522.03</v>
      </c>
      <c r="I461" s="5" t="n">
        <v>382.61</v>
      </c>
      <c r="J461" s="9" t="n">
        <v>0.08</v>
      </c>
      <c r="K461" s="5" t="n">
        <f aca="false">G461*H461*(1-J461)</f>
        <v>7204.014</v>
      </c>
      <c r="L461" s="5" t="n">
        <f aca="false">K461-(G461*I461)</f>
        <v>1464.864</v>
      </c>
    </row>
    <row r="462" customFormat="false" ht="16.4" hidden="false" customHeight="false" outlineLevel="0" collapsed="false">
      <c r="A462" s="4" t="s">
        <v>1931</v>
      </c>
      <c r="B462" s="6" t="n">
        <v>45633</v>
      </c>
      <c r="C462" s="4" t="s">
        <v>717</v>
      </c>
      <c r="D462" s="4" t="s">
        <v>60</v>
      </c>
      <c r="E462" s="4" t="s">
        <v>18</v>
      </c>
      <c r="F462" s="4" t="s">
        <v>25</v>
      </c>
      <c r="G462" s="4" t="n">
        <v>17</v>
      </c>
      <c r="H462" s="5" t="n">
        <v>1182.64</v>
      </c>
      <c r="I462" s="5" t="n">
        <v>818.54</v>
      </c>
      <c r="J462" s="9" t="n">
        <v>0.02</v>
      </c>
      <c r="K462" s="5" t="n">
        <f aca="false">G462*H462*(1-J462)</f>
        <v>19702.7824</v>
      </c>
      <c r="L462" s="5" t="n">
        <f aca="false">K462-(G462*I462)</f>
        <v>5787.6024</v>
      </c>
    </row>
    <row r="463" customFormat="false" ht="16.4" hidden="false" customHeight="false" outlineLevel="0" collapsed="false">
      <c r="A463" s="4" t="s">
        <v>1932</v>
      </c>
      <c r="B463" s="6" t="n">
        <v>45647</v>
      </c>
      <c r="C463" s="4" t="s">
        <v>1227</v>
      </c>
      <c r="D463" s="4" t="s">
        <v>240</v>
      </c>
      <c r="E463" s="4" t="s">
        <v>12</v>
      </c>
      <c r="F463" s="4" t="s">
        <v>19</v>
      </c>
      <c r="G463" s="4" t="n">
        <v>6</v>
      </c>
      <c r="H463" s="5" t="n">
        <v>679.95</v>
      </c>
      <c r="I463" s="5" t="n">
        <v>487.52</v>
      </c>
      <c r="J463" s="9" t="n">
        <v>0</v>
      </c>
      <c r="K463" s="5" t="n">
        <f aca="false">G463*H463*(1-J463)</f>
        <v>4079.7</v>
      </c>
      <c r="L463" s="5" t="n">
        <f aca="false">K463-(G463*I463)</f>
        <v>1154.58</v>
      </c>
    </row>
    <row r="464" customFormat="false" ht="16.4" hidden="false" customHeight="false" outlineLevel="0" collapsed="false">
      <c r="A464" s="4" t="s">
        <v>1933</v>
      </c>
      <c r="B464" s="6" t="n">
        <v>45805</v>
      </c>
      <c r="C464" s="4" t="s">
        <v>1105</v>
      </c>
      <c r="D464" s="4" t="s">
        <v>220</v>
      </c>
      <c r="E464" s="4" t="s">
        <v>6</v>
      </c>
      <c r="F464" s="4" t="s">
        <v>19</v>
      </c>
      <c r="G464" s="4" t="n">
        <v>10</v>
      </c>
      <c r="H464" s="5" t="n">
        <v>693.7</v>
      </c>
      <c r="I464" s="5" t="n">
        <v>355.47</v>
      </c>
      <c r="J464" s="9" t="n">
        <v>0</v>
      </c>
      <c r="K464" s="5" t="n">
        <f aca="false">G464*H464*(1-J464)</f>
        <v>6937</v>
      </c>
      <c r="L464" s="5" t="n">
        <f aca="false">K464-(G464*I464)</f>
        <v>3382.3</v>
      </c>
    </row>
    <row r="465" customFormat="false" ht="16.4" hidden="false" customHeight="false" outlineLevel="0" collapsed="false">
      <c r="A465" s="4" t="s">
        <v>1934</v>
      </c>
      <c r="B465" s="6" t="n">
        <v>46203</v>
      </c>
      <c r="C465" s="4" t="s">
        <v>1105</v>
      </c>
      <c r="D465" s="4" t="s">
        <v>70</v>
      </c>
      <c r="E465" s="4" t="s">
        <v>6</v>
      </c>
      <c r="F465" s="4" t="s">
        <v>7</v>
      </c>
      <c r="G465" s="4" t="n">
        <v>9</v>
      </c>
      <c r="H465" s="5" t="n">
        <v>1015.35</v>
      </c>
      <c r="I465" s="5" t="n">
        <v>670.54</v>
      </c>
      <c r="J465" s="9" t="n">
        <v>0.05</v>
      </c>
      <c r="K465" s="5" t="n">
        <f aca="false">G465*H465*(1-J465)</f>
        <v>8681.2425</v>
      </c>
      <c r="L465" s="5" t="n">
        <f aca="false">K465-(G465*I465)</f>
        <v>2646.3825</v>
      </c>
    </row>
    <row r="466" customFormat="false" ht="16.4" hidden="false" customHeight="false" outlineLevel="0" collapsed="false">
      <c r="A466" s="4" t="s">
        <v>1935</v>
      </c>
      <c r="B466" s="6" t="n">
        <v>45447</v>
      </c>
      <c r="C466" s="4" t="s">
        <v>1435</v>
      </c>
      <c r="D466" s="4" t="s">
        <v>324</v>
      </c>
      <c r="E466" s="4" t="s">
        <v>6</v>
      </c>
      <c r="F466" s="4" t="s">
        <v>19</v>
      </c>
      <c r="G466" s="4" t="n">
        <v>9</v>
      </c>
      <c r="H466" s="5" t="n">
        <v>1196.04</v>
      </c>
      <c r="I466" s="5" t="n">
        <v>681.93</v>
      </c>
      <c r="J466" s="9" t="n">
        <v>0</v>
      </c>
      <c r="K466" s="5" t="n">
        <f aca="false">G466*H466*(1-J466)</f>
        <v>10764.36</v>
      </c>
      <c r="L466" s="5" t="n">
        <f aca="false">K466-(G466*I466)</f>
        <v>4626.99</v>
      </c>
    </row>
    <row r="467" customFormat="false" ht="16.4" hidden="false" customHeight="false" outlineLevel="0" collapsed="false">
      <c r="A467" s="4" t="s">
        <v>1936</v>
      </c>
      <c r="B467" s="6" t="n">
        <v>46039</v>
      </c>
      <c r="C467" s="4" t="s">
        <v>1137</v>
      </c>
      <c r="D467" s="4" t="s">
        <v>240</v>
      </c>
      <c r="E467" s="4" t="s">
        <v>18</v>
      </c>
      <c r="F467" s="4" t="s">
        <v>25</v>
      </c>
      <c r="G467" s="4" t="n">
        <v>5</v>
      </c>
      <c r="H467" s="5" t="n">
        <v>679.95</v>
      </c>
      <c r="I467" s="5" t="n">
        <v>487.52</v>
      </c>
      <c r="J467" s="9" t="n">
        <v>0</v>
      </c>
      <c r="K467" s="5" t="n">
        <f aca="false">G467*H467*(1-J467)</f>
        <v>3399.75</v>
      </c>
      <c r="L467" s="5" t="n">
        <f aca="false">K467-(G467*I467)</f>
        <v>962.15</v>
      </c>
    </row>
    <row r="468" customFormat="false" ht="16.4" hidden="false" customHeight="false" outlineLevel="0" collapsed="false">
      <c r="A468" s="4" t="s">
        <v>1937</v>
      </c>
      <c r="B468" s="6" t="n">
        <v>46185</v>
      </c>
      <c r="C468" s="4" t="s">
        <v>1447</v>
      </c>
      <c r="D468" s="4" t="s">
        <v>306</v>
      </c>
      <c r="E468" s="4" t="s">
        <v>30</v>
      </c>
      <c r="F468" s="4" t="s">
        <v>13</v>
      </c>
      <c r="G468" s="4" t="n">
        <v>22</v>
      </c>
      <c r="H468" s="5" t="n">
        <v>995.24</v>
      </c>
      <c r="I468" s="5" t="n">
        <v>584.2</v>
      </c>
      <c r="J468" s="9" t="n">
        <v>0.08</v>
      </c>
      <c r="K468" s="5" t="n">
        <f aca="false">G468*H468*(1-J468)</f>
        <v>20143.6576</v>
      </c>
      <c r="L468" s="5" t="n">
        <f aca="false">K468-(G468*I468)</f>
        <v>7291.2576</v>
      </c>
    </row>
    <row r="469" customFormat="false" ht="16.4" hidden="false" customHeight="false" outlineLevel="0" collapsed="false">
      <c r="A469" s="4" t="s">
        <v>1938</v>
      </c>
      <c r="B469" s="6" t="n">
        <v>45728</v>
      </c>
      <c r="C469" s="4" t="s">
        <v>711</v>
      </c>
      <c r="D469" s="4" t="s">
        <v>252</v>
      </c>
      <c r="E469" s="4" t="s">
        <v>24</v>
      </c>
      <c r="F469" s="4" t="s">
        <v>19</v>
      </c>
      <c r="G469" s="4" t="n">
        <v>19</v>
      </c>
      <c r="H469" s="5" t="n">
        <v>300.53</v>
      </c>
      <c r="I469" s="5" t="n">
        <v>145.56</v>
      </c>
      <c r="J469" s="9" t="n">
        <v>0</v>
      </c>
      <c r="K469" s="5" t="n">
        <f aca="false">G469*H469*(1-J469)</f>
        <v>5710.07</v>
      </c>
      <c r="L469" s="5" t="n">
        <f aca="false">K469-(G469*I469)</f>
        <v>2944.43</v>
      </c>
    </row>
    <row r="470" customFormat="false" ht="16.4" hidden="false" customHeight="false" outlineLevel="0" collapsed="false">
      <c r="A470" s="4" t="s">
        <v>1939</v>
      </c>
      <c r="B470" s="6" t="n">
        <v>45426</v>
      </c>
      <c r="C470" s="4" t="s">
        <v>801</v>
      </c>
      <c r="D470" s="4" t="s">
        <v>348</v>
      </c>
      <c r="E470" s="4" t="s">
        <v>30</v>
      </c>
      <c r="F470" s="4" t="s">
        <v>13</v>
      </c>
      <c r="G470" s="4" t="n">
        <v>15</v>
      </c>
      <c r="H470" s="5" t="n">
        <v>471.94</v>
      </c>
      <c r="I470" s="5" t="n">
        <v>336.68</v>
      </c>
      <c r="J470" s="9" t="n">
        <v>0.08</v>
      </c>
      <c r="K470" s="5" t="n">
        <f aca="false">G470*H470*(1-J470)</f>
        <v>6512.772</v>
      </c>
      <c r="L470" s="5" t="n">
        <f aca="false">K470-(G470*I470)</f>
        <v>1462.572</v>
      </c>
    </row>
    <row r="471" customFormat="false" ht="16.4" hidden="false" customHeight="false" outlineLevel="0" collapsed="false">
      <c r="A471" s="4" t="s">
        <v>1940</v>
      </c>
      <c r="B471" s="6" t="n">
        <v>45992</v>
      </c>
      <c r="C471" s="4" t="s">
        <v>605</v>
      </c>
      <c r="D471" s="4" t="s">
        <v>374</v>
      </c>
      <c r="E471" s="4" t="s">
        <v>12</v>
      </c>
      <c r="F471" s="4" t="s">
        <v>13</v>
      </c>
      <c r="G471" s="4" t="n">
        <v>19</v>
      </c>
      <c r="H471" s="5" t="n">
        <v>702.09</v>
      </c>
      <c r="I471" s="5" t="n">
        <v>460.04</v>
      </c>
      <c r="J471" s="9" t="n">
        <v>0.08</v>
      </c>
      <c r="K471" s="5" t="n">
        <f aca="false">G471*H471*(1-J471)</f>
        <v>12272.5332</v>
      </c>
      <c r="L471" s="5" t="n">
        <f aca="false">K471-(G471*I471)</f>
        <v>3531.7732</v>
      </c>
    </row>
    <row r="472" customFormat="false" ht="16.4" hidden="false" customHeight="false" outlineLevel="0" collapsed="false">
      <c r="A472" s="4" t="s">
        <v>1941</v>
      </c>
      <c r="B472" s="6" t="n">
        <v>45828</v>
      </c>
      <c r="C472" s="4" t="s">
        <v>781</v>
      </c>
      <c r="D472" s="4" t="s">
        <v>110</v>
      </c>
      <c r="E472" s="4" t="s">
        <v>18</v>
      </c>
      <c r="F472" s="4" t="s">
        <v>13</v>
      </c>
      <c r="G472" s="4" t="n">
        <v>23</v>
      </c>
      <c r="H472" s="5" t="n">
        <v>555.5</v>
      </c>
      <c r="I472" s="5" t="n">
        <v>249.51</v>
      </c>
      <c r="J472" s="9" t="n">
        <v>0.1</v>
      </c>
      <c r="K472" s="5" t="n">
        <f aca="false">G472*H472*(1-J472)</f>
        <v>11498.85</v>
      </c>
      <c r="L472" s="5" t="n">
        <f aca="false">K472-(G472*I472)</f>
        <v>5760.12</v>
      </c>
    </row>
    <row r="473" customFormat="false" ht="16.4" hidden="false" customHeight="false" outlineLevel="0" collapsed="false">
      <c r="A473" s="4" t="s">
        <v>1942</v>
      </c>
      <c r="B473" s="6" t="n">
        <v>45963</v>
      </c>
      <c r="C473" s="4" t="s">
        <v>1395</v>
      </c>
      <c r="D473" s="4" t="s">
        <v>260</v>
      </c>
      <c r="E473" s="4" t="s">
        <v>6</v>
      </c>
      <c r="F473" s="4" t="s">
        <v>13</v>
      </c>
      <c r="G473" s="4" t="n">
        <v>25</v>
      </c>
      <c r="H473" s="5" t="n">
        <v>471.95</v>
      </c>
      <c r="I473" s="5" t="n">
        <v>166.3</v>
      </c>
      <c r="J473" s="9" t="n">
        <v>0</v>
      </c>
      <c r="K473" s="5" t="n">
        <f aca="false">G473*H473*(1-J473)</f>
        <v>11798.75</v>
      </c>
      <c r="L473" s="5" t="n">
        <f aca="false">K473-(G473*I473)</f>
        <v>7641.25</v>
      </c>
    </row>
    <row r="474" customFormat="false" ht="16.4" hidden="false" customHeight="false" outlineLevel="0" collapsed="false">
      <c r="A474" s="4" t="s">
        <v>1943</v>
      </c>
      <c r="B474" s="6" t="n">
        <v>46028</v>
      </c>
      <c r="C474" s="4" t="s">
        <v>531</v>
      </c>
      <c r="D474" s="4" t="s">
        <v>202</v>
      </c>
      <c r="E474" s="4" t="s">
        <v>12</v>
      </c>
      <c r="F474" s="4" t="s">
        <v>7</v>
      </c>
      <c r="G474" s="4" t="n">
        <v>18</v>
      </c>
      <c r="H474" s="5" t="n">
        <v>437.6</v>
      </c>
      <c r="I474" s="5" t="n">
        <v>242.33</v>
      </c>
      <c r="J474" s="9" t="n">
        <v>0.08</v>
      </c>
      <c r="K474" s="5" t="n">
        <f aca="false">G474*H474*(1-J474)</f>
        <v>7246.656</v>
      </c>
      <c r="L474" s="5" t="n">
        <f aca="false">K474-(G474*I474)</f>
        <v>2884.716</v>
      </c>
    </row>
    <row r="475" customFormat="false" ht="16.4" hidden="false" customHeight="false" outlineLevel="0" collapsed="false">
      <c r="A475" s="4" t="s">
        <v>1944</v>
      </c>
      <c r="B475" s="6" t="n">
        <v>45322</v>
      </c>
      <c r="C475" s="4" t="s">
        <v>789</v>
      </c>
      <c r="D475" s="4" t="s">
        <v>134</v>
      </c>
      <c r="E475" s="4" t="s">
        <v>18</v>
      </c>
      <c r="F475" s="4" t="s">
        <v>19</v>
      </c>
      <c r="G475" s="4" t="n">
        <v>5</v>
      </c>
      <c r="H475" s="5" t="n">
        <v>1113.48</v>
      </c>
      <c r="I475" s="5" t="n">
        <v>767.72</v>
      </c>
      <c r="J475" s="9" t="n">
        <v>0.1</v>
      </c>
      <c r="K475" s="5" t="n">
        <f aca="false">G475*H475*(1-J475)</f>
        <v>5010.66</v>
      </c>
      <c r="L475" s="5" t="n">
        <f aca="false">K475-(G475*I475)</f>
        <v>1172.06</v>
      </c>
    </row>
    <row r="476" customFormat="false" ht="16.4" hidden="false" customHeight="false" outlineLevel="0" collapsed="false">
      <c r="A476" s="4" t="s">
        <v>1945</v>
      </c>
      <c r="B476" s="6" t="n">
        <v>45745</v>
      </c>
      <c r="C476" s="4" t="s">
        <v>1449</v>
      </c>
      <c r="D476" s="4" t="s">
        <v>250</v>
      </c>
      <c r="E476" s="4" t="s">
        <v>18</v>
      </c>
      <c r="F476" s="4" t="s">
        <v>19</v>
      </c>
      <c r="G476" s="4" t="n">
        <v>14</v>
      </c>
      <c r="H476" s="5" t="n">
        <v>594.4</v>
      </c>
      <c r="I476" s="5" t="n">
        <v>264.92</v>
      </c>
      <c r="J476" s="9" t="n">
        <v>0.02</v>
      </c>
      <c r="K476" s="5" t="n">
        <f aca="false">G476*H476*(1-J476)</f>
        <v>8155.168</v>
      </c>
      <c r="L476" s="5" t="n">
        <f aca="false">K476-(G476*I476)</f>
        <v>4446.288</v>
      </c>
    </row>
    <row r="477" customFormat="false" ht="16.4" hidden="false" customHeight="false" outlineLevel="0" collapsed="false">
      <c r="A477" s="4" t="s">
        <v>1946</v>
      </c>
      <c r="B477" s="6" t="n">
        <v>45426</v>
      </c>
      <c r="C477" s="4" t="s">
        <v>1261</v>
      </c>
      <c r="D477" s="4" t="s">
        <v>116</v>
      </c>
      <c r="E477" s="4" t="s">
        <v>12</v>
      </c>
      <c r="F477" s="4" t="s">
        <v>13</v>
      </c>
      <c r="G477" s="4" t="n">
        <v>7</v>
      </c>
      <c r="H477" s="5" t="n">
        <v>108.26</v>
      </c>
      <c r="I477" s="5" t="n">
        <v>48.2</v>
      </c>
      <c r="J477" s="9" t="n">
        <v>0</v>
      </c>
      <c r="K477" s="5" t="n">
        <f aca="false">G477*H477*(1-J477)</f>
        <v>757.82</v>
      </c>
      <c r="L477" s="5" t="n">
        <f aca="false">K477-(G477*I477)</f>
        <v>420.42</v>
      </c>
    </row>
    <row r="478" customFormat="false" ht="16.4" hidden="false" customHeight="false" outlineLevel="0" collapsed="false">
      <c r="A478" s="4" t="s">
        <v>1947</v>
      </c>
      <c r="B478" s="6" t="n">
        <v>45565</v>
      </c>
      <c r="C478" s="4" t="s">
        <v>1245</v>
      </c>
      <c r="D478" s="4" t="s">
        <v>52</v>
      </c>
      <c r="E478" s="4" t="s">
        <v>18</v>
      </c>
      <c r="F478" s="4" t="s">
        <v>13</v>
      </c>
      <c r="G478" s="4" t="n">
        <v>20</v>
      </c>
      <c r="H478" s="5" t="n">
        <v>145.1</v>
      </c>
      <c r="I478" s="5" t="n">
        <v>72.84</v>
      </c>
      <c r="J478" s="9" t="n">
        <v>0.08</v>
      </c>
      <c r="K478" s="5" t="n">
        <f aca="false">G478*H478*(1-J478)</f>
        <v>2669.84</v>
      </c>
      <c r="L478" s="5" t="n">
        <f aca="false">K478-(G478*I478)</f>
        <v>1213.04</v>
      </c>
    </row>
    <row r="479" customFormat="false" ht="16.4" hidden="false" customHeight="false" outlineLevel="0" collapsed="false">
      <c r="A479" s="4" t="s">
        <v>1948</v>
      </c>
      <c r="B479" s="6" t="n">
        <v>45318</v>
      </c>
      <c r="C479" s="4" t="s">
        <v>701</v>
      </c>
      <c r="D479" s="4" t="s">
        <v>344</v>
      </c>
      <c r="E479" s="4" t="s">
        <v>12</v>
      </c>
      <c r="F479" s="4" t="s">
        <v>19</v>
      </c>
      <c r="G479" s="4" t="n">
        <v>8</v>
      </c>
      <c r="H479" s="5" t="n">
        <v>200.31</v>
      </c>
      <c r="I479" s="5" t="n">
        <v>115.21</v>
      </c>
      <c r="J479" s="9" t="n">
        <v>0.1</v>
      </c>
      <c r="K479" s="5" t="n">
        <f aca="false">G479*H479*(1-J479)</f>
        <v>1442.232</v>
      </c>
      <c r="L479" s="5" t="n">
        <f aca="false">K479-(G479*I479)</f>
        <v>520.552</v>
      </c>
    </row>
    <row r="480" customFormat="false" ht="16.4" hidden="false" customHeight="false" outlineLevel="0" collapsed="false">
      <c r="A480" s="4" t="s">
        <v>1949</v>
      </c>
      <c r="B480" s="6" t="n">
        <v>45429</v>
      </c>
      <c r="C480" s="4" t="s">
        <v>1169</v>
      </c>
      <c r="D480" s="4" t="s">
        <v>80</v>
      </c>
      <c r="E480" s="4" t="s">
        <v>12</v>
      </c>
      <c r="F480" s="4" t="s">
        <v>25</v>
      </c>
      <c r="G480" s="4" t="n">
        <v>25</v>
      </c>
      <c r="H480" s="5" t="n">
        <v>623.69</v>
      </c>
      <c r="I480" s="5" t="n">
        <v>240.97</v>
      </c>
      <c r="J480" s="9" t="n">
        <v>0.05</v>
      </c>
      <c r="K480" s="5" t="n">
        <f aca="false">G480*H480*(1-J480)</f>
        <v>14812.6375</v>
      </c>
      <c r="L480" s="5" t="n">
        <f aca="false">K480-(G480*I480)</f>
        <v>8788.3875</v>
      </c>
    </row>
    <row r="481" customFormat="false" ht="16.4" hidden="false" customHeight="false" outlineLevel="0" collapsed="false">
      <c r="A481" s="4" t="s">
        <v>1950</v>
      </c>
      <c r="B481" s="6" t="n">
        <v>46164</v>
      </c>
      <c r="C481" s="4" t="s">
        <v>1129</v>
      </c>
      <c r="D481" s="4" t="s">
        <v>404</v>
      </c>
      <c r="E481" s="4" t="s">
        <v>18</v>
      </c>
      <c r="F481" s="4" t="s">
        <v>25</v>
      </c>
      <c r="G481" s="4" t="n">
        <v>12</v>
      </c>
      <c r="H481" s="5" t="n">
        <v>622.18</v>
      </c>
      <c r="I481" s="5" t="n">
        <v>436.6</v>
      </c>
      <c r="J481" s="9" t="n">
        <v>0</v>
      </c>
      <c r="K481" s="5" t="n">
        <f aca="false">G481*H481*(1-J481)</f>
        <v>7466.16</v>
      </c>
      <c r="L481" s="5" t="n">
        <f aca="false">K481-(G481*I481)</f>
        <v>2226.96</v>
      </c>
    </row>
    <row r="482" customFormat="false" ht="16.4" hidden="false" customHeight="false" outlineLevel="0" collapsed="false">
      <c r="A482" s="4" t="s">
        <v>1951</v>
      </c>
      <c r="B482" s="6" t="n">
        <v>45489</v>
      </c>
      <c r="C482" s="4" t="s">
        <v>949</v>
      </c>
      <c r="D482" s="4" t="s">
        <v>290</v>
      </c>
      <c r="E482" s="4" t="s">
        <v>18</v>
      </c>
      <c r="F482" s="4" t="s">
        <v>13</v>
      </c>
      <c r="G482" s="4" t="n">
        <v>5</v>
      </c>
      <c r="H482" s="5" t="n">
        <v>820.88</v>
      </c>
      <c r="I482" s="5" t="n">
        <v>601.93</v>
      </c>
      <c r="J482" s="9" t="n">
        <v>0</v>
      </c>
      <c r="K482" s="5" t="n">
        <f aca="false">G482*H482*(1-J482)</f>
        <v>4104.4</v>
      </c>
      <c r="L482" s="5" t="n">
        <f aca="false">K482-(G482*I482)</f>
        <v>1094.75</v>
      </c>
    </row>
    <row r="483" customFormat="false" ht="16.4" hidden="false" customHeight="false" outlineLevel="0" collapsed="false">
      <c r="A483" s="4" t="s">
        <v>1952</v>
      </c>
      <c r="B483" s="6" t="n">
        <v>45568</v>
      </c>
      <c r="C483" s="4" t="s">
        <v>883</v>
      </c>
      <c r="D483" s="4" t="s">
        <v>56</v>
      </c>
      <c r="E483" s="4" t="s">
        <v>30</v>
      </c>
      <c r="F483" s="4" t="s">
        <v>25</v>
      </c>
      <c r="G483" s="4" t="n">
        <v>25</v>
      </c>
      <c r="H483" s="5" t="n">
        <v>117.59</v>
      </c>
      <c r="I483" s="5" t="n">
        <v>54.95</v>
      </c>
      <c r="J483" s="9" t="n">
        <v>0</v>
      </c>
      <c r="K483" s="5" t="n">
        <f aca="false">G483*H483*(1-J483)</f>
        <v>2939.75</v>
      </c>
      <c r="L483" s="5" t="n">
        <f aca="false">K483-(G483*I483)</f>
        <v>1566</v>
      </c>
    </row>
    <row r="484" customFormat="false" ht="16.4" hidden="false" customHeight="false" outlineLevel="0" collapsed="false">
      <c r="A484" s="4" t="s">
        <v>1953</v>
      </c>
      <c r="B484" s="6" t="n">
        <v>46067</v>
      </c>
      <c r="C484" s="4" t="s">
        <v>1225</v>
      </c>
      <c r="D484" s="4" t="s">
        <v>152</v>
      </c>
      <c r="E484" s="4" t="s">
        <v>6</v>
      </c>
      <c r="F484" s="4" t="s">
        <v>13</v>
      </c>
      <c r="G484" s="4" t="n">
        <v>22</v>
      </c>
      <c r="H484" s="5" t="n">
        <v>797.41</v>
      </c>
      <c r="I484" s="5" t="n">
        <v>459.38</v>
      </c>
      <c r="J484" s="9" t="n">
        <v>0</v>
      </c>
      <c r="K484" s="5" t="n">
        <f aca="false">G484*H484*(1-J484)</f>
        <v>17543.02</v>
      </c>
      <c r="L484" s="5" t="n">
        <f aca="false">K484-(G484*I484)</f>
        <v>7436.66</v>
      </c>
    </row>
    <row r="485" customFormat="false" ht="16.4" hidden="false" customHeight="false" outlineLevel="0" collapsed="false">
      <c r="A485" s="4" t="s">
        <v>1954</v>
      </c>
      <c r="B485" s="6" t="n">
        <v>45923</v>
      </c>
      <c r="C485" s="4" t="s">
        <v>645</v>
      </c>
      <c r="D485" s="4" t="s">
        <v>72</v>
      </c>
      <c r="E485" s="4" t="s">
        <v>6</v>
      </c>
      <c r="F485" s="4" t="s">
        <v>25</v>
      </c>
      <c r="G485" s="4" t="n">
        <v>15</v>
      </c>
      <c r="H485" s="5" t="n">
        <v>496.37</v>
      </c>
      <c r="I485" s="5" t="n">
        <v>186.87</v>
      </c>
      <c r="J485" s="9" t="n">
        <v>0.15</v>
      </c>
      <c r="K485" s="5" t="n">
        <f aca="false">G485*H485*(1-J485)</f>
        <v>6328.7175</v>
      </c>
      <c r="L485" s="5" t="n">
        <f aca="false">K485-(G485*I485)</f>
        <v>3525.6675</v>
      </c>
    </row>
    <row r="486" customFormat="false" ht="16.4" hidden="false" customHeight="false" outlineLevel="0" collapsed="false">
      <c r="A486" s="4" t="s">
        <v>1955</v>
      </c>
      <c r="B486" s="6" t="n">
        <v>45729</v>
      </c>
      <c r="C486" s="4" t="s">
        <v>797</v>
      </c>
      <c r="D486" s="4" t="s">
        <v>392</v>
      </c>
      <c r="E486" s="4" t="s">
        <v>24</v>
      </c>
      <c r="F486" s="4" t="s">
        <v>25</v>
      </c>
      <c r="G486" s="4" t="n">
        <v>15</v>
      </c>
      <c r="H486" s="5" t="n">
        <v>539.79</v>
      </c>
      <c r="I486" s="5" t="n">
        <v>339.69</v>
      </c>
      <c r="J486" s="9" t="n">
        <v>0</v>
      </c>
      <c r="K486" s="5" t="n">
        <f aca="false">G486*H486*(1-J486)</f>
        <v>8096.85</v>
      </c>
      <c r="L486" s="5" t="n">
        <f aca="false">K486-(G486*I486)</f>
        <v>3001.5</v>
      </c>
    </row>
    <row r="487" customFormat="false" ht="16.4" hidden="false" customHeight="false" outlineLevel="0" collapsed="false">
      <c r="A487" s="4" t="s">
        <v>1956</v>
      </c>
      <c r="B487" s="6" t="n">
        <v>46136</v>
      </c>
      <c r="C487" s="4" t="s">
        <v>504</v>
      </c>
      <c r="D487" s="4" t="s">
        <v>436</v>
      </c>
      <c r="E487" s="4" t="s">
        <v>18</v>
      </c>
      <c r="F487" s="4" t="s">
        <v>25</v>
      </c>
      <c r="G487" s="4" t="n">
        <v>20</v>
      </c>
      <c r="H487" s="5" t="n">
        <v>220.48</v>
      </c>
      <c r="I487" s="5" t="n">
        <v>103.58</v>
      </c>
      <c r="J487" s="9" t="n">
        <v>0.1</v>
      </c>
      <c r="K487" s="5" t="n">
        <f aca="false">G487*H487*(1-J487)</f>
        <v>3968.64</v>
      </c>
      <c r="L487" s="5" t="n">
        <f aca="false">K487-(G487*I487)</f>
        <v>1897.04</v>
      </c>
    </row>
    <row r="488" customFormat="false" ht="16.4" hidden="false" customHeight="false" outlineLevel="0" collapsed="false">
      <c r="A488" s="4" t="s">
        <v>1957</v>
      </c>
      <c r="B488" s="6" t="n">
        <v>46052</v>
      </c>
      <c r="C488" s="4" t="s">
        <v>785</v>
      </c>
      <c r="D488" s="4" t="s">
        <v>408</v>
      </c>
      <c r="E488" s="4" t="s">
        <v>24</v>
      </c>
      <c r="F488" s="4" t="s">
        <v>7</v>
      </c>
      <c r="G488" s="4" t="n">
        <v>13</v>
      </c>
      <c r="H488" s="5" t="n">
        <v>357.34</v>
      </c>
      <c r="I488" s="5" t="n">
        <v>167.74</v>
      </c>
      <c r="J488" s="9" t="n">
        <v>0.08</v>
      </c>
      <c r="K488" s="5" t="n">
        <f aca="false">G488*H488*(1-J488)</f>
        <v>4273.7864</v>
      </c>
      <c r="L488" s="5" t="n">
        <f aca="false">K488-(G488*I488)</f>
        <v>2093.1664</v>
      </c>
    </row>
    <row r="489" customFormat="false" ht="16.4" hidden="false" customHeight="false" outlineLevel="0" collapsed="false">
      <c r="A489" s="4" t="s">
        <v>1958</v>
      </c>
      <c r="B489" s="6" t="n">
        <v>46138</v>
      </c>
      <c r="C489" s="4" t="s">
        <v>575</v>
      </c>
      <c r="D489" s="4" t="s">
        <v>306</v>
      </c>
      <c r="E489" s="4" t="s">
        <v>30</v>
      </c>
      <c r="F489" s="4" t="s">
        <v>7</v>
      </c>
      <c r="G489" s="4" t="n">
        <v>15</v>
      </c>
      <c r="H489" s="5" t="n">
        <v>995.24</v>
      </c>
      <c r="I489" s="5" t="n">
        <v>584.2</v>
      </c>
      <c r="J489" s="9" t="n">
        <v>0.05</v>
      </c>
      <c r="K489" s="5" t="n">
        <f aca="false">G489*H489*(1-J489)</f>
        <v>14182.17</v>
      </c>
      <c r="L489" s="5" t="n">
        <f aca="false">K489-(G489*I489)</f>
        <v>5419.17</v>
      </c>
    </row>
    <row r="490" customFormat="false" ht="16.4" hidden="false" customHeight="false" outlineLevel="0" collapsed="false">
      <c r="A490" s="4" t="s">
        <v>1959</v>
      </c>
      <c r="B490" s="6" t="n">
        <v>46044</v>
      </c>
      <c r="C490" s="4" t="s">
        <v>995</v>
      </c>
      <c r="D490" s="4" t="s">
        <v>164</v>
      </c>
      <c r="E490" s="4" t="s">
        <v>6</v>
      </c>
      <c r="F490" s="4" t="s">
        <v>7</v>
      </c>
      <c r="G490" s="4" t="n">
        <v>18</v>
      </c>
      <c r="H490" s="5" t="n">
        <v>1181.03</v>
      </c>
      <c r="I490" s="5" t="n">
        <v>794.64</v>
      </c>
      <c r="J490" s="9" t="n">
        <v>0.05</v>
      </c>
      <c r="K490" s="5" t="n">
        <f aca="false">G490*H490*(1-J490)</f>
        <v>20195.613</v>
      </c>
      <c r="L490" s="5" t="n">
        <f aca="false">K490-(G490*I490)</f>
        <v>5892.093</v>
      </c>
    </row>
    <row r="491" customFormat="false" ht="16.4" hidden="false" customHeight="false" outlineLevel="0" collapsed="false">
      <c r="A491" s="4" t="s">
        <v>1960</v>
      </c>
      <c r="B491" s="6" t="n">
        <v>45937</v>
      </c>
      <c r="C491" s="4" t="s">
        <v>861</v>
      </c>
      <c r="D491" s="4" t="s">
        <v>324</v>
      </c>
      <c r="E491" s="4" t="s">
        <v>24</v>
      </c>
      <c r="F491" s="4" t="s">
        <v>7</v>
      </c>
      <c r="G491" s="4" t="n">
        <v>17</v>
      </c>
      <c r="H491" s="5" t="n">
        <v>1196.04</v>
      </c>
      <c r="I491" s="5" t="n">
        <v>681.93</v>
      </c>
      <c r="J491" s="9" t="n">
        <v>0.15</v>
      </c>
      <c r="K491" s="5" t="n">
        <f aca="false">G491*H491*(1-J491)</f>
        <v>17282.778</v>
      </c>
      <c r="L491" s="5" t="n">
        <f aca="false">K491-(G491*I491)</f>
        <v>5689.968</v>
      </c>
    </row>
    <row r="492" customFormat="false" ht="16.4" hidden="false" customHeight="false" outlineLevel="0" collapsed="false">
      <c r="A492" s="4" t="s">
        <v>1961</v>
      </c>
      <c r="B492" s="6" t="n">
        <v>46197</v>
      </c>
      <c r="C492" s="4" t="s">
        <v>763</v>
      </c>
      <c r="D492" s="4" t="s">
        <v>136</v>
      </c>
      <c r="E492" s="4" t="s">
        <v>18</v>
      </c>
      <c r="F492" s="4" t="s">
        <v>19</v>
      </c>
      <c r="G492" s="4" t="n">
        <v>15</v>
      </c>
      <c r="H492" s="5" t="n">
        <v>590.6</v>
      </c>
      <c r="I492" s="5" t="n">
        <v>410.98</v>
      </c>
      <c r="J492" s="9" t="n">
        <v>0.05</v>
      </c>
      <c r="K492" s="5" t="n">
        <f aca="false">G492*H492*(1-J492)</f>
        <v>8416.05</v>
      </c>
      <c r="L492" s="5" t="n">
        <f aca="false">K492-(G492*I492)</f>
        <v>2251.35</v>
      </c>
    </row>
    <row r="493" customFormat="false" ht="16.4" hidden="false" customHeight="false" outlineLevel="0" collapsed="false">
      <c r="A493" s="4" t="s">
        <v>1962</v>
      </c>
      <c r="B493" s="6" t="n">
        <v>45462</v>
      </c>
      <c r="C493" s="4" t="s">
        <v>1311</v>
      </c>
      <c r="D493" s="4" t="s">
        <v>436</v>
      </c>
      <c r="E493" s="4" t="s">
        <v>24</v>
      </c>
      <c r="F493" s="4" t="s">
        <v>25</v>
      </c>
      <c r="G493" s="4" t="n">
        <v>10</v>
      </c>
      <c r="H493" s="5" t="n">
        <v>220.48</v>
      </c>
      <c r="I493" s="5" t="n">
        <v>103.58</v>
      </c>
      <c r="J493" s="9" t="n">
        <v>0.05</v>
      </c>
      <c r="K493" s="5" t="n">
        <f aca="false">G493*H493*(1-J493)</f>
        <v>2094.56</v>
      </c>
      <c r="L493" s="5" t="n">
        <f aca="false">K493-(G493*I493)</f>
        <v>1058.76</v>
      </c>
    </row>
    <row r="494" customFormat="false" ht="16.4" hidden="false" customHeight="false" outlineLevel="0" collapsed="false">
      <c r="A494" s="4" t="s">
        <v>1963</v>
      </c>
      <c r="B494" s="6" t="n">
        <v>45821</v>
      </c>
      <c r="C494" s="4" t="s">
        <v>1091</v>
      </c>
      <c r="D494" s="4" t="s">
        <v>190</v>
      </c>
      <c r="E494" s="4" t="s">
        <v>30</v>
      </c>
      <c r="F494" s="4" t="s">
        <v>13</v>
      </c>
      <c r="G494" s="4" t="n">
        <v>2</v>
      </c>
      <c r="H494" s="5" t="n">
        <v>1040.91</v>
      </c>
      <c r="I494" s="5" t="n">
        <v>770.78</v>
      </c>
      <c r="J494" s="9" t="n">
        <v>0.1</v>
      </c>
      <c r="K494" s="5" t="n">
        <f aca="false">G494*H494*(1-J494)</f>
        <v>1873.638</v>
      </c>
      <c r="L494" s="5" t="n">
        <f aca="false">K494-(G494*I494)</f>
        <v>332.078</v>
      </c>
    </row>
    <row r="495" customFormat="false" ht="16.4" hidden="false" customHeight="false" outlineLevel="0" collapsed="false">
      <c r="A495" s="4" t="s">
        <v>1964</v>
      </c>
      <c r="B495" s="6" t="n">
        <v>45384</v>
      </c>
      <c r="C495" s="4" t="s">
        <v>1313</v>
      </c>
      <c r="D495" s="4" t="s">
        <v>276</v>
      </c>
      <c r="E495" s="4" t="s">
        <v>18</v>
      </c>
      <c r="F495" s="4" t="s">
        <v>7</v>
      </c>
      <c r="G495" s="4" t="n">
        <v>21</v>
      </c>
      <c r="H495" s="5" t="n">
        <v>908.61</v>
      </c>
      <c r="I495" s="5" t="n">
        <v>620.37</v>
      </c>
      <c r="J495" s="9" t="n">
        <v>0.05</v>
      </c>
      <c r="K495" s="5" t="n">
        <f aca="false">G495*H495*(1-J495)</f>
        <v>18126.7695</v>
      </c>
      <c r="L495" s="5" t="n">
        <f aca="false">K495-(G495*I495)</f>
        <v>5098.9995</v>
      </c>
    </row>
    <row r="496" customFormat="false" ht="16.4" hidden="false" customHeight="false" outlineLevel="0" collapsed="false">
      <c r="A496" s="4" t="s">
        <v>1965</v>
      </c>
      <c r="B496" s="6" t="n">
        <v>45851</v>
      </c>
      <c r="C496" s="4" t="s">
        <v>1261</v>
      </c>
      <c r="D496" s="4" t="s">
        <v>132</v>
      </c>
      <c r="E496" s="4" t="s">
        <v>12</v>
      </c>
      <c r="F496" s="4" t="s">
        <v>13</v>
      </c>
      <c r="G496" s="4" t="n">
        <v>19</v>
      </c>
      <c r="H496" s="5" t="n">
        <v>140.04</v>
      </c>
      <c r="I496" s="5" t="n">
        <v>85.54</v>
      </c>
      <c r="J496" s="9" t="n">
        <v>0.1</v>
      </c>
      <c r="K496" s="5" t="n">
        <f aca="false">G496*H496*(1-J496)</f>
        <v>2394.684</v>
      </c>
      <c r="L496" s="5" t="n">
        <f aca="false">K496-(G496*I496)</f>
        <v>769.424</v>
      </c>
    </row>
    <row r="497" customFormat="false" ht="16.4" hidden="false" customHeight="false" outlineLevel="0" collapsed="false">
      <c r="A497" s="4" t="s">
        <v>1966</v>
      </c>
      <c r="B497" s="6" t="n">
        <v>45317</v>
      </c>
      <c r="C497" s="4" t="s">
        <v>887</v>
      </c>
      <c r="D497" s="4" t="s">
        <v>240</v>
      </c>
      <c r="E497" s="4" t="s">
        <v>12</v>
      </c>
      <c r="F497" s="4" t="s">
        <v>13</v>
      </c>
      <c r="G497" s="4" t="n">
        <v>11</v>
      </c>
      <c r="H497" s="5" t="n">
        <v>679.95</v>
      </c>
      <c r="I497" s="5" t="n">
        <v>487.52</v>
      </c>
      <c r="J497" s="9" t="n">
        <v>0.05</v>
      </c>
      <c r="K497" s="5" t="n">
        <f aca="false">G497*H497*(1-J497)</f>
        <v>7105.4775</v>
      </c>
      <c r="L497" s="5" t="n">
        <f aca="false">K497-(G497*I497)</f>
        <v>1742.7575</v>
      </c>
    </row>
    <row r="498" customFormat="false" ht="16.4" hidden="false" customHeight="false" outlineLevel="0" collapsed="false">
      <c r="A498" s="4" t="s">
        <v>1967</v>
      </c>
      <c r="B498" s="6" t="n">
        <v>46195</v>
      </c>
      <c r="C498" s="4" t="s">
        <v>1069</v>
      </c>
      <c r="D498" s="4" t="s">
        <v>272</v>
      </c>
      <c r="E498" s="4" t="s">
        <v>12</v>
      </c>
      <c r="F498" s="4" t="s">
        <v>25</v>
      </c>
      <c r="G498" s="4" t="n">
        <v>23</v>
      </c>
      <c r="H498" s="5" t="n">
        <v>1043.55</v>
      </c>
      <c r="I498" s="5" t="n">
        <v>441.1</v>
      </c>
      <c r="J498" s="9" t="n">
        <v>0</v>
      </c>
      <c r="K498" s="5" t="n">
        <f aca="false">G498*H498*(1-J498)</f>
        <v>24001.65</v>
      </c>
      <c r="L498" s="5" t="n">
        <f aca="false">K498-(G498*I498)</f>
        <v>13856.35</v>
      </c>
    </row>
    <row r="499" customFormat="false" ht="16.4" hidden="false" customHeight="false" outlineLevel="0" collapsed="false">
      <c r="A499" s="4" t="s">
        <v>1968</v>
      </c>
      <c r="B499" s="6" t="n">
        <v>45956</v>
      </c>
      <c r="C499" s="4" t="s">
        <v>721</v>
      </c>
      <c r="D499" s="4" t="s">
        <v>86</v>
      </c>
      <c r="E499" s="4" t="s">
        <v>24</v>
      </c>
      <c r="F499" s="4" t="s">
        <v>13</v>
      </c>
      <c r="G499" s="4" t="n">
        <v>11</v>
      </c>
      <c r="H499" s="5" t="n">
        <v>1036.42</v>
      </c>
      <c r="I499" s="5" t="n">
        <v>367.51</v>
      </c>
      <c r="J499" s="9" t="n">
        <v>0.1</v>
      </c>
      <c r="K499" s="5" t="n">
        <f aca="false">G499*H499*(1-J499)</f>
        <v>10260.558</v>
      </c>
      <c r="L499" s="5" t="n">
        <f aca="false">K499-(G499*I499)</f>
        <v>6217.948</v>
      </c>
    </row>
    <row r="500" customFormat="false" ht="16.4" hidden="false" customHeight="false" outlineLevel="0" collapsed="false">
      <c r="A500" s="4" t="s">
        <v>1969</v>
      </c>
      <c r="B500" s="6" t="n">
        <v>45408</v>
      </c>
      <c r="C500" s="4" t="s">
        <v>1215</v>
      </c>
      <c r="D500" s="4" t="s">
        <v>406</v>
      </c>
      <c r="E500" s="4" t="s">
        <v>18</v>
      </c>
      <c r="F500" s="4" t="s">
        <v>25</v>
      </c>
      <c r="G500" s="4" t="n">
        <v>4</v>
      </c>
      <c r="H500" s="5" t="n">
        <v>932.89</v>
      </c>
      <c r="I500" s="5" t="n">
        <v>645.34</v>
      </c>
      <c r="J500" s="9" t="n">
        <v>0</v>
      </c>
      <c r="K500" s="5" t="n">
        <f aca="false">G500*H500*(1-J500)</f>
        <v>3731.56</v>
      </c>
      <c r="L500" s="5" t="n">
        <f aca="false">K500-(G500*I500)</f>
        <v>1150.2</v>
      </c>
    </row>
    <row r="501" customFormat="false" ht="16.4" hidden="false" customHeight="false" outlineLevel="0" collapsed="false">
      <c r="A501" s="4" t="s">
        <v>1970</v>
      </c>
      <c r="B501" s="6" t="n">
        <v>46016</v>
      </c>
      <c r="C501" s="4" t="s">
        <v>835</v>
      </c>
      <c r="D501" s="4" t="s">
        <v>364</v>
      </c>
      <c r="E501" s="4" t="s">
        <v>18</v>
      </c>
      <c r="F501" s="4" t="s">
        <v>25</v>
      </c>
      <c r="G501" s="4" t="n">
        <v>3</v>
      </c>
      <c r="H501" s="5" t="n">
        <v>108.91</v>
      </c>
      <c r="I501" s="5" t="n">
        <v>45.35</v>
      </c>
      <c r="J501" s="9" t="n">
        <v>0.08</v>
      </c>
      <c r="K501" s="5" t="n">
        <f aca="false">G501*H501*(1-J501)</f>
        <v>300.5916</v>
      </c>
      <c r="L501" s="5" t="n">
        <f aca="false">K501-(G501*I501)</f>
        <v>164.5416</v>
      </c>
    </row>
    <row r="502" customFormat="false" ht="16.4" hidden="false" customHeight="false" outlineLevel="0" collapsed="false">
      <c r="A502" s="4" t="s">
        <v>1971</v>
      </c>
      <c r="B502" s="6" t="n">
        <v>45455</v>
      </c>
      <c r="C502" s="4" t="s">
        <v>1275</v>
      </c>
      <c r="D502" s="4" t="s">
        <v>412</v>
      </c>
      <c r="E502" s="4" t="s">
        <v>24</v>
      </c>
      <c r="F502" s="4" t="s">
        <v>25</v>
      </c>
      <c r="G502" s="4" t="n">
        <v>17</v>
      </c>
      <c r="H502" s="5" t="n">
        <v>1121.1</v>
      </c>
      <c r="I502" s="5" t="n">
        <v>782.35</v>
      </c>
      <c r="J502" s="9" t="n">
        <v>0.08</v>
      </c>
      <c r="K502" s="5" t="n">
        <f aca="false">G502*H502*(1-J502)</f>
        <v>17534.004</v>
      </c>
      <c r="L502" s="5" t="n">
        <f aca="false">K502-(G502*I502)</f>
        <v>4234.054</v>
      </c>
    </row>
    <row r="503" customFormat="false" ht="16.4" hidden="false" customHeight="false" outlineLevel="0" collapsed="false">
      <c r="A503" s="4" t="s">
        <v>1972</v>
      </c>
      <c r="B503" s="6" t="n">
        <v>45466</v>
      </c>
      <c r="C503" s="4" t="s">
        <v>853</v>
      </c>
      <c r="D503" s="4" t="s">
        <v>320</v>
      </c>
      <c r="E503" s="4" t="s">
        <v>30</v>
      </c>
      <c r="F503" s="4" t="s">
        <v>19</v>
      </c>
      <c r="G503" s="4" t="n">
        <v>2</v>
      </c>
      <c r="H503" s="5" t="n">
        <v>956.7</v>
      </c>
      <c r="I503" s="5" t="n">
        <v>370.45</v>
      </c>
      <c r="J503" s="9" t="n">
        <v>0.15</v>
      </c>
      <c r="K503" s="5" t="n">
        <f aca="false">G503*H503*(1-J503)</f>
        <v>1626.39</v>
      </c>
      <c r="L503" s="5" t="n">
        <f aca="false">K503-(G503*I503)</f>
        <v>885.49</v>
      </c>
    </row>
    <row r="504" customFormat="false" ht="16.4" hidden="false" customHeight="false" outlineLevel="0" collapsed="false">
      <c r="A504" s="4" t="s">
        <v>1973</v>
      </c>
      <c r="B504" s="6" t="n">
        <v>45445</v>
      </c>
      <c r="C504" s="4" t="s">
        <v>1357</v>
      </c>
      <c r="D504" s="4" t="s">
        <v>328</v>
      </c>
      <c r="E504" s="4" t="s">
        <v>24</v>
      </c>
      <c r="F504" s="4" t="s">
        <v>13</v>
      </c>
      <c r="G504" s="4" t="n">
        <v>22</v>
      </c>
      <c r="H504" s="5" t="n">
        <v>165.48</v>
      </c>
      <c r="I504" s="5" t="n">
        <v>93.39</v>
      </c>
      <c r="J504" s="9" t="n">
        <v>0.15</v>
      </c>
      <c r="K504" s="5" t="n">
        <f aca="false">G504*H504*(1-J504)</f>
        <v>3094.476</v>
      </c>
      <c r="L504" s="5" t="n">
        <f aca="false">K504-(G504*I504)</f>
        <v>1039.896</v>
      </c>
    </row>
    <row r="505" customFormat="false" ht="16.4" hidden="false" customHeight="false" outlineLevel="0" collapsed="false">
      <c r="A505" s="4" t="s">
        <v>1974</v>
      </c>
      <c r="B505" s="6" t="n">
        <v>45344</v>
      </c>
      <c r="C505" s="4" t="s">
        <v>647</v>
      </c>
      <c r="D505" s="4" t="s">
        <v>114</v>
      </c>
      <c r="E505" s="4" t="s">
        <v>30</v>
      </c>
      <c r="F505" s="4" t="s">
        <v>25</v>
      </c>
      <c r="G505" s="4" t="n">
        <v>25</v>
      </c>
      <c r="H505" s="5" t="n">
        <v>856.71</v>
      </c>
      <c r="I505" s="5" t="n">
        <v>320.02</v>
      </c>
      <c r="J505" s="9" t="n">
        <v>0.1</v>
      </c>
      <c r="K505" s="5" t="n">
        <f aca="false">G505*H505*(1-J505)</f>
        <v>19275.975</v>
      </c>
      <c r="L505" s="5" t="n">
        <f aca="false">K505-(G505*I505)</f>
        <v>11275.475</v>
      </c>
    </row>
    <row r="506" customFormat="false" ht="16.4" hidden="false" customHeight="false" outlineLevel="0" collapsed="false">
      <c r="A506" s="4" t="s">
        <v>1975</v>
      </c>
      <c r="B506" s="6" t="n">
        <v>45748</v>
      </c>
      <c r="C506" s="4" t="s">
        <v>781</v>
      </c>
      <c r="D506" s="4" t="s">
        <v>196</v>
      </c>
      <c r="E506" s="4" t="s">
        <v>18</v>
      </c>
      <c r="F506" s="4" t="s">
        <v>19</v>
      </c>
      <c r="G506" s="4" t="n">
        <v>24</v>
      </c>
      <c r="H506" s="5" t="n">
        <v>1033.85</v>
      </c>
      <c r="I506" s="5" t="n">
        <v>453.83</v>
      </c>
      <c r="J506" s="9" t="n">
        <v>0.15</v>
      </c>
      <c r="K506" s="5" t="n">
        <f aca="false">G506*H506*(1-J506)</f>
        <v>21090.54</v>
      </c>
      <c r="L506" s="5" t="n">
        <f aca="false">K506-(G506*I506)</f>
        <v>10198.62</v>
      </c>
    </row>
    <row r="507" customFormat="false" ht="16.4" hidden="false" customHeight="false" outlineLevel="0" collapsed="false">
      <c r="A507" s="4" t="s">
        <v>1976</v>
      </c>
      <c r="B507" s="6" t="n">
        <v>45499</v>
      </c>
      <c r="C507" s="4" t="s">
        <v>649</v>
      </c>
      <c r="D507" s="4" t="s">
        <v>360</v>
      </c>
      <c r="E507" s="4" t="s">
        <v>12</v>
      </c>
      <c r="F507" s="4" t="s">
        <v>7</v>
      </c>
      <c r="G507" s="4" t="n">
        <v>4</v>
      </c>
      <c r="H507" s="5" t="n">
        <v>1110.6</v>
      </c>
      <c r="I507" s="5" t="n">
        <v>738.69</v>
      </c>
      <c r="J507" s="9" t="n">
        <v>0</v>
      </c>
      <c r="K507" s="5" t="n">
        <f aca="false">G507*H507*(1-J507)</f>
        <v>4442.4</v>
      </c>
      <c r="L507" s="5" t="n">
        <f aca="false">K507-(G507*I507)</f>
        <v>1487.64</v>
      </c>
    </row>
    <row r="508" customFormat="false" ht="16.4" hidden="false" customHeight="false" outlineLevel="0" collapsed="false">
      <c r="A508" s="4" t="s">
        <v>1977</v>
      </c>
      <c r="B508" s="6" t="n">
        <v>45761</v>
      </c>
      <c r="C508" s="4" t="s">
        <v>1247</v>
      </c>
      <c r="D508" s="4" t="s">
        <v>358</v>
      </c>
      <c r="E508" s="4" t="s">
        <v>6</v>
      </c>
      <c r="F508" s="4" t="s">
        <v>25</v>
      </c>
      <c r="G508" s="4" t="n">
        <v>9</v>
      </c>
      <c r="H508" s="5" t="n">
        <v>855.67</v>
      </c>
      <c r="I508" s="5" t="n">
        <v>540.09</v>
      </c>
      <c r="J508" s="9" t="n">
        <v>0</v>
      </c>
      <c r="K508" s="5" t="n">
        <f aca="false">G508*H508*(1-J508)</f>
        <v>7701.03</v>
      </c>
      <c r="L508" s="5" t="n">
        <f aca="false">K508-(G508*I508)</f>
        <v>2840.22</v>
      </c>
    </row>
    <row r="509" customFormat="false" ht="16.4" hidden="false" customHeight="false" outlineLevel="0" collapsed="false">
      <c r="A509" s="4" t="s">
        <v>1978</v>
      </c>
      <c r="B509" s="6" t="n">
        <v>46195</v>
      </c>
      <c r="C509" s="4" t="s">
        <v>1021</v>
      </c>
      <c r="D509" s="4" t="s">
        <v>294</v>
      </c>
      <c r="E509" s="4" t="s">
        <v>30</v>
      </c>
      <c r="F509" s="4" t="s">
        <v>25</v>
      </c>
      <c r="G509" s="4" t="n">
        <v>1</v>
      </c>
      <c r="H509" s="5" t="n">
        <v>1024.09</v>
      </c>
      <c r="I509" s="5" t="n">
        <v>604.38</v>
      </c>
      <c r="J509" s="9" t="n">
        <v>0.08</v>
      </c>
      <c r="K509" s="5" t="n">
        <f aca="false">G509*H509*(1-J509)</f>
        <v>942.1628</v>
      </c>
      <c r="L509" s="5" t="n">
        <f aca="false">K509-(G509*I509)</f>
        <v>337.7828</v>
      </c>
    </row>
    <row r="510" customFormat="false" ht="16.4" hidden="false" customHeight="false" outlineLevel="0" collapsed="false">
      <c r="A510" s="4" t="s">
        <v>1979</v>
      </c>
      <c r="B510" s="6" t="n">
        <v>45779</v>
      </c>
      <c r="C510" s="4" t="s">
        <v>687</v>
      </c>
      <c r="D510" s="4" t="s">
        <v>160</v>
      </c>
      <c r="E510" s="4" t="s">
        <v>24</v>
      </c>
      <c r="F510" s="4" t="s">
        <v>25</v>
      </c>
      <c r="G510" s="4" t="n">
        <v>19</v>
      </c>
      <c r="H510" s="5" t="n">
        <v>275.46</v>
      </c>
      <c r="I510" s="5" t="n">
        <v>125.63</v>
      </c>
      <c r="J510" s="9" t="n">
        <v>0.1</v>
      </c>
      <c r="K510" s="5" t="n">
        <f aca="false">G510*H510*(1-J510)</f>
        <v>4710.366</v>
      </c>
      <c r="L510" s="5" t="n">
        <f aca="false">K510-(G510*I510)</f>
        <v>2323.396</v>
      </c>
    </row>
    <row r="511" customFormat="false" ht="16.4" hidden="false" customHeight="false" outlineLevel="0" collapsed="false">
      <c r="A511" s="4" t="s">
        <v>1980</v>
      </c>
      <c r="B511" s="6" t="n">
        <v>45906</v>
      </c>
      <c r="C511" s="4" t="s">
        <v>917</v>
      </c>
      <c r="D511" s="4" t="s">
        <v>248</v>
      </c>
      <c r="E511" s="4" t="s">
        <v>30</v>
      </c>
      <c r="F511" s="4" t="s">
        <v>7</v>
      </c>
      <c r="G511" s="4" t="n">
        <v>3</v>
      </c>
      <c r="H511" s="5" t="n">
        <v>329.55</v>
      </c>
      <c r="I511" s="5" t="n">
        <v>147.93</v>
      </c>
      <c r="J511" s="9" t="n">
        <v>0.08</v>
      </c>
      <c r="K511" s="5" t="n">
        <f aca="false">G511*H511*(1-J511)</f>
        <v>909.558</v>
      </c>
      <c r="L511" s="5" t="n">
        <f aca="false">K511-(G511*I511)</f>
        <v>465.768</v>
      </c>
    </row>
    <row r="512" customFormat="false" ht="16.4" hidden="false" customHeight="false" outlineLevel="0" collapsed="false">
      <c r="A512" s="4" t="s">
        <v>1981</v>
      </c>
      <c r="B512" s="6" t="n">
        <v>45926</v>
      </c>
      <c r="C512" s="4" t="s">
        <v>1367</v>
      </c>
      <c r="D512" s="4" t="s">
        <v>164</v>
      </c>
      <c r="E512" s="4" t="s">
        <v>12</v>
      </c>
      <c r="F512" s="4" t="s">
        <v>13</v>
      </c>
      <c r="G512" s="4" t="n">
        <v>18</v>
      </c>
      <c r="H512" s="5" t="n">
        <v>1181.03</v>
      </c>
      <c r="I512" s="5" t="n">
        <v>794.64</v>
      </c>
      <c r="J512" s="9" t="n">
        <v>0.02</v>
      </c>
      <c r="K512" s="5" t="n">
        <f aca="false">G512*H512*(1-J512)</f>
        <v>20833.3692</v>
      </c>
      <c r="L512" s="5" t="n">
        <f aca="false">K512-(G512*I512)</f>
        <v>6529.8492</v>
      </c>
    </row>
    <row r="513" customFormat="false" ht="16.4" hidden="false" customHeight="false" outlineLevel="0" collapsed="false">
      <c r="A513" s="4" t="s">
        <v>1982</v>
      </c>
      <c r="B513" s="6" t="n">
        <v>45960</v>
      </c>
      <c r="C513" s="4" t="s">
        <v>653</v>
      </c>
      <c r="D513" s="4" t="s">
        <v>64</v>
      </c>
      <c r="E513" s="4" t="s">
        <v>18</v>
      </c>
      <c r="F513" s="4" t="s">
        <v>19</v>
      </c>
      <c r="G513" s="4" t="n">
        <v>5</v>
      </c>
      <c r="H513" s="5" t="n">
        <v>442.44</v>
      </c>
      <c r="I513" s="5" t="n">
        <v>273.46</v>
      </c>
      <c r="J513" s="9" t="n">
        <v>0</v>
      </c>
      <c r="K513" s="5" t="n">
        <f aca="false">G513*H513*(1-J513)</f>
        <v>2212.2</v>
      </c>
      <c r="L513" s="5" t="n">
        <f aca="false">K513-(G513*I513)</f>
        <v>844.9</v>
      </c>
    </row>
    <row r="514" customFormat="false" ht="16.4" hidden="false" customHeight="false" outlineLevel="0" collapsed="false">
      <c r="A514" s="4" t="s">
        <v>1983</v>
      </c>
      <c r="B514" s="6" t="n">
        <v>45883</v>
      </c>
      <c r="C514" s="4" t="s">
        <v>613</v>
      </c>
      <c r="D514" s="4" t="s">
        <v>58</v>
      </c>
      <c r="E514" s="4" t="s">
        <v>18</v>
      </c>
      <c r="F514" s="4" t="s">
        <v>19</v>
      </c>
      <c r="G514" s="4" t="n">
        <v>2</v>
      </c>
      <c r="H514" s="5" t="n">
        <v>250.94</v>
      </c>
      <c r="I514" s="5" t="n">
        <v>94.81</v>
      </c>
      <c r="J514" s="9" t="n">
        <v>0.1</v>
      </c>
      <c r="K514" s="5" t="n">
        <f aca="false">G514*H514*(1-J514)</f>
        <v>451.692</v>
      </c>
      <c r="L514" s="5" t="n">
        <f aca="false">K514-(G514*I514)</f>
        <v>262.072</v>
      </c>
    </row>
    <row r="515" customFormat="false" ht="16.4" hidden="false" customHeight="false" outlineLevel="0" collapsed="false">
      <c r="A515" s="4" t="s">
        <v>1984</v>
      </c>
      <c r="B515" s="6" t="n">
        <v>45403</v>
      </c>
      <c r="C515" s="4" t="s">
        <v>1407</v>
      </c>
      <c r="D515" s="4" t="s">
        <v>208</v>
      </c>
      <c r="E515" s="4" t="s">
        <v>18</v>
      </c>
      <c r="F515" s="4" t="s">
        <v>25</v>
      </c>
      <c r="G515" s="4" t="n">
        <v>3</v>
      </c>
      <c r="H515" s="5" t="n">
        <v>737.3</v>
      </c>
      <c r="I515" s="5" t="n">
        <v>408.88</v>
      </c>
      <c r="J515" s="9" t="n">
        <v>0</v>
      </c>
      <c r="K515" s="5" t="n">
        <f aca="false">G515*H515*(1-J515)</f>
        <v>2211.9</v>
      </c>
      <c r="L515" s="5" t="n">
        <f aca="false">K515-(G515*I515)</f>
        <v>985.26</v>
      </c>
    </row>
    <row r="516" customFormat="false" ht="16.4" hidden="false" customHeight="false" outlineLevel="0" collapsed="false">
      <c r="A516" s="4" t="s">
        <v>1985</v>
      </c>
      <c r="B516" s="6" t="n">
        <v>45917</v>
      </c>
      <c r="C516" s="4" t="s">
        <v>629</v>
      </c>
      <c r="D516" s="4" t="s">
        <v>130</v>
      </c>
      <c r="E516" s="4" t="s">
        <v>30</v>
      </c>
      <c r="F516" s="4" t="s">
        <v>13</v>
      </c>
      <c r="G516" s="4" t="n">
        <v>22</v>
      </c>
      <c r="H516" s="5" t="n">
        <v>568.59</v>
      </c>
      <c r="I516" s="5" t="n">
        <v>397.9</v>
      </c>
      <c r="J516" s="9" t="n">
        <v>0.02</v>
      </c>
      <c r="K516" s="5" t="n">
        <f aca="false">G516*H516*(1-J516)</f>
        <v>12258.8004</v>
      </c>
      <c r="L516" s="5" t="n">
        <f aca="false">K516-(G516*I516)</f>
        <v>3505.0004</v>
      </c>
    </row>
    <row r="517" customFormat="false" ht="16.4" hidden="false" customHeight="false" outlineLevel="0" collapsed="false">
      <c r="A517" s="4" t="s">
        <v>1986</v>
      </c>
      <c r="B517" s="6" t="n">
        <v>45328</v>
      </c>
      <c r="C517" s="4" t="s">
        <v>1231</v>
      </c>
      <c r="D517" s="4" t="s">
        <v>272</v>
      </c>
      <c r="E517" s="4" t="s">
        <v>18</v>
      </c>
      <c r="F517" s="4" t="s">
        <v>7</v>
      </c>
      <c r="G517" s="4" t="n">
        <v>19</v>
      </c>
      <c r="H517" s="5" t="n">
        <v>1043.55</v>
      </c>
      <c r="I517" s="5" t="n">
        <v>441.1</v>
      </c>
      <c r="J517" s="9" t="n">
        <v>0.02</v>
      </c>
      <c r="K517" s="5" t="n">
        <f aca="false">G517*H517*(1-J517)</f>
        <v>19430.901</v>
      </c>
      <c r="L517" s="5" t="n">
        <f aca="false">K517-(G517*I517)</f>
        <v>11050.001</v>
      </c>
    </row>
    <row r="518" customFormat="false" ht="16.4" hidden="false" customHeight="false" outlineLevel="0" collapsed="false">
      <c r="A518" s="4" t="s">
        <v>1987</v>
      </c>
      <c r="B518" s="6" t="n">
        <v>45680</v>
      </c>
      <c r="C518" s="4" t="s">
        <v>771</v>
      </c>
      <c r="D518" s="4" t="s">
        <v>432</v>
      </c>
      <c r="E518" s="4" t="s">
        <v>18</v>
      </c>
      <c r="F518" s="4" t="s">
        <v>7</v>
      </c>
      <c r="G518" s="4" t="n">
        <v>11</v>
      </c>
      <c r="H518" s="5" t="n">
        <v>105.39</v>
      </c>
      <c r="I518" s="5" t="n">
        <v>63.49</v>
      </c>
      <c r="J518" s="9" t="n">
        <v>0.02</v>
      </c>
      <c r="K518" s="5" t="n">
        <f aca="false">G518*H518*(1-J518)</f>
        <v>1136.1042</v>
      </c>
      <c r="L518" s="5" t="n">
        <f aca="false">K518-(G518*I518)</f>
        <v>437.7142</v>
      </c>
    </row>
    <row r="519" customFormat="false" ht="16.4" hidden="false" customHeight="false" outlineLevel="0" collapsed="false">
      <c r="A519" s="4" t="s">
        <v>1988</v>
      </c>
      <c r="B519" s="6" t="n">
        <v>45591</v>
      </c>
      <c r="C519" s="4" t="s">
        <v>901</v>
      </c>
      <c r="D519" s="4" t="s">
        <v>428</v>
      </c>
      <c r="E519" s="4" t="s">
        <v>24</v>
      </c>
      <c r="F519" s="4" t="s">
        <v>25</v>
      </c>
      <c r="G519" s="4" t="n">
        <v>18</v>
      </c>
      <c r="H519" s="5" t="n">
        <v>1025.82</v>
      </c>
      <c r="I519" s="5" t="n">
        <v>708.78</v>
      </c>
      <c r="J519" s="9" t="n">
        <v>0</v>
      </c>
      <c r="K519" s="5" t="n">
        <f aca="false">G519*H519*(1-J519)</f>
        <v>18464.76</v>
      </c>
      <c r="L519" s="5" t="n">
        <f aca="false">K519-(G519*I519)</f>
        <v>5706.72</v>
      </c>
    </row>
    <row r="520" customFormat="false" ht="16.4" hidden="false" customHeight="false" outlineLevel="0" collapsed="false">
      <c r="A520" s="4" t="s">
        <v>1989</v>
      </c>
      <c r="B520" s="6" t="n">
        <v>45573</v>
      </c>
      <c r="C520" s="4" t="s">
        <v>589</v>
      </c>
      <c r="D520" s="4" t="s">
        <v>108</v>
      </c>
      <c r="E520" s="4" t="s">
        <v>12</v>
      </c>
      <c r="F520" s="4" t="s">
        <v>19</v>
      </c>
      <c r="G520" s="4" t="n">
        <v>23</v>
      </c>
      <c r="H520" s="5" t="n">
        <v>493.82</v>
      </c>
      <c r="I520" s="5" t="n">
        <v>305.51</v>
      </c>
      <c r="J520" s="9" t="n">
        <v>0.15</v>
      </c>
      <c r="K520" s="5" t="n">
        <f aca="false">G520*H520*(1-J520)</f>
        <v>9654.181</v>
      </c>
      <c r="L520" s="5" t="n">
        <f aca="false">K520-(G520*I520)</f>
        <v>2627.451</v>
      </c>
    </row>
    <row r="521" customFormat="false" ht="16.4" hidden="false" customHeight="false" outlineLevel="0" collapsed="false">
      <c r="A521" s="4" t="s">
        <v>1990</v>
      </c>
      <c r="B521" s="6" t="n">
        <v>46004</v>
      </c>
      <c r="C521" s="4" t="s">
        <v>887</v>
      </c>
      <c r="D521" s="4" t="s">
        <v>308</v>
      </c>
      <c r="E521" s="4" t="s">
        <v>12</v>
      </c>
      <c r="F521" s="4" t="s">
        <v>13</v>
      </c>
      <c r="G521" s="4" t="n">
        <v>17</v>
      </c>
      <c r="H521" s="5" t="n">
        <v>352.74</v>
      </c>
      <c r="I521" s="5" t="n">
        <v>187.07</v>
      </c>
      <c r="J521" s="9" t="n">
        <v>0</v>
      </c>
      <c r="K521" s="5" t="n">
        <f aca="false">G521*H521*(1-J521)</f>
        <v>5996.58</v>
      </c>
      <c r="L521" s="5" t="n">
        <f aca="false">K521-(G521*I521)</f>
        <v>2816.39</v>
      </c>
    </row>
    <row r="522" customFormat="false" ht="16.4" hidden="false" customHeight="false" outlineLevel="0" collapsed="false">
      <c r="A522" s="4" t="s">
        <v>1991</v>
      </c>
      <c r="B522" s="6" t="n">
        <v>46039</v>
      </c>
      <c r="C522" s="4" t="s">
        <v>520</v>
      </c>
      <c r="D522" s="4" t="s">
        <v>352</v>
      </c>
      <c r="E522" s="4" t="s">
        <v>18</v>
      </c>
      <c r="F522" s="4" t="s">
        <v>7</v>
      </c>
      <c r="G522" s="4" t="n">
        <v>4</v>
      </c>
      <c r="H522" s="5" t="n">
        <v>759.98</v>
      </c>
      <c r="I522" s="5" t="n">
        <v>346.44</v>
      </c>
      <c r="J522" s="9" t="n">
        <v>0.08</v>
      </c>
      <c r="K522" s="5" t="n">
        <f aca="false">G522*H522*(1-J522)</f>
        <v>2796.7264</v>
      </c>
      <c r="L522" s="5" t="n">
        <f aca="false">K522-(G522*I522)</f>
        <v>1410.9664</v>
      </c>
    </row>
    <row r="523" customFormat="false" ht="16.4" hidden="false" customHeight="false" outlineLevel="0" collapsed="false">
      <c r="A523" s="4" t="s">
        <v>1992</v>
      </c>
      <c r="B523" s="6" t="n">
        <v>46099</v>
      </c>
      <c r="C523" s="4" t="s">
        <v>1205</v>
      </c>
      <c r="D523" s="4" t="s">
        <v>286</v>
      </c>
      <c r="E523" s="4" t="s">
        <v>18</v>
      </c>
      <c r="F523" s="4" t="s">
        <v>19</v>
      </c>
      <c r="G523" s="4" t="n">
        <v>23</v>
      </c>
      <c r="H523" s="5" t="n">
        <v>926.11</v>
      </c>
      <c r="I523" s="5" t="n">
        <v>386.29</v>
      </c>
      <c r="J523" s="9" t="n">
        <v>0.08</v>
      </c>
      <c r="K523" s="5" t="n">
        <f aca="false">G523*H523*(1-J523)</f>
        <v>19596.4876</v>
      </c>
      <c r="L523" s="5" t="n">
        <f aca="false">K523-(G523*I523)</f>
        <v>10711.8176</v>
      </c>
    </row>
    <row r="524" customFormat="false" ht="16.4" hidden="false" customHeight="false" outlineLevel="0" collapsed="false">
      <c r="A524" s="4" t="s">
        <v>1993</v>
      </c>
      <c r="B524" s="6" t="n">
        <v>45830</v>
      </c>
      <c r="C524" s="4" t="s">
        <v>1087</v>
      </c>
      <c r="D524" s="4" t="s">
        <v>258</v>
      </c>
      <c r="E524" s="4" t="s">
        <v>6</v>
      </c>
      <c r="F524" s="4" t="s">
        <v>19</v>
      </c>
      <c r="G524" s="4" t="n">
        <v>11</v>
      </c>
      <c r="H524" s="5" t="n">
        <v>268.03</v>
      </c>
      <c r="I524" s="5" t="n">
        <v>138.85</v>
      </c>
      <c r="J524" s="9" t="n">
        <v>0.02</v>
      </c>
      <c r="K524" s="5" t="n">
        <f aca="false">G524*H524*(1-J524)</f>
        <v>2889.3634</v>
      </c>
      <c r="L524" s="5" t="n">
        <f aca="false">K524-(G524*I524)</f>
        <v>1362.0134</v>
      </c>
    </row>
    <row r="525" customFormat="false" ht="16.4" hidden="false" customHeight="false" outlineLevel="0" collapsed="false">
      <c r="A525" s="4" t="s">
        <v>1994</v>
      </c>
      <c r="B525" s="6" t="n">
        <v>45824</v>
      </c>
      <c r="C525" s="4" t="s">
        <v>1093</v>
      </c>
      <c r="D525" s="4" t="s">
        <v>106</v>
      </c>
      <c r="E525" s="4" t="s">
        <v>12</v>
      </c>
      <c r="F525" s="4" t="s">
        <v>25</v>
      </c>
      <c r="G525" s="4" t="n">
        <v>19</v>
      </c>
      <c r="H525" s="5" t="n">
        <v>1050.11</v>
      </c>
      <c r="I525" s="5" t="n">
        <v>545.28</v>
      </c>
      <c r="J525" s="9" t="n">
        <v>0.05</v>
      </c>
      <c r="K525" s="5" t="n">
        <f aca="false">G525*H525*(1-J525)</f>
        <v>18954.4855</v>
      </c>
      <c r="L525" s="5" t="n">
        <f aca="false">K525-(G525*I525)</f>
        <v>8594.1655</v>
      </c>
    </row>
    <row r="526" customFormat="false" ht="16.4" hidden="false" customHeight="false" outlineLevel="0" collapsed="false">
      <c r="A526" s="4" t="s">
        <v>1995</v>
      </c>
      <c r="B526" s="6" t="n">
        <v>45530</v>
      </c>
      <c r="C526" s="4" t="s">
        <v>1291</v>
      </c>
      <c r="D526" s="4" t="s">
        <v>292</v>
      </c>
      <c r="E526" s="4" t="s">
        <v>30</v>
      </c>
      <c r="F526" s="4" t="s">
        <v>19</v>
      </c>
      <c r="G526" s="4" t="n">
        <v>6</v>
      </c>
      <c r="H526" s="5" t="n">
        <v>720.71</v>
      </c>
      <c r="I526" s="5" t="n">
        <v>491.69</v>
      </c>
      <c r="J526" s="9" t="n">
        <v>0.08</v>
      </c>
      <c r="K526" s="5" t="n">
        <f aca="false">G526*H526*(1-J526)</f>
        <v>3978.3192</v>
      </c>
      <c r="L526" s="5" t="n">
        <f aca="false">K526-(G526*I526)</f>
        <v>1028.1792</v>
      </c>
    </row>
    <row r="527" customFormat="false" ht="16.4" hidden="false" customHeight="false" outlineLevel="0" collapsed="false">
      <c r="A527" s="4" t="s">
        <v>1996</v>
      </c>
      <c r="B527" s="6" t="n">
        <v>45768</v>
      </c>
      <c r="C527" s="4" t="s">
        <v>446</v>
      </c>
      <c r="D527" s="4" t="s">
        <v>138</v>
      </c>
      <c r="E527" s="4" t="s">
        <v>12</v>
      </c>
      <c r="F527" s="4" t="s">
        <v>7</v>
      </c>
      <c r="G527" s="4" t="n">
        <v>4</v>
      </c>
      <c r="H527" s="5" t="n">
        <v>27.53</v>
      </c>
      <c r="I527" s="5" t="n">
        <v>13.93</v>
      </c>
      <c r="J527" s="9" t="n">
        <v>0</v>
      </c>
      <c r="K527" s="5" t="n">
        <f aca="false">G527*H527*(1-J527)</f>
        <v>110.12</v>
      </c>
      <c r="L527" s="5" t="n">
        <f aca="false">K527-(G527*I527)</f>
        <v>54.4</v>
      </c>
    </row>
    <row r="528" customFormat="false" ht="16.4" hidden="false" customHeight="false" outlineLevel="0" collapsed="false">
      <c r="A528" s="4" t="s">
        <v>1997</v>
      </c>
      <c r="B528" s="6" t="n">
        <v>45922</v>
      </c>
      <c r="C528" s="4" t="s">
        <v>1333</v>
      </c>
      <c r="D528" s="4" t="s">
        <v>416</v>
      </c>
      <c r="E528" s="4" t="s">
        <v>6</v>
      </c>
      <c r="F528" s="4" t="s">
        <v>25</v>
      </c>
      <c r="G528" s="4" t="n">
        <v>7</v>
      </c>
      <c r="H528" s="5" t="n">
        <v>900.03</v>
      </c>
      <c r="I528" s="5" t="n">
        <v>568.9</v>
      </c>
      <c r="J528" s="9" t="n">
        <v>0.15</v>
      </c>
      <c r="K528" s="5" t="n">
        <f aca="false">G528*H528*(1-J528)</f>
        <v>5355.1785</v>
      </c>
      <c r="L528" s="5" t="n">
        <f aca="false">K528-(G528*I528)</f>
        <v>1372.8785</v>
      </c>
    </row>
    <row r="529" customFormat="false" ht="16.4" hidden="false" customHeight="false" outlineLevel="0" collapsed="false">
      <c r="A529" s="4" t="s">
        <v>1998</v>
      </c>
      <c r="B529" s="6" t="n">
        <v>45865</v>
      </c>
      <c r="C529" s="4" t="s">
        <v>508</v>
      </c>
      <c r="D529" s="4" t="s">
        <v>250</v>
      </c>
      <c r="E529" s="4" t="s">
        <v>12</v>
      </c>
      <c r="F529" s="4" t="s">
        <v>13</v>
      </c>
      <c r="G529" s="4" t="n">
        <v>11</v>
      </c>
      <c r="H529" s="5" t="n">
        <v>594.4</v>
      </c>
      <c r="I529" s="5" t="n">
        <v>264.92</v>
      </c>
      <c r="J529" s="9" t="n">
        <v>0.02</v>
      </c>
      <c r="K529" s="5" t="n">
        <f aca="false">G529*H529*(1-J529)</f>
        <v>6407.632</v>
      </c>
      <c r="L529" s="5" t="n">
        <f aca="false">K529-(G529*I529)</f>
        <v>3493.512</v>
      </c>
    </row>
    <row r="530" customFormat="false" ht="16.4" hidden="false" customHeight="false" outlineLevel="0" collapsed="false">
      <c r="A530" s="4" t="s">
        <v>1999</v>
      </c>
      <c r="B530" s="6" t="n">
        <v>45580</v>
      </c>
      <c r="C530" s="4" t="s">
        <v>1119</v>
      </c>
      <c r="D530" s="4" t="s">
        <v>44</v>
      </c>
      <c r="E530" s="4" t="s">
        <v>30</v>
      </c>
      <c r="F530" s="4" t="s">
        <v>19</v>
      </c>
      <c r="G530" s="4" t="n">
        <v>7</v>
      </c>
      <c r="H530" s="5" t="n">
        <v>60.01</v>
      </c>
      <c r="I530" s="5" t="n">
        <v>26.25</v>
      </c>
      <c r="J530" s="9" t="n">
        <v>0.1</v>
      </c>
      <c r="K530" s="5" t="n">
        <f aca="false">G530*H530*(1-J530)</f>
        <v>378.063</v>
      </c>
      <c r="L530" s="5" t="n">
        <f aca="false">K530-(G530*I530)</f>
        <v>194.313</v>
      </c>
    </row>
    <row r="531" customFormat="false" ht="16.4" hidden="false" customHeight="false" outlineLevel="0" collapsed="false">
      <c r="A531" s="4" t="s">
        <v>2000</v>
      </c>
      <c r="B531" s="6" t="n">
        <v>45855</v>
      </c>
      <c r="C531" s="4" t="s">
        <v>779</v>
      </c>
      <c r="D531" s="4" t="s">
        <v>74</v>
      </c>
      <c r="E531" s="4" t="s">
        <v>24</v>
      </c>
      <c r="F531" s="4" t="s">
        <v>19</v>
      </c>
      <c r="G531" s="4" t="n">
        <v>10</v>
      </c>
      <c r="H531" s="5" t="n">
        <v>795.14</v>
      </c>
      <c r="I531" s="5" t="n">
        <v>404.13</v>
      </c>
      <c r="J531" s="9" t="n">
        <v>0.08</v>
      </c>
      <c r="K531" s="5" t="n">
        <f aca="false">G531*H531*(1-J531)</f>
        <v>7315.288</v>
      </c>
      <c r="L531" s="5" t="n">
        <f aca="false">K531-(G531*I531)</f>
        <v>3273.988</v>
      </c>
    </row>
    <row r="532" customFormat="false" ht="16.4" hidden="false" customHeight="false" outlineLevel="0" collapsed="false">
      <c r="A532" s="4" t="s">
        <v>2001</v>
      </c>
      <c r="B532" s="6" t="n">
        <v>45633</v>
      </c>
      <c r="C532" s="4" t="s">
        <v>456</v>
      </c>
      <c r="D532" s="4" t="s">
        <v>432</v>
      </c>
      <c r="E532" s="4" t="s">
        <v>12</v>
      </c>
      <c r="F532" s="4" t="s">
        <v>19</v>
      </c>
      <c r="G532" s="4" t="n">
        <v>4</v>
      </c>
      <c r="H532" s="5" t="n">
        <v>105.39</v>
      </c>
      <c r="I532" s="5" t="n">
        <v>63.49</v>
      </c>
      <c r="J532" s="9" t="n">
        <v>0.1</v>
      </c>
      <c r="K532" s="5" t="n">
        <f aca="false">G532*H532*(1-J532)</f>
        <v>379.404</v>
      </c>
      <c r="L532" s="5" t="n">
        <f aca="false">K532-(G532*I532)</f>
        <v>125.444</v>
      </c>
    </row>
    <row r="533" customFormat="false" ht="16.4" hidden="false" customHeight="false" outlineLevel="0" collapsed="false">
      <c r="A533" s="4" t="s">
        <v>2002</v>
      </c>
      <c r="B533" s="6" t="n">
        <v>45321</v>
      </c>
      <c r="C533" s="4" t="s">
        <v>1205</v>
      </c>
      <c r="D533" s="4" t="s">
        <v>242</v>
      </c>
      <c r="E533" s="4" t="s">
        <v>18</v>
      </c>
      <c r="F533" s="4" t="s">
        <v>13</v>
      </c>
      <c r="G533" s="4" t="n">
        <v>19</v>
      </c>
      <c r="H533" s="5" t="n">
        <v>966.66</v>
      </c>
      <c r="I533" s="5" t="n">
        <v>596.46</v>
      </c>
      <c r="J533" s="9" t="n">
        <v>0.08</v>
      </c>
      <c r="K533" s="5" t="n">
        <f aca="false">G533*H533*(1-J533)</f>
        <v>16897.2168</v>
      </c>
      <c r="L533" s="5" t="n">
        <f aca="false">K533-(G533*I533)</f>
        <v>5564.4768</v>
      </c>
    </row>
    <row r="534" customFormat="false" ht="16.4" hidden="false" customHeight="false" outlineLevel="0" collapsed="false">
      <c r="A534" s="4" t="s">
        <v>2003</v>
      </c>
      <c r="B534" s="6" t="n">
        <v>45782</v>
      </c>
      <c r="C534" s="4" t="s">
        <v>803</v>
      </c>
      <c r="D534" s="4" t="s">
        <v>138</v>
      </c>
      <c r="E534" s="4" t="s">
        <v>30</v>
      </c>
      <c r="F534" s="4" t="s">
        <v>25</v>
      </c>
      <c r="G534" s="4" t="n">
        <v>11</v>
      </c>
      <c r="H534" s="5" t="n">
        <v>27.53</v>
      </c>
      <c r="I534" s="5" t="n">
        <v>13.93</v>
      </c>
      <c r="J534" s="9" t="n">
        <v>0.1</v>
      </c>
      <c r="K534" s="5" t="n">
        <f aca="false">G534*H534*(1-J534)</f>
        <v>272.547</v>
      </c>
      <c r="L534" s="5" t="n">
        <f aca="false">K534-(G534*I534)</f>
        <v>119.317</v>
      </c>
    </row>
    <row r="535" customFormat="false" ht="16.4" hidden="false" customHeight="false" outlineLevel="0" collapsed="false">
      <c r="A535" s="4" t="s">
        <v>2004</v>
      </c>
      <c r="B535" s="6" t="n">
        <v>45451</v>
      </c>
      <c r="C535" s="4" t="s">
        <v>1125</v>
      </c>
      <c r="D535" s="4" t="s">
        <v>58</v>
      </c>
      <c r="E535" s="4" t="s">
        <v>18</v>
      </c>
      <c r="F535" s="4" t="s">
        <v>25</v>
      </c>
      <c r="G535" s="4" t="n">
        <v>5</v>
      </c>
      <c r="H535" s="5" t="n">
        <v>250.94</v>
      </c>
      <c r="I535" s="5" t="n">
        <v>94.81</v>
      </c>
      <c r="J535" s="9" t="n">
        <v>0.05</v>
      </c>
      <c r="K535" s="5" t="n">
        <f aca="false">G535*H535*(1-J535)</f>
        <v>1191.965</v>
      </c>
      <c r="L535" s="5" t="n">
        <f aca="false">K535-(G535*I535)</f>
        <v>717.915</v>
      </c>
    </row>
    <row r="536" customFormat="false" ht="16.4" hidden="false" customHeight="false" outlineLevel="0" collapsed="false">
      <c r="A536" s="4" t="s">
        <v>2005</v>
      </c>
      <c r="B536" s="6" t="n">
        <v>46094</v>
      </c>
      <c r="C536" s="4" t="s">
        <v>1381</v>
      </c>
      <c r="D536" s="4" t="s">
        <v>314</v>
      </c>
      <c r="E536" s="4" t="s">
        <v>6</v>
      </c>
      <c r="F536" s="4" t="s">
        <v>25</v>
      </c>
      <c r="G536" s="4" t="n">
        <v>11</v>
      </c>
      <c r="H536" s="5" t="n">
        <v>353.6</v>
      </c>
      <c r="I536" s="5" t="n">
        <v>208.08</v>
      </c>
      <c r="J536" s="9" t="n">
        <v>0.05</v>
      </c>
      <c r="K536" s="5" t="n">
        <f aca="false">G536*H536*(1-J536)</f>
        <v>3695.12</v>
      </c>
      <c r="L536" s="5" t="n">
        <f aca="false">K536-(G536*I536)</f>
        <v>1406.24</v>
      </c>
    </row>
    <row r="537" customFormat="false" ht="16.4" hidden="false" customHeight="false" outlineLevel="0" collapsed="false">
      <c r="A537" s="4" t="s">
        <v>2006</v>
      </c>
      <c r="B537" s="6" t="n">
        <v>45870</v>
      </c>
      <c r="C537" s="4" t="s">
        <v>518</v>
      </c>
      <c r="D537" s="4" t="s">
        <v>420</v>
      </c>
      <c r="E537" s="4" t="s">
        <v>6</v>
      </c>
      <c r="F537" s="4" t="s">
        <v>19</v>
      </c>
      <c r="G537" s="4" t="n">
        <v>17</v>
      </c>
      <c r="H537" s="5" t="n">
        <v>1158.67</v>
      </c>
      <c r="I537" s="5" t="n">
        <v>464.05</v>
      </c>
      <c r="J537" s="9" t="n">
        <v>0.02</v>
      </c>
      <c r="K537" s="5" t="n">
        <f aca="false">G537*H537*(1-J537)</f>
        <v>19303.4422</v>
      </c>
      <c r="L537" s="5" t="n">
        <f aca="false">K537-(G537*I537)</f>
        <v>11414.5922</v>
      </c>
    </row>
    <row r="538" customFormat="false" ht="16.4" hidden="false" customHeight="false" outlineLevel="0" collapsed="false">
      <c r="A538" s="4" t="s">
        <v>2007</v>
      </c>
      <c r="B538" s="6" t="n">
        <v>45883</v>
      </c>
      <c r="C538" s="4" t="s">
        <v>1013</v>
      </c>
      <c r="D538" s="4" t="s">
        <v>324</v>
      </c>
      <c r="E538" s="4" t="s">
        <v>30</v>
      </c>
      <c r="F538" s="4" t="s">
        <v>19</v>
      </c>
      <c r="G538" s="4" t="n">
        <v>1</v>
      </c>
      <c r="H538" s="5" t="n">
        <v>1196.04</v>
      </c>
      <c r="I538" s="5" t="n">
        <v>681.93</v>
      </c>
      <c r="J538" s="9" t="n">
        <v>0</v>
      </c>
      <c r="K538" s="5" t="n">
        <f aca="false">G538*H538*(1-J538)</f>
        <v>1196.04</v>
      </c>
      <c r="L538" s="5" t="n">
        <f aca="false">K538-(G538*I538)</f>
        <v>514.11</v>
      </c>
    </row>
    <row r="539" customFormat="false" ht="16.4" hidden="false" customHeight="false" outlineLevel="0" collapsed="false">
      <c r="A539" s="4" t="s">
        <v>2008</v>
      </c>
      <c r="B539" s="6" t="n">
        <v>46152</v>
      </c>
      <c r="C539" s="4" t="s">
        <v>529</v>
      </c>
      <c r="D539" s="4" t="s">
        <v>220</v>
      </c>
      <c r="E539" s="4" t="s">
        <v>30</v>
      </c>
      <c r="F539" s="4" t="s">
        <v>7</v>
      </c>
      <c r="G539" s="4" t="n">
        <v>5</v>
      </c>
      <c r="H539" s="5" t="n">
        <v>693.7</v>
      </c>
      <c r="I539" s="5" t="n">
        <v>355.47</v>
      </c>
      <c r="J539" s="9" t="n">
        <v>0.02</v>
      </c>
      <c r="K539" s="5" t="n">
        <f aca="false">G539*H539*(1-J539)</f>
        <v>3399.13</v>
      </c>
      <c r="L539" s="5" t="n">
        <f aca="false">K539-(G539*I539)</f>
        <v>1621.78</v>
      </c>
    </row>
    <row r="540" customFormat="false" ht="16.4" hidden="false" customHeight="false" outlineLevel="0" collapsed="false">
      <c r="A540" s="4" t="s">
        <v>2009</v>
      </c>
      <c r="B540" s="6" t="n">
        <v>46154</v>
      </c>
      <c r="C540" s="4" t="s">
        <v>849</v>
      </c>
      <c r="D540" s="4" t="s">
        <v>212</v>
      </c>
      <c r="E540" s="4" t="s">
        <v>6</v>
      </c>
      <c r="F540" s="4" t="s">
        <v>13</v>
      </c>
      <c r="G540" s="4" t="n">
        <v>21</v>
      </c>
      <c r="H540" s="5" t="n">
        <v>531.77</v>
      </c>
      <c r="I540" s="5" t="n">
        <v>387.95</v>
      </c>
      <c r="J540" s="9" t="n">
        <v>0.08</v>
      </c>
      <c r="K540" s="5" t="n">
        <f aca="false">G540*H540*(1-J540)</f>
        <v>10273.7964</v>
      </c>
      <c r="L540" s="5" t="n">
        <f aca="false">K540-(G540*I540)</f>
        <v>2126.8464</v>
      </c>
    </row>
    <row r="541" customFormat="false" ht="16.4" hidden="false" customHeight="false" outlineLevel="0" collapsed="false">
      <c r="A541" s="4" t="s">
        <v>2010</v>
      </c>
      <c r="B541" s="6" t="n">
        <v>45901</v>
      </c>
      <c r="C541" s="4" t="s">
        <v>1085</v>
      </c>
      <c r="D541" s="4" t="s">
        <v>332</v>
      </c>
      <c r="E541" s="4" t="s">
        <v>18</v>
      </c>
      <c r="F541" s="4" t="s">
        <v>7</v>
      </c>
      <c r="G541" s="4" t="n">
        <v>13</v>
      </c>
      <c r="H541" s="5" t="n">
        <v>1003.34</v>
      </c>
      <c r="I541" s="5" t="n">
        <v>470.06</v>
      </c>
      <c r="J541" s="9" t="n">
        <v>0</v>
      </c>
      <c r="K541" s="5" t="n">
        <f aca="false">G541*H541*(1-J541)</f>
        <v>13043.42</v>
      </c>
      <c r="L541" s="5" t="n">
        <f aca="false">K541-(G541*I541)</f>
        <v>6932.64</v>
      </c>
    </row>
    <row r="542" customFormat="false" ht="16.4" hidden="false" customHeight="false" outlineLevel="0" collapsed="false">
      <c r="A542" s="4" t="s">
        <v>2011</v>
      </c>
      <c r="B542" s="6" t="n">
        <v>45614</v>
      </c>
      <c r="C542" s="4" t="s">
        <v>779</v>
      </c>
      <c r="D542" s="4" t="s">
        <v>424</v>
      </c>
      <c r="E542" s="4" t="s">
        <v>24</v>
      </c>
      <c r="F542" s="4" t="s">
        <v>7</v>
      </c>
      <c r="G542" s="4" t="n">
        <v>23</v>
      </c>
      <c r="H542" s="5" t="n">
        <v>873.87</v>
      </c>
      <c r="I542" s="5" t="n">
        <v>449.16</v>
      </c>
      <c r="J542" s="9" t="n">
        <v>0.15</v>
      </c>
      <c r="K542" s="5" t="n">
        <f aca="false">G542*H542*(1-J542)</f>
        <v>17084.1585</v>
      </c>
      <c r="L542" s="5" t="n">
        <f aca="false">K542-(G542*I542)</f>
        <v>6753.4785</v>
      </c>
    </row>
    <row r="543" customFormat="false" ht="16.4" hidden="false" customHeight="false" outlineLevel="0" collapsed="false">
      <c r="A543" s="4" t="s">
        <v>2012</v>
      </c>
      <c r="B543" s="6" t="n">
        <v>46190</v>
      </c>
      <c r="C543" s="4" t="s">
        <v>887</v>
      </c>
      <c r="D543" s="4" t="s">
        <v>178</v>
      </c>
      <c r="E543" s="4" t="s">
        <v>12</v>
      </c>
      <c r="F543" s="4" t="s">
        <v>13</v>
      </c>
      <c r="G543" s="4" t="n">
        <v>3</v>
      </c>
      <c r="H543" s="5" t="n">
        <v>673.22</v>
      </c>
      <c r="I543" s="5" t="n">
        <v>350.8</v>
      </c>
      <c r="J543" s="9" t="n">
        <v>0.05</v>
      </c>
      <c r="K543" s="5" t="n">
        <f aca="false">G543*H543*(1-J543)</f>
        <v>1918.677</v>
      </c>
      <c r="L543" s="5" t="n">
        <f aca="false">K543-(G543*I543)</f>
        <v>866.277</v>
      </c>
    </row>
    <row r="544" customFormat="false" ht="16.4" hidden="false" customHeight="false" outlineLevel="0" collapsed="false">
      <c r="A544" s="4" t="s">
        <v>2013</v>
      </c>
      <c r="B544" s="6" t="n">
        <v>45829</v>
      </c>
      <c r="C544" s="4" t="s">
        <v>927</v>
      </c>
      <c r="D544" s="4" t="s">
        <v>230</v>
      </c>
      <c r="E544" s="4" t="s">
        <v>30</v>
      </c>
      <c r="F544" s="4" t="s">
        <v>19</v>
      </c>
      <c r="G544" s="4" t="n">
        <v>10</v>
      </c>
      <c r="H544" s="5" t="n">
        <v>972.71</v>
      </c>
      <c r="I544" s="5" t="n">
        <v>397.78</v>
      </c>
      <c r="J544" s="9" t="n">
        <v>0</v>
      </c>
      <c r="K544" s="5" t="n">
        <f aca="false">G544*H544*(1-J544)</f>
        <v>9727.1</v>
      </c>
      <c r="L544" s="5" t="n">
        <f aca="false">K544-(G544*I544)</f>
        <v>5749.3</v>
      </c>
    </row>
    <row r="545" customFormat="false" ht="16.4" hidden="false" customHeight="false" outlineLevel="0" collapsed="false">
      <c r="A545" s="4" t="s">
        <v>2014</v>
      </c>
      <c r="B545" s="6" t="n">
        <v>45330</v>
      </c>
      <c r="C545" s="4" t="s">
        <v>579</v>
      </c>
      <c r="D545" s="4" t="s">
        <v>128</v>
      </c>
      <c r="E545" s="4" t="s">
        <v>6</v>
      </c>
      <c r="F545" s="4" t="s">
        <v>13</v>
      </c>
      <c r="G545" s="4" t="n">
        <v>12</v>
      </c>
      <c r="H545" s="5" t="n">
        <v>248.5</v>
      </c>
      <c r="I545" s="5" t="n">
        <v>131.57</v>
      </c>
      <c r="J545" s="9" t="n">
        <v>0.15</v>
      </c>
      <c r="K545" s="5" t="n">
        <f aca="false">G545*H545*(1-J545)</f>
        <v>2534.7</v>
      </c>
      <c r="L545" s="5" t="n">
        <f aca="false">K545-(G545*I545)</f>
        <v>955.86</v>
      </c>
    </row>
    <row r="546" customFormat="false" ht="16.4" hidden="false" customHeight="false" outlineLevel="0" collapsed="false">
      <c r="A546" s="4" t="s">
        <v>2015</v>
      </c>
      <c r="B546" s="6" t="n">
        <v>46110</v>
      </c>
      <c r="C546" s="4" t="s">
        <v>919</v>
      </c>
      <c r="D546" s="4" t="s">
        <v>86</v>
      </c>
      <c r="E546" s="4" t="s">
        <v>6</v>
      </c>
      <c r="F546" s="4" t="s">
        <v>25</v>
      </c>
      <c r="G546" s="4" t="n">
        <v>17</v>
      </c>
      <c r="H546" s="5" t="n">
        <v>1036.42</v>
      </c>
      <c r="I546" s="5" t="n">
        <v>367.51</v>
      </c>
      <c r="J546" s="9" t="n">
        <v>0</v>
      </c>
      <c r="K546" s="5" t="n">
        <f aca="false">G546*H546*(1-J546)</f>
        <v>17619.14</v>
      </c>
      <c r="L546" s="5" t="n">
        <f aca="false">K546-(G546*I546)</f>
        <v>11371.47</v>
      </c>
    </row>
    <row r="547" customFormat="false" ht="16.4" hidden="false" customHeight="false" outlineLevel="0" collapsed="false">
      <c r="A547" s="4" t="s">
        <v>2016</v>
      </c>
      <c r="B547" s="6" t="n">
        <v>45787</v>
      </c>
      <c r="C547" s="4" t="s">
        <v>621</v>
      </c>
      <c r="D547" s="4" t="s">
        <v>296</v>
      </c>
      <c r="E547" s="4" t="s">
        <v>12</v>
      </c>
      <c r="F547" s="4" t="s">
        <v>19</v>
      </c>
      <c r="G547" s="4" t="n">
        <v>7</v>
      </c>
      <c r="H547" s="5" t="n">
        <v>650.98</v>
      </c>
      <c r="I547" s="5" t="n">
        <v>400.1</v>
      </c>
      <c r="J547" s="9" t="n">
        <v>0.02</v>
      </c>
      <c r="K547" s="5" t="n">
        <f aca="false">G547*H547*(1-J547)</f>
        <v>4465.7228</v>
      </c>
      <c r="L547" s="5" t="n">
        <f aca="false">K547-(G547*I547)</f>
        <v>1665.0228</v>
      </c>
    </row>
    <row r="548" customFormat="false" ht="16.4" hidden="false" customHeight="false" outlineLevel="0" collapsed="false">
      <c r="A548" s="4" t="s">
        <v>2017</v>
      </c>
      <c r="B548" s="6" t="n">
        <v>46184</v>
      </c>
      <c r="C548" s="4" t="s">
        <v>799</v>
      </c>
      <c r="D548" s="4" t="s">
        <v>436</v>
      </c>
      <c r="E548" s="4" t="s">
        <v>12</v>
      </c>
      <c r="F548" s="4" t="s">
        <v>7</v>
      </c>
      <c r="G548" s="4" t="n">
        <v>5</v>
      </c>
      <c r="H548" s="5" t="n">
        <v>220.48</v>
      </c>
      <c r="I548" s="5" t="n">
        <v>103.58</v>
      </c>
      <c r="J548" s="9" t="n">
        <v>0.15</v>
      </c>
      <c r="K548" s="5" t="n">
        <f aca="false">G548*H548*(1-J548)</f>
        <v>937.04</v>
      </c>
      <c r="L548" s="5" t="n">
        <f aca="false">K548-(G548*I548)</f>
        <v>419.14</v>
      </c>
    </row>
    <row r="549" customFormat="false" ht="16.4" hidden="false" customHeight="false" outlineLevel="0" collapsed="false">
      <c r="A549" s="4" t="s">
        <v>2018</v>
      </c>
      <c r="B549" s="6" t="n">
        <v>46033</v>
      </c>
      <c r="C549" s="4" t="s">
        <v>1157</v>
      </c>
      <c r="D549" s="4" t="s">
        <v>304</v>
      </c>
      <c r="E549" s="4" t="s">
        <v>18</v>
      </c>
      <c r="F549" s="4" t="s">
        <v>7</v>
      </c>
      <c r="G549" s="4" t="n">
        <v>5</v>
      </c>
      <c r="H549" s="5" t="n">
        <v>974.63</v>
      </c>
      <c r="I549" s="5" t="n">
        <v>550.93</v>
      </c>
      <c r="J549" s="9" t="n">
        <v>0</v>
      </c>
      <c r="K549" s="5" t="n">
        <f aca="false">G549*H549*(1-J549)</f>
        <v>4873.15</v>
      </c>
      <c r="L549" s="5" t="n">
        <f aca="false">K549-(G549*I549)</f>
        <v>2118.5</v>
      </c>
    </row>
    <row r="550" customFormat="false" ht="16.4" hidden="false" customHeight="false" outlineLevel="0" collapsed="false">
      <c r="A550" s="4" t="s">
        <v>2019</v>
      </c>
      <c r="B550" s="6" t="n">
        <v>45826</v>
      </c>
      <c r="C550" s="4" t="s">
        <v>861</v>
      </c>
      <c r="D550" s="4" t="s">
        <v>274</v>
      </c>
      <c r="E550" s="4" t="s">
        <v>24</v>
      </c>
      <c r="F550" s="4" t="s">
        <v>7</v>
      </c>
      <c r="G550" s="4" t="n">
        <v>23</v>
      </c>
      <c r="H550" s="5" t="n">
        <v>273.7</v>
      </c>
      <c r="I550" s="5" t="n">
        <v>131.58</v>
      </c>
      <c r="J550" s="9" t="n">
        <v>0.15</v>
      </c>
      <c r="K550" s="5" t="n">
        <f aca="false">G550*H550*(1-J550)</f>
        <v>5350.835</v>
      </c>
      <c r="L550" s="5" t="n">
        <f aca="false">K550-(G550*I550)</f>
        <v>2324.495</v>
      </c>
    </row>
    <row r="551" customFormat="false" ht="16.4" hidden="false" customHeight="false" outlineLevel="0" collapsed="false">
      <c r="A551" s="4" t="s">
        <v>2020</v>
      </c>
      <c r="B551" s="6" t="n">
        <v>46160</v>
      </c>
      <c r="C551" s="4" t="s">
        <v>783</v>
      </c>
      <c r="D551" s="4" t="s">
        <v>42</v>
      </c>
      <c r="E551" s="4" t="s">
        <v>24</v>
      </c>
      <c r="F551" s="4" t="s">
        <v>7</v>
      </c>
      <c r="G551" s="4" t="n">
        <v>2</v>
      </c>
      <c r="H551" s="5" t="n">
        <v>820.12</v>
      </c>
      <c r="I551" s="5" t="n">
        <v>579.72</v>
      </c>
      <c r="J551" s="9" t="n">
        <v>0.1</v>
      </c>
      <c r="K551" s="5" t="n">
        <f aca="false">G551*H551*(1-J551)</f>
        <v>1476.216</v>
      </c>
      <c r="L551" s="5" t="n">
        <f aca="false">K551-(G551*I551)</f>
        <v>316.776</v>
      </c>
    </row>
    <row r="552" customFormat="false" ht="16.4" hidden="false" customHeight="false" outlineLevel="0" collapsed="false">
      <c r="A552" s="4" t="s">
        <v>2021</v>
      </c>
      <c r="B552" s="6" t="n">
        <v>45825</v>
      </c>
      <c r="C552" s="4" t="s">
        <v>943</v>
      </c>
      <c r="D552" s="4" t="s">
        <v>210</v>
      </c>
      <c r="E552" s="4" t="s">
        <v>6</v>
      </c>
      <c r="F552" s="4" t="s">
        <v>19</v>
      </c>
      <c r="G552" s="4" t="n">
        <v>2</v>
      </c>
      <c r="H552" s="5" t="n">
        <v>77.15</v>
      </c>
      <c r="I552" s="5" t="n">
        <v>40.46</v>
      </c>
      <c r="J552" s="9" t="n">
        <v>0</v>
      </c>
      <c r="K552" s="5" t="n">
        <f aca="false">G552*H552*(1-J552)</f>
        <v>154.3</v>
      </c>
      <c r="L552" s="5" t="n">
        <f aca="false">K552-(G552*I552)</f>
        <v>73.38</v>
      </c>
    </row>
    <row r="553" customFormat="false" ht="16.4" hidden="false" customHeight="false" outlineLevel="0" collapsed="false">
      <c r="A553" s="4" t="s">
        <v>2022</v>
      </c>
      <c r="B553" s="6" t="n">
        <v>45946</v>
      </c>
      <c r="C553" s="4" t="s">
        <v>1055</v>
      </c>
      <c r="D553" s="4" t="s">
        <v>50</v>
      </c>
      <c r="E553" s="4" t="s">
        <v>6</v>
      </c>
      <c r="F553" s="4" t="s">
        <v>13</v>
      </c>
      <c r="G553" s="4" t="n">
        <v>25</v>
      </c>
      <c r="H553" s="5" t="n">
        <v>845.31</v>
      </c>
      <c r="I553" s="5" t="n">
        <v>410.91</v>
      </c>
      <c r="J553" s="9" t="n">
        <v>0.02</v>
      </c>
      <c r="K553" s="5" t="n">
        <f aca="false">G553*H553*(1-J553)</f>
        <v>20710.095</v>
      </c>
      <c r="L553" s="5" t="n">
        <f aca="false">K553-(G553*I553)</f>
        <v>10437.345</v>
      </c>
    </row>
    <row r="554" customFormat="false" ht="16.4" hidden="false" customHeight="false" outlineLevel="0" collapsed="false">
      <c r="A554" s="4" t="s">
        <v>2023</v>
      </c>
      <c r="B554" s="6" t="n">
        <v>45575</v>
      </c>
      <c r="C554" s="4" t="s">
        <v>669</v>
      </c>
      <c r="D554" s="4" t="s">
        <v>204</v>
      </c>
      <c r="E554" s="4" t="s">
        <v>24</v>
      </c>
      <c r="F554" s="4" t="s">
        <v>19</v>
      </c>
      <c r="G554" s="4" t="n">
        <v>7</v>
      </c>
      <c r="H554" s="5" t="n">
        <v>160.53</v>
      </c>
      <c r="I554" s="5" t="n">
        <v>118.5</v>
      </c>
      <c r="J554" s="9" t="n">
        <v>0.02</v>
      </c>
      <c r="K554" s="5" t="n">
        <f aca="false">G554*H554*(1-J554)</f>
        <v>1101.2358</v>
      </c>
      <c r="L554" s="5" t="n">
        <f aca="false">K554-(G554*I554)</f>
        <v>271.7358</v>
      </c>
    </row>
    <row r="555" customFormat="false" ht="16.4" hidden="false" customHeight="false" outlineLevel="0" collapsed="false">
      <c r="A555" s="4" t="s">
        <v>2024</v>
      </c>
      <c r="B555" s="6" t="n">
        <v>45571</v>
      </c>
      <c r="C555" s="4" t="s">
        <v>915</v>
      </c>
      <c r="D555" s="4" t="s">
        <v>434</v>
      </c>
      <c r="E555" s="4" t="s">
        <v>18</v>
      </c>
      <c r="F555" s="4" t="s">
        <v>13</v>
      </c>
      <c r="G555" s="4" t="n">
        <v>22</v>
      </c>
      <c r="H555" s="5" t="n">
        <v>534.92</v>
      </c>
      <c r="I555" s="5" t="n">
        <v>208.29</v>
      </c>
      <c r="J555" s="9" t="n">
        <v>0</v>
      </c>
      <c r="K555" s="5" t="n">
        <f aca="false">G555*H555*(1-J555)</f>
        <v>11768.24</v>
      </c>
      <c r="L555" s="5" t="n">
        <f aca="false">K555-(G555*I555)</f>
        <v>7185.86</v>
      </c>
    </row>
    <row r="556" customFormat="false" ht="16.4" hidden="false" customHeight="false" outlineLevel="0" collapsed="false">
      <c r="A556" s="4" t="s">
        <v>2025</v>
      </c>
      <c r="B556" s="6" t="n">
        <v>45929</v>
      </c>
      <c r="C556" s="4" t="s">
        <v>745</v>
      </c>
      <c r="D556" s="4" t="s">
        <v>120</v>
      </c>
      <c r="E556" s="4" t="s">
        <v>24</v>
      </c>
      <c r="F556" s="4" t="s">
        <v>7</v>
      </c>
      <c r="G556" s="4" t="n">
        <v>4</v>
      </c>
      <c r="H556" s="5" t="n">
        <v>946.93</v>
      </c>
      <c r="I556" s="5" t="n">
        <v>637.28</v>
      </c>
      <c r="J556" s="9" t="n">
        <v>0</v>
      </c>
      <c r="K556" s="5" t="n">
        <f aca="false">G556*H556*(1-J556)</f>
        <v>3787.72</v>
      </c>
      <c r="L556" s="5" t="n">
        <f aca="false">K556-(G556*I556)</f>
        <v>1238.6</v>
      </c>
    </row>
    <row r="557" customFormat="false" ht="16.4" hidden="false" customHeight="false" outlineLevel="0" collapsed="false">
      <c r="A557" s="4" t="s">
        <v>2026</v>
      </c>
      <c r="B557" s="6" t="n">
        <v>45618</v>
      </c>
      <c r="C557" s="4" t="s">
        <v>1019</v>
      </c>
      <c r="D557" s="4" t="s">
        <v>144</v>
      </c>
      <c r="E557" s="4" t="s">
        <v>18</v>
      </c>
      <c r="F557" s="4" t="s">
        <v>19</v>
      </c>
      <c r="G557" s="4" t="n">
        <v>12</v>
      </c>
      <c r="H557" s="5" t="n">
        <v>92.17</v>
      </c>
      <c r="I557" s="5" t="n">
        <v>53.8</v>
      </c>
      <c r="J557" s="9" t="n">
        <v>0.08</v>
      </c>
      <c r="K557" s="5" t="n">
        <f aca="false">G557*H557*(1-J557)</f>
        <v>1017.5568</v>
      </c>
      <c r="L557" s="5" t="n">
        <f aca="false">K557-(G557*I557)</f>
        <v>371.9568</v>
      </c>
    </row>
    <row r="558" customFormat="false" ht="16.4" hidden="false" customHeight="false" outlineLevel="0" collapsed="false">
      <c r="A558" s="4" t="s">
        <v>2027</v>
      </c>
      <c r="B558" s="6" t="n">
        <v>45582</v>
      </c>
      <c r="C558" s="4" t="s">
        <v>1429</v>
      </c>
      <c r="D558" s="4" t="s">
        <v>112</v>
      </c>
      <c r="E558" s="4" t="s">
        <v>18</v>
      </c>
      <c r="F558" s="4" t="s">
        <v>13</v>
      </c>
      <c r="G558" s="4" t="n">
        <v>23</v>
      </c>
      <c r="H558" s="5" t="n">
        <v>716.26</v>
      </c>
      <c r="I558" s="5" t="n">
        <v>316.62</v>
      </c>
      <c r="J558" s="9" t="n">
        <v>0.15</v>
      </c>
      <c r="K558" s="5" t="n">
        <f aca="false">G558*H558*(1-J558)</f>
        <v>14002.883</v>
      </c>
      <c r="L558" s="5" t="n">
        <f aca="false">K558-(G558*I558)</f>
        <v>6720.623</v>
      </c>
    </row>
    <row r="559" customFormat="false" ht="16.4" hidden="false" customHeight="false" outlineLevel="0" collapsed="false">
      <c r="A559" s="4" t="s">
        <v>2028</v>
      </c>
      <c r="B559" s="6" t="n">
        <v>45638</v>
      </c>
      <c r="C559" s="4" t="s">
        <v>535</v>
      </c>
      <c r="D559" s="4" t="s">
        <v>126</v>
      </c>
      <c r="E559" s="4" t="s">
        <v>30</v>
      </c>
      <c r="F559" s="4" t="s">
        <v>25</v>
      </c>
      <c r="G559" s="4" t="n">
        <v>10</v>
      </c>
      <c r="H559" s="5" t="n">
        <v>880.65</v>
      </c>
      <c r="I559" s="5" t="n">
        <v>590.24</v>
      </c>
      <c r="J559" s="9" t="n">
        <v>0.08</v>
      </c>
      <c r="K559" s="5" t="n">
        <f aca="false">G559*H559*(1-J559)</f>
        <v>8101.98</v>
      </c>
      <c r="L559" s="5" t="n">
        <f aca="false">K559-(G559*I559)</f>
        <v>2199.58</v>
      </c>
    </row>
    <row r="560" customFormat="false" ht="16.4" hidden="false" customHeight="false" outlineLevel="0" collapsed="false">
      <c r="A560" s="4" t="s">
        <v>2029</v>
      </c>
      <c r="B560" s="6" t="n">
        <v>45983</v>
      </c>
      <c r="C560" s="4" t="s">
        <v>597</v>
      </c>
      <c r="D560" s="4" t="s">
        <v>64</v>
      </c>
      <c r="E560" s="4" t="s">
        <v>30</v>
      </c>
      <c r="F560" s="4" t="s">
        <v>7</v>
      </c>
      <c r="G560" s="4" t="n">
        <v>1</v>
      </c>
      <c r="H560" s="5" t="n">
        <v>442.44</v>
      </c>
      <c r="I560" s="5" t="n">
        <v>273.46</v>
      </c>
      <c r="J560" s="9" t="n">
        <v>0.05</v>
      </c>
      <c r="K560" s="5" t="n">
        <f aca="false">G560*H560*(1-J560)</f>
        <v>420.318</v>
      </c>
      <c r="L560" s="5" t="n">
        <f aca="false">K560-(G560*I560)</f>
        <v>146.858</v>
      </c>
    </row>
    <row r="561" customFormat="false" ht="16.4" hidden="false" customHeight="false" outlineLevel="0" collapsed="false">
      <c r="A561" s="4" t="s">
        <v>2030</v>
      </c>
      <c r="B561" s="6" t="n">
        <v>45728</v>
      </c>
      <c r="C561" s="4" t="s">
        <v>857</v>
      </c>
      <c r="D561" s="4" t="s">
        <v>94</v>
      </c>
      <c r="E561" s="4" t="s">
        <v>30</v>
      </c>
      <c r="F561" s="4" t="s">
        <v>25</v>
      </c>
      <c r="G561" s="4" t="n">
        <v>2</v>
      </c>
      <c r="H561" s="5" t="n">
        <v>740.54</v>
      </c>
      <c r="I561" s="5" t="n">
        <v>304.46</v>
      </c>
      <c r="J561" s="9" t="n">
        <v>0</v>
      </c>
      <c r="K561" s="5" t="n">
        <f aca="false">G561*H561*(1-J561)</f>
        <v>1481.08</v>
      </c>
      <c r="L561" s="5" t="n">
        <f aca="false">K561-(G561*I561)</f>
        <v>872.16</v>
      </c>
    </row>
    <row r="562" customFormat="false" ht="16.4" hidden="false" customHeight="false" outlineLevel="0" collapsed="false">
      <c r="A562" s="4" t="s">
        <v>2031</v>
      </c>
      <c r="B562" s="6" t="n">
        <v>45936</v>
      </c>
      <c r="C562" s="4" t="s">
        <v>1185</v>
      </c>
      <c r="D562" s="4" t="s">
        <v>130</v>
      </c>
      <c r="E562" s="4" t="s">
        <v>6</v>
      </c>
      <c r="F562" s="4" t="s">
        <v>25</v>
      </c>
      <c r="G562" s="4" t="n">
        <v>20</v>
      </c>
      <c r="H562" s="5" t="n">
        <v>568.59</v>
      </c>
      <c r="I562" s="5" t="n">
        <v>397.9</v>
      </c>
      <c r="J562" s="9" t="n">
        <v>0.08</v>
      </c>
      <c r="K562" s="5" t="n">
        <f aca="false">G562*H562*(1-J562)</f>
        <v>10462.056</v>
      </c>
      <c r="L562" s="5" t="n">
        <f aca="false">K562-(G562*I562)</f>
        <v>2504.056</v>
      </c>
    </row>
    <row r="563" customFormat="false" ht="16.4" hidden="false" customHeight="false" outlineLevel="0" collapsed="false">
      <c r="A563" s="4" t="s">
        <v>2032</v>
      </c>
      <c r="B563" s="6" t="n">
        <v>46129</v>
      </c>
      <c r="C563" s="4" t="s">
        <v>829</v>
      </c>
      <c r="D563" s="4" t="s">
        <v>354</v>
      </c>
      <c r="E563" s="4" t="s">
        <v>18</v>
      </c>
      <c r="F563" s="4" t="s">
        <v>13</v>
      </c>
      <c r="G563" s="4" t="n">
        <v>10</v>
      </c>
      <c r="H563" s="5" t="n">
        <v>229.23</v>
      </c>
      <c r="I563" s="5" t="n">
        <v>87.11</v>
      </c>
      <c r="J563" s="9" t="n">
        <v>0.02</v>
      </c>
      <c r="K563" s="5" t="n">
        <f aca="false">G563*H563*(1-J563)</f>
        <v>2246.454</v>
      </c>
      <c r="L563" s="5" t="n">
        <f aca="false">K563-(G563*I563)</f>
        <v>1375.354</v>
      </c>
    </row>
    <row r="564" customFormat="false" ht="16.4" hidden="false" customHeight="false" outlineLevel="0" collapsed="false">
      <c r="A564" s="4" t="s">
        <v>2033</v>
      </c>
      <c r="B564" s="6" t="n">
        <v>45838</v>
      </c>
      <c r="C564" s="4" t="s">
        <v>1241</v>
      </c>
      <c r="D564" s="4" t="s">
        <v>404</v>
      </c>
      <c r="E564" s="4" t="s">
        <v>18</v>
      </c>
      <c r="F564" s="4" t="s">
        <v>7</v>
      </c>
      <c r="G564" s="4" t="n">
        <v>22</v>
      </c>
      <c r="H564" s="5" t="n">
        <v>622.18</v>
      </c>
      <c r="I564" s="5" t="n">
        <v>436.6</v>
      </c>
      <c r="J564" s="9" t="n">
        <v>0.15</v>
      </c>
      <c r="K564" s="5" t="n">
        <f aca="false">G564*H564*(1-J564)</f>
        <v>11634.766</v>
      </c>
      <c r="L564" s="5" t="n">
        <f aca="false">K564-(G564*I564)</f>
        <v>2029.566</v>
      </c>
    </row>
    <row r="565" customFormat="false" ht="16.4" hidden="false" customHeight="false" outlineLevel="0" collapsed="false">
      <c r="A565" s="4" t="s">
        <v>2034</v>
      </c>
      <c r="B565" s="6" t="n">
        <v>45426</v>
      </c>
      <c r="C565" s="4" t="s">
        <v>1247</v>
      </c>
      <c r="D565" s="4" t="s">
        <v>426</v>
      </c>
      <c r="E565" s="4" t="s">
        <v>6</v>
      </c>
      <c r="F565" s="4" t="s">
        <v>7</v>
      </c>
      <c r="G565" s="4" t="n">
        <v>15</v>
      </c>
      <c r="H565" s="5" t="n">
        <v>576.65</v>
      </c>
      <c r="I565" s="5" t="n">
        <v>425.38</v>
      </c>
      <c r="J565" s="9" t="n">
        <v>0.08</v>
      </c>
      <c r="K565" s="5" t="n">
        <f aca="false">G565*H565*(1-J565)</f>
        <v>7957.77</v>
      </c>
      <c r="L565" s="5" t="n">
        <f aca="false">K565-(G565*I565)</f>
        <v>1577.07</v>
      </c>
    </row>
    <row r="566" customFormat="false" ht="16.4" hidden="false" customHeight="false" outlineLevel="0" collapsed="false">
      <c r="A566" s="4" t="s">
        <v>2035</v>
      </c>
      <c r="B566" s="6" t="n">
        <v>45609</v>
      </c>
      <c r="C566" s="4" t="s">
        <v>943</v>
      </c>
      <c r="D566" s="4" t="s">
        <v>396</v>
      </c>
      <c r="E566" s="4" t="s">
        <v>6</v>
      </c>
      <c r="F566" s="4" t="s">
        <v>25</v>
      </c>
      <c r="G566" s="4" t="n">
        <v>4</v>
      </c>
      <c r="H566" s="5" t="n">
        <v>504.39</v>
      </c>
      <c r="I566" s="5" t="n">
        <v>221.87</v>
      </c>
      <c r="J566" s="9" t="n">
        <v>0.05</v>
      </c>
      <c r="K566" s="5" t="n">
        <f aca="false">G566*H566*(1-J566)</f>
        <v>1916.682</v>
      </c>
      <c r="L566" s="5" t="n">
        <f aca="false">K566-(G566*I566)</f>
        <v>1029.202</v>
      </c>
    </row>
    <row r="567" customFormat="false" ht="16.4" hidden="false" customHeight="false" outlineLevel="0" collapsed="false">
      <c r="A567" s="4" t="s">
        <v>2036</v>
      </c>
      <c r="B567" s="6" t="n">
        <v>46173</v>
      </c>
      <c r="C567" s="4" t="s">
        <v>701</v>
      </c>
      <c r="D567" s="4" t="s">
        <v>280</v>
      </c>
      <c r="E567" s="4" t="s">
        <v>12</v>
      </c>
      <c r="F567" s="4" t="s">
        <v>19</v>
      </c>
      <c r="G567" s="4" t="n">
        <v>8</v>
      </c>
      <c r="H567" s="5" t="n">
        <v>942.95</v>
      </c>
      <c r="I567" s="5" t="n">
        <v>575.86</v>
      </c>
      <c r="J567" s="9" t="n">
        <v>0</v>
      </c>
      <c r="K567" s="5" t="n">
        <f aca="false">G567*H567*(1-J567)</f>
        <v>7543.6</v>
      </c>
      <c r="L567" s="5" t="n">
        <f aca="false">K567-(G567*I567)</f>
        <v>2936.72</v>
      </c>
    </row>
    <row r="568" customFormat="false" ht="16.4" hidden="false" customHeight="false" outlineLevel="0" collapsed="false">
      <c r="A568" s="4" t="s">
        <v>2037</v>
      </c>
      <c r="B568" s="6" t="n">
        <v>45973</v>
      </c>
      <c r="C568" s="4" t="s">
        <v>865</v>
      </c>
      <c r="D568" s="4" t="s">
        <v>226</v>
      </c>
      <c r="E568" s="4" t="s">
        <v>30</v>
      </c>
      <c r="F568" s="4" t="s">
        <v>19</v>
      </c>
      <c r="G568" s="4" t="n">
        <v>6</v>
      </c>
      <c r="H568" s="5" t="n">
        <v>799.15</v>
      </c>
      <c r="I568" s="5" t="n">
        <v>370.42</v>
      </c>
      <c r="J568" s="9" t="n">
        <v>0.1</v>
      </c>
      <c r="K568" s="5" t="n">
        <f aca="false">G568*H568*(1-J568)</f>
        <v>4315.41</v>
      </c>
      <c r="L568" s="5" t="n">
        <f aca="false">K568-(G568*I568)</f>
        <v>2092.89</v>
      </c>
    </row>
    <row r="569" customFormat="false" ht="16.4" hidden="false" customHeight="false" outlineLevel="0" collapsed="false">
      <c r="A569" s="4" t="s">
        <v>2038</v>
      </c>
      <c r="B569" s="6" t="n">
        <v>45358</v>
      </c>
      <c r="C569" s="4" t="s">
        <v>929</v>
      </c>
      <c r="D569" s="4" t="s">
        <v>206</v>
      </c>
      <c r="E569" s="4" t="s">
        <v>18</v>
      </c>
      <c r="F569" s="4" t="s">
        <v>25</v>
      </c>
      <c r="G569" s="4" t="n">
        <v>16</v>
      </c>
      <c r="H569" s="5" t="n">
        <v>152.37</v>
      </c>
      <c r="I569" s="5" t="n">
        <v>79.82</v>
      </c>
      <c r="J569" s="9" t="n">
        <v>0</v>
      </c>
      <c r="K569" s="5" t="n">
        <f aca="false">G569*H569*(1-J569)</f>
        <v>2437.92</v>
      </c>
      <c r="L569" s="5" t="n">
        <f aca="false">K569-(G569*I569)</f>
        <v>1160.8</v>
      </c>
    </row>
    <row r="570" customFormat="false" ht="16.4" hidden="false" customHeight="false" outlineLevel="0" collapsed="false">
      <c r="A570" s="4" t="s">
        <v>2039</v>
      </c>
      <c r="B570" s="6" t="n">
        <v>46158</v>
      </c>
      <c r="C570" s="4" t="s">
        <v>823</v>
      </c>
      <c r="D570" s="4" t="s">
        <v>96</v>
      </c>
      <c r="E570" s="4" t="s">
        <v>30</v>
      </c>
      <c r="F570" s="4" t="s">
        <v>13</v>
      </c>
      <c r="G570" s="4" t="n">
        <v>16</v>
      </c>
      <c r="H570" s="5" t="n">
        <v>1145.36</v>
      </c>
      <c r="I570" s="5" t="n">
        <v>823.48</v>
      </c>
      <c r="J570" s="9" t="n">
        <v>0.05</v>
      </c>
      <c r="K570" s="5" t="n">
        <f aca="false">G570*H570*(1-J570)</f>
        <v>17409.472</v>
      </c>
      <c r="L570" s="5" t="n">
        <f aca="false">K570-(G570*I570)</f>
        <v>4233.792</v>
      </c>
    </row>
    <row r="571" customFormat="false" ht="16.4" hidden="false" customHeight="false" outlineLevel="0" collapsed="false">
      <c r="A571" s="4" t="s">
        <v>2040</v>
      </c>
      <c r="B571" s="6" t="n">
        <v>45880</v>
      </c>
      <c r="C571" s="4" t="s">
        <v>1251</v>
      </c>
      <c r="D571" s="4" t="s">
        <v>184</v>
      </c>
      <c r="E571" s="4" t="s">
        <v>24</v>
      </c>
      <c r="F571" s="4" t="s">
        <v>13</v>
      </c>
      <c r="G571" s="4" t="n">
        <v>12</v>
      </c>
      <c r="H571" s="5" t="n">
        <v>453.47</v>
      </c>
      <c r="I571" s="5" t="n">
        <v>327.97</v>
      </c>
      <c r="J571" s="9" t="n">
        <v>0.08</v>
      </c>
      <c r="K571" s="5" t="n">
        <f aca="false">G571*H571*(1-J571)</f>
        <v>5006.3088</v>
      </c>
      <c r="L571" s="5" t="n">
        <f aca="false">K571-(G571*I571)</f>
        <v>1070.6688</v>
      </c>
    </row>
    <row r="572" customFormat="false" ht="16.4" hidden="false" customHeight="false" outlineLevel="0" collapsed="false">
      <c r="A572" s="4" t="s">
        <v>2041</v>
      </c>
      <c r="B572" s="6" t="n">
        <v>46023</v>
      </c>
      <c r="C572" s="4" t="s">
        <v>569</v>
      </c>
      <c r="D572" s="4" t="s">
        <v>300</v>
      </c>
      <c r="E572" s="4" t="s">
        <v>18</v>
      </c>
      <c r="F572" s="4" t="s">
        <v>7</v>
      </c>
      <c r="G572" s="4" t="n">
        <v>13</v>
      </c>
      <c r="H572" s="5" t="n">
        <v>771.81</v>
      </c>
      <c r="I572" s="5" t="n">
        <v>525.98</v>
      </c>
      <c r="J572" s="9" t="n">
        <v>0.15</v>
      </c>
      <c r="K572" s="5" t="n">
        <f aca="false">G572*H572*(1-J572)</f>
        <v>8528.5005</v>
      </c>
      <c r="L572" s="5" t="n">
        <f aca="false">K572-(G572*I572)</f>
        <v>1690.7605</v>
      </c>
    </row>
    <row r="573" customFormat="false" ht="16.4" hidden="false" customHeight="false" outlineLevel="0" collapsed="false">
      <c r="A573" s="4" t="s">
        <v>2042</v>
      </c>
      <c r="B573" s="6" t="n">
        <v>46103</v>
      </c>
      <c r="C573" s="4" t="s">
        <v>1033</v>
      </c>
      <c r="D573" s="4" t="s">
        <v>206</v>
      </c>
      <c r="E573" s="4" t="s">
        <v>18</v>
      </c>
      <c r="F573" s="4" t="s">
        <v>19</v>
      </c>
      <c r="G573" s="4" t="n">
        <v>21</v>
      </c>
      <c r="H573" s="5" t="n">
        <v>152.37</v>
      </c>
      <c r="I573" s="5" t="n">
        <v>79.82</v>
      </c>
      <c r="J573" s="9" t="n">
        <v>0</v>
      </c>
      <c r="K573" s="5" t="n">
        <f aca="false">G573*H573*(1-J573)</f>
        <v>3199.77</v>
      </c>
      <c r="L573" s="5" t="n">
        <f aca="false">K573-(G573*I573)</f>
        <v>1523.55</v>
      </c>
    </row>
    <row r="574" customFormat="false" ht="16.4" hidden="false" customHeight="false" outlineLevel="0" collapsed="false">
      <c r="A574" s="4" t="s">
        <v>2043</v>
      </c>
      <c r="B574" s="6" t="n">
        <v>45715</v>
      </c>
      <c r="C574" s="4" t="s">
        <v>937</v>
      </c>
      <c r="D574" s="4" t="s">
        <v>312</v>
      </c>
      <c r="E574" s="4" t="s">
        <v>6</v>
      </c>
      <c r="F574" s="4" t="s">
        <v>13</v>
      </c>
      <c r="G574" s="4" t="n">
        <v>13</v>
      </c>
      <c r="H574" s="5" t="n">
        <v>238.66</v>
      </c>
      <c r="I574" s="5" t="n">
        <v>103.78</v>
      </c>
      <c r="J574" s="9" t="n">
        <v>0.08</v>
      </c>
      <c r="K574" s="5" t="n">
        <f aca="false">G574*H574*(1-J574)</f>
        <v>2854.3736</v>
      </c>
      <c r="L574" s="5" t="n">
        <f aca="false">K574-(G574*I574)</f>
        <v>1505.2336</v>
      </c>
    </row>
    <row r="575" customFormat="false" ht="16.4" hidden="false" customHeight="false" outlineLevel="0" collapsed="false">
      <c r="A575" s="4" t="s">
        <v>2044</v>
      </c>
      <c r="B575" s="6" t="n">
        <v>45785</v>
      </c>
      <c r="C575" s="4" t="s">
        <v>713</v>
      </c>
      <c r="D575" s="4" t="s">
        <v>356</v>
      </c>
      <c r="E575" s="4" t="s">
        <v>6</v>
      </c>
      <c r="F575" s="4" t="s">
        <v>25</v>
      </c>
      <c r="G575" s="4" t="n">
        <v>18</v>
      </c>
      <c r="H575" s="5" t="n">
        <v>835.01</v>
      </c>
      <c r="I575" s="5" t="n">
        <v>449.21</v>
      </c>
      <c r="J575" s="9" t="n">
        <v>0</v>
      </c>
      <c r="K575" s="5" t="n">
        <f aca="false">G575*H575*(1-J575)</f>
        <v>15030.18</v>
      </c>
      <c r="L575" s="5" t="n">
        <f aca="false">K575-(G575*I575)</f>
        <v>6944.4</v>
      </c>
    </row>
    <row r="576" customFormat="false" ht="16.4" hidden="false" customHeight="false" outlineLevel="0" collapsed="false">
      <c r="A576" s="4" t="s">
        <v>2045</v>
      </c>
      <c r="B576" s="6" t="n">
        <v>46002</v>
      </c>
      <c r="C576" s="4" t="s">
        <v>813</v>
      </c>
      <c r="D576" s="4" t="s">
        <v>72</v>
      </c>
      <c r="E576" s="4" t="s">
        <v>30</v>
      </c>
      <c r="F576" s="4" t="s">
        <v>25</v>
      </c>
      <c r="G576" s="4" t="n">
        <v>7</v>
      </c>
      <c r="H576" s="5" t="n">
        <v>496.37</v>
      </c>
      <c r="I576" s="5" t="n">
        <v>186.87</v>
      </c>
      <c r="J576" s="9" t="n">
        <v>0.15</v>
      </c>
      <c r="K576" s="5" t="n">
        <f aca="false">G576*H576*(1-J576)</f>
        <v>2953.4015</v>
      </c>
      <c r="L576" s="5" t="n">
        <f aca="false">K576-(G576*I576)</f>
        <v>1645.3115</v>
      </c>
    </row>
    <row r="577" customFormat="false" ht="16.4" hidden="false" customHeight="false" outlineLevel="0" collapsed="false">
      <c r="A577" s="4" t="s">
        <v>2046</v>
      </c>
      <c r="B577" s="6" t="n">
        <v>46002</v>
      </c>
      <c r="C577" s="4" t="s">
        <v>1045</v>
      </c>
      <c r="D577" s="4" t="s">
        <v>262</v>
      </c>
      <c r="E577" s="4" t="s">
        <v>12</v>
      </c>
      <c r="F577" s="4" t="s">
        <v>13</v>
      </c>
      <c r="G577" s="4" t="n">
        <v>11</v>
      </c>
      <c r="H577" s="5" t="n">
        <v>1027.8</v>
      </c>
      <c r="I577" s="5" t="n">
        <v>751.7</v>
      </c>
      <c r="J577" s="9" t="n">
        <v>0.08</v>
      </c>
      <c r="K577" s="5" t="n">
        <f aca="false">G577*H577*(1-J577)</f>
        <v>10401.336</v>
      </c>
      <c r="L577" s="5" t="n">
        <f aca="false">K577-(G577*I577)</f>
        <v>2132.636</v>
      </c>
    </row>
    <row r="578" customFormat="false" ht="16.4" hidden="false" customHeight="false" outlineLevel="0" collapsed="false">
      <c r="A578" s="4" t="s">
        <v>2047</v>
      </c>
      <c r="B578" s="6" t="n">
        <v>46049</v>
      </c>
      <c r="C578" s="4" t="s">
        <v>1143</v>
      </c>
      <c r="D578" s="4" t="s">
        <v>128</v>
      </c>
      <c r="E578" s="4" t="s">
        <v>12</v>
      </c>
      <c r="F578" s="4" t="s">
        <v>25</v>
      </c>
      <c r="G578" s="4" t="n">
        <v>22</v>
      </c>
      <c r="H578" s="5" t="n">
        <v>248.5</v>
      </c>
      <c r="I578" s="5" t="n">
        <v>131.57</v>
      </c>
      <c r="J578" s="9" t="n">
        <v>0</v>
      </c>
      <c r="K578" s="5" t="n">
        <f aca="false">G578*H578*(1-J578)</f>
        <v>5467</v>
      </c>
      <c r="L578" s="5" t="n">
        <f aca="false">K578-(G578*I578)</f>
        <v>2572.46</v>
      </c>
    </row>
    <row r="579" customFormat="false" ht="16.4" hidden="false" customHeight="false" outlineLevel="0" collapsed="false">
      <c r="A579" s="4" t="s">
        <v>2048</v>
      </c>
      <c r="B579" s="6" t="n">
        <v>45625</v>
      </c>
      <c r="C579" s="4" t="s">
        <v>1071</v>
      </c>
      <c r="D579" s="4" t="s">
        <v>98</v>
      </c>
      <c r="E579" s="4" t="s">
        <v>18</v>
      </c>
      <c r="F579" s="4" t="s">
        <v>7</v>
      </c>
      <c r="G579" s="4" t="n">
        <v>20</v>
      </c>
      <c r="H579" s="5" t="n">
        <v>47.89</v>
      </c>
      <c r="I579" s="5" t="n">
        <v>34.56</v>
      </c>
      <c r="J579" s="9" t="n">
        <v>0.05</v>
      </c>
      <c r="K579" s="5" t="n">
        <f aca="false">G579*H579*(1-J579)</f>
        <v>909.91</v>
      </c>
      <c r="L579" s="5" t="n">
        <f aca="false">K579-(G579*I579)</f>
        <v>218.71</v>
      </c>
    </row>
    <row r="580" customFormat="false" ht="16.4" hidden="false" customHeight="false" outlineLevel="0" collapsed="false">
      <c r="A580" s="4" t="s">
        <v>2049</v>
      </c>
      <c r="B580" s="6" t="n">
        <v>45363</v>
      </c>
      <c r="C580" s="4" t="s">
        <v>645</v>
      </c>
      <c r="D580" s="4" t="s">
        <v>266</v>
      </c>
      <c r="E580" s="4" t="s">
        <v>6</v>
      </c>
      <c r="F580" s="4" t="s">
        <v>7</v>
      </c>
      <c r="G580" s="4" t="n">
        <v>10</v>
      </c>
      <c r="H580" s="5" t="n">
        <v>810.93</v>
      </c>
      <c r="I580" s="5" t="n">
        <v>542.72</v>
      </c>
      <c r="J580" s="9" t="n">
        <v>0.05</v>
      </c>
      <c r="K580" s="5" t="n">
        <f aca="false">G580*H580*(1-J580)</f>
        <v>7703.835</v>
      </c>
      <c r="L580" s="5" t="n">
        <f aca="false">K580-(G580*I580)</f>
        <v>2276.635</v>
      </c>
    </row>
    <row r="581" customFormat="false" ht="16.4" hidden="false" customHeight="false" outlineLevel="0" collapsed="false">
      <c r="A581" s="4" t="s">
        <v>2050</v>
      </c>
      <c r="B581" s="6" t="n">
        <v>46131</v>
      </c>
      <c r="C581" s="4" t="s">
        <v>1297</v>
      </c>
      <c r="D581" s="4" t="s">
        <v>390</v>
      </c>
      <c r="E581" s="4" t="s">
        <v>12</v>
      </c>
      <c r="F581" s="4" t="s">
        <v>25</v>
      </c>
      <c r="G581" s="4" t="n">
        <v>20</v>
      </c>
      <c r="H581" s="5" t="n">
        <v>917.99</v>
      </c>
      <c r="I581" s="5" t="n">
        <v>396.04</v>
      </c>
      <c r="J581" s="9" t="n">
        <v>0.15</v>
      </c>
      <c r="K581" s="5" t="n">
        <f aca="false">G581*H581*(1-J581)</f>
        <v>15605.83</v>
      </c>
      <c r="L581" s="5" t="n">
        <f aca="false">K581-(G581*I581)</f>
        <v>7685.03</v>
      </c>
    </row>
    <row r="582" customFormat="false" ht="16.4" hidden="false" customHeight="false" outlineLevel="0" collapsed="false">
      <c r="A582" s="4" t="s">
        <v>2051</v>
      </c>
      <c r="B582" s="6" t="n">
        <v>45354</v>
      </c>
      <c r="C582" s="4" t="s">
        <v>971</v>
      </c>
      <c r="D582" s="4" t="s">
        <v>206</v>
      </c>
      <c r="E582" s="4" t="s">
        <v>18</v>
      </c>
      <c r="F582" s="4" t="s">
        <v>7</v>
      </c>
      <c r="G582" s="4" t="n">
        <v>21</v>
      </c>
      <c r="H582" s="5" t="n">
        <v>152.37</v>
      </c>
      <c r="I582" s="5" t="n">
        <v>79.82</v>
      </c>
      <c r="J582" s="9" t="n">
        <v>0.1</v>
      </c>
      <c r="K582" s="5" t="n">
        <f aca="false">G582*H582*(1-J582)</f>
        <v>2879.793</v>
      </c>
      <c r="L582" s="5" t="n">
        <f aca="false">K582-(G582*I582)</f>
        <v>1203.573</v>
      </c>
    </row>
    <row r="583" customFormat="false" ht="16.4" hidden="false" customHeight="false" outlineLevel="0" collapsed="false">
      <c r="A583" s="4" t="s">
        <v>2052</v>
      </c>
      <c r="B583" s="6" t="n">
        <v>46065</v>
      </c>
      <c r="C583" s="4" t="s">
        <v>1301</v>
      </c>
      <c r="D583" s="4" t="s">
        <v>150</v>
      </c>
      <c r="E583" s="4" t="s">
        <v>18</v>
      </c>
      <c r="F583" s="4" t="s">
        <v>7</v>
      </c>
      <c r="G583" s="4" t="n">
        <v>5</v>
      </c>
      <c r="H583" s="5" t="n">
        <v>314.3</v>
      </c>
      <c r="I583" s="5" t="n">
        <v>184.75</v>
      </c>
      <c r="J583" s="9" t="n">
        <v>0.08</v>
      </c>
      <c r="K583" s="5" t="n">
        <f aca="false">G583*H583*(1-J583)</f>
        <v>1445.78</v>
      </c>
      <c r="L583" s="5" t="n">
        <f aca="false">K583-(G583*I583)</f>
        <v>522.03</v>
      </c>
    </row>
    <row r="584" customFormat="false" ht="16.4" hidden="false" customHeight="false" outlineLevel="0" collapsed="false">
      <c r="A584" s="4" t="s">
        <v>2053</v>
      </c>
      <c r="B584" s="6" t="n">
        <v>45755</v>
      </c>
      <c r="C584" s="4" t="s">
        <v>615</v>
      </c>
      <c r="D584" s="4" t="s">
        <v>426</v>
      </c>
      <c r="E584" s="4" t="s">
        <v>24</v>
      </c>
      <c r="F584" s="4" t="s">
        <v>19</v>
      </c>
      <c r="G584" s="4" t="n">
        <v>22</v>
      </c>
      <c r="H584" s="5" t="n">
        <v>576.65</v>
      </c>
      <c r="I584" s="5" t="n">
        <v>425.38</v>
      </c>
      <c r="J584" s="9" t="n">
        <v>0</v>
      </c>
      <c r="K584" s="5" t="n">
        <f aca="false">G584*H584*(1-J584)</f>
        <v>12686.3</v>
      </c>
      <c r="L584" s="5" t="n">
        <f aca="false">K584-(G584*I584)</f>
        <v>3327.94</v>
      </c>
    </row>
    <row r="585" customFormat="false" ht="16.4" hidden="false" customHeight="false" outlineLevel="0" collapsed="false">
      <c r="A585" s="4" t="s">
        <v>2054</v>
      </c>
      <c r="B585" s="6" t="n">
        <v>45492</v>
      </c>
      <c r="C585" s="4" t="s">
        <v>1095</v>
      </c>
      <c r="D585" s="4" t="s">
        <v>238</v>
      </c>
      <c r="E585" s="4" t="s">
        <v>6</v>
      </c>
      <c r="F585" s="4" t="s">
        <v>13</v>
      </c>
      <c r="G585" s="4" t="n">
        <v>19</v>
      </c>
      <c r="H585" s="5" t="n">
        <v>282.14</v>
      </c>
      <c r="I585" s="5" t="n">
        <v>189.5</v>
      </c>
      <c r="J585" s="9" t="n">
        <v>0.05</v>
      </c>
      <c r="K585" s="5" t="n">
        <f aca="false">G585*H585*(1-J585)</f>
        <v>5092.627</v>
      </c>
      <c r="L585" s="5" t="n">
        <f aca="false">K585-(G585*I585)</f>
        <v>1492.127</v>
      </c>
    </row>
    <row r="586" customFormat="false" ht="16.4" hidden="false" customHeight="false" outlineLevel="0" collapsed="false">
      <c r="A586" s="4" t="s">
        <v>2055</v>
      </c>
      <c r="B586" s="6" t="n">
        <v>45875</v>
      </c>
      <c r="C586" s="4" t="s">
        <v>1363</v>
      </c>
      <c r="D586" s="4" t="s">
        <v>388</v>
      </c>
      <c r="E586" s="4" t="s">
        <v>24</v>
      </c>
      <c r="F586" s="4" t="s">
        <v>19</v>
      </c>
      <c r="G586" s="4" t="n">
        <v>11</v>
      </c>
      <c r="H586" s="5" t="n">
        <v>88.69</v>
      </c>
      <c r="I586" s="5" t="n">
        <v>49.43</v>
      </c>
      <c r="J586" s="9" t="n">
        <v>0.02</v>
      </c>
      <c r="K586" s="5" t="n">
        <f aca="false">G586*H586*(1-J586)</f>
        <v>956.0782</v>
      </c>
      <c r="L586" s="5" t="n">
        <f aca="false">K586-(G586*I586)</f>
        <v>412.3482</v>
      </c>
    </row>
    <row r="587" customFormat="false" ht="16.4" hidden="false" customHeight="false" outlineLevel="0" collapsed="false">
      <c r="A587" s="4" t="s">
        <v>2056</v>
      </c>
      <c r="B587" s="6" t="n">
        <v>45888</v>
      </c>
      <c r="C587" s="4" t="s">
        <v>1199</v>
      </c>
      <c r="D587" s="4" t="s">
        <v>262</v>
      </c>
      <c r="E587" s="4" t="s">
        <v>12</v>
      </c>
      <c r="F587" s="4" t="s">
        <v>7</v>
      </c>
      <c r="G587" s="4" t="n">
        <v>12</v>
      </c>
      <c r="H587" s="5" t="n">
        <v>1027.8</v>
      </c>
      <c r="I587" s="5" t="n">
        <v>751.7</v>
      </c>
      <c r="J587" s="9" t="n">
        <v>0</v>
      </c>
      <c r="K587" s="5" t="n">
        <f aca="false">G587*H587*(1-J587)</f>
        <v>12333.6</v>
      </c>
      <c r="L587" s="5" t="n">
        <f aca="false">K587-(G587*I587)</f>
        <v>3313.2</v>
      </c>
    </row>
    <row r="588" customFormat="false" ht="16.4" hidden="false" customHeight="false" outlineLevel="0" collapsed="false">
      <c r="A588" s="4" t="s">
        <v>2057</v>
      </c>
      <c r="B588" s="6" t="n">
        <v>45422</v>
      </c>
      <c r="C588" s="4" t="s">
        <v>987</v>
      </c>
      <c r="D588" s="4" t="s">
        <v>352</v>
      </c>
      <c r="E588" s="4" t="s">
        <v>12</v>
      </c>
      <c r="F588" s="4" t="s">
        <v>19</v>
      </c>
      <c r="G588" s="4" t="n">
        <v>13</v>
      </c>
      <c r="H588" s="5" t="n">
        <v>759.98</v>
      </c>
      <c r="I588" s="5" t="n">
        <v>346.44</v>
      </c>
      <c r="J588" s="9" t="n">
        <v>0.15</v>
      </c>
      <c r="K588" s="5" t="n">
        <f aca="false">G588*H588*(1-J588)</f>
        <v>8397.779</v>
      </c>
      <c r="L588" s="5" t="n">
        <f aca="false">K588-(G588*I588)</f>
        <v>3894.059</v>
      </c>
    </row>
    <row r="589" customFormat="false" ht="16.4" hidden="false" customHeight="false" outlineLevel="0" collapsed="false">
      <c r="A589" s="4" t="s">
        <v>2058</v>
      </c>
      <c r="B589" s="6" t="n">
        <v>45292</v>
      </c>
      <c r="C589" s="4" t="s">
        <v>843</v>
      </c>
      <c r="D589" s="4" t="s">
        <v>70</v>
      </c>
      <c r="E589" s="4" t="s">
        <v>6</v>
      </c>
      <c r="F589" s="4" t="s">
        <v>19</v>
      </c>
      <c r="G589" s="4" t="n">
        <v>18</v>
      </c>
      <c r="H589" s="5" t="n">
        <v>1015.35</v>
      </c>
      <c r="I589" s="5" t="n">
        <v>670.54</v>
      </c>
      <c r="J589" s="9" t="n">
        <v>0</v>
      </c>
      <c r="K589" s="5" t="n">
        <f aca="false">G589*H589*(1-J589)</f>
        <v>18276.3</v>
      </c>
      <c r="L589" s="5" t="n">
        <f aca="false">K589-(G589*I589)</f>
        <v>6206.58</v>
      </c>
    </row>
    <row r="590" customFormat="false" ht="16.4" hidden="false" customHeight="false" outlineLevel="0" collapsed="false">
      <c r="A590" s="4" t="s">
        <v>2059</v>
      </c>
      <c r="B590" s="6" t="n">
        <v>45323</v>
      </c>
      <c r="C590" s="4" t="s">
        <v>1345</v>
      </c>
      <c r="D590" s="4" t="s">
        <v>96</v>
      </c>
      <c r="E590" s="4" t="s">
        <v>18</v>
      </c>
      <c r="F590" s="4" t="s">
        <v>13</v>
      </c>
      <c r="G590" s="4" t="n">
        <v>10</v>
      </c>
      <c r="H590" s="5" t="n">
        <v>1145.36</v>
      </c>
      <c r="I590" s="5" t="n">
        <v>823.48</v>
      </c>
      <c r="J590" s="9" t="n">
        <v>0.15</v>
      </c>
      <c r="K590" s="5" t="n">
        <f aca="false">G590*H590*(1-J590)</f>
        <v>9735.56</v>
      </c>
      <c r="L590" s="5" t="n">
        <f aca="false">K590-(G590*I590)</f>
        <v>1500.76</v>
      </c>
    </row>
    <row r="591" customFormat="false" ht="16.4" hidden="false" customHeight="false" outlineLevel="0" collapsed="false">
      <c r="A591" s="4" t="s">
        <v>2060</v>
      </c>
      <c r="B591" s="6" t="n">
        <v>45932</v>
      </c>
      <c r="C591" s="4" t="s">
        <v>1183</v>
      </c>
      <c r="D591" s="4" t="s">
        <v>260</v>
      </c>
      <c r="E591" s="4" t="s">
        <v>30</v>
      </c>
      <c r="F591" s="4" t="s">
        <v>19</v>
      </c>
      <c r="G591" s="4" t="n">
        <v>19</v>
      </c>
      <c r="H591" s="5" t="n">
        <v>471.95</v>
      </c>
      <c r="I591" s="5" t="n">
        <v>166.3</v>
      </c>
      <c r="J591" s="9" t="n">
        <v>0.05</v>
      </c>
      <c r="K591" s="5" t="n">
        <f aca="false">G591*H591*(1-J591)</f>
        <v>8518.6975</v>
      </c>
      <c r="L591" s="5" t="n">
        <f aca="false">K591-(G591*I591)</f>
        <v>5358.9975</v>
      </c>
    </row>
    <row r="592" customFormat="false" ht="16.4" hidden="false" customHeight="false" outlineLevel="0" collapsed="false">
      <c r="A592" s="4" t="s">
        <v>2061</v>
      </c>
      <c r="B592" s="6" t="n">
        <v>45737</v>
      </c>
      <c r="C592" s="4" t="s">
        <v>855</v>
      </c>
      <c r="D592" s="4" t="s">
        <v>404</v>
      </c>
      <c r="E592" s="4" t="s">
        <v>24</v>
      </c>
      <c r="F592" s="4" t="s">
        <v>13</v>
      </c>
      <c r="G592" s="4" t="n">
        <v>13</v>
      </c>
      <c r="H592" s="5" t="n">
        <v>622.18</v>
      </c>
      <c r="I592" s="5" t="n">
        <v>436.6</v>
      </c>
      <c r="J592" s="9" t="n">
        <v>0.05</v>
      </c>
      <c r="K592" s="5" t="n">
        <f aca="false">G592*H592*(1-J592)</f>
        <v>7683.923</v>
      </c>
      <c r="L592" s="5" t="n">
        <f aca="false">K592-(G592*I592)</f>
        <v>2008.123</v>
      </c>
    </row>
    <row r="593" customFormat="false" ht="16.4" hidden="false" customHeight="false" outlineLevel="0" collapsed="false">
      <c r="A593" s="4" t="s">
        <v>2062</v>
      </c>
      <c r="B593" s="6" t="n">
        <v>45484</v>
      </c>
      <c r="C593" s="4" t="s">
        <v>641</v>
      </c>
      <c r="D593" s="4" t="s">
        <v>378</v>
      </c>
      <c r="E593" s="4" t="s">
        <v>6</v>
      </c>
      <c r="F593" s="4" t="s">
        <v>25</v>
      </c>
      <c r="G593" s="4" t="n">
        <v>16</v>
      </c>
      <c r="H593" s="5" t="n">
        <v>1163.64</v>
      </c>
      <c r="I593" s="5" t="n">
        <v>626.04</v>
      </c>
      <c r="J593" s="9" t="n">
        <v>0</v>
      </c>
      <c r="K593" s="5" t="n">
        <f aca="false">G593*H593*(1-J593)</f>
        <v>18618.24</v>
      </c>
      <c r="L593" s="5" t="n">
        <f aca="false">K593-(G593*I593)</f>
        <v>8601.6</v>
      </c>
    </row>
    <row r="594" customFormat="false" ht="16.4" hidden="false" customHeight="false" outlineLevel="0" collapsed="false">
      <c r="A594" s="4" t="s">
        <v>2063</v>
      </c>
      <c r="B594" s="6" t="n">
        <v>45587</v>
      </c>
      <c r="C594" s="4" t="s">
        <v>1325</v>
      </c>
      <c r="D594" s="4" t="s">
        <v>224</v>
      </c>
      <c r="E594" s="4" t="s">
        <v>6</v>
      </c>
      <c r="F594" s="4" t="s">
        <v>13</v>
      </c>
      <c r="G594" s="4" t="n">
        <v>14</v>
      </c>
      <c r="H594" s="5" t="n">
        <v>544.1</v>
      </c>
      <c r="I594" s="5" t="n">
        <v>337.48</v>
      </c>
      <c r="J594" s="9" t="n">
        <v>0</v>
      </c>
      <c r="K594" s="5" t="n">
        <f aca="false">G594*H594*(1-J594)</f>
        <v>7617.4</v>
      </c>
      <c r="L594" s="5" t="n">
        <f aca="false">K594-(G594*I594)</f>
        <v>2892.68</v>
      </c>
    </row>
    <row r="595" customFormat="false" ht="16.4" hidden="false" customHeight="false" outlineLevel="0" collapsed="false">
      <c r="A595" s="4" t="s">
        <v>2064</v>
      </c>
      <c r="B595" s="6" t="n">
        <v>45308</v>
      </c>
      <c r="C595" s="4" t="s">
        <v>463</v>
      </c>
      <c r="D595" s="4" t="s">
        <v>108</v>
      </c>
      <c r="E595" s="4" t="s">
        <v>6</v>
      </c>
      <c r="F595" s="4" t="s">
        <v>13</v>
      </c>
      <c r="G595" s="4" t="n">
        <v>3</v>
      </c>
      <c r="H595" s="5" t="n">
        <v>493.82</v>
      </c>
      <c r="I595" s="5" t="n">
        <v>305.51</v>
      </c>
      <c r="J595" s="9" t="n">
        <v>0.1</v>
      </c>
      <c r="K595" s="5" t="n">
        <f aca="false">G595*H595*(1-J595)</f>
        <v>1333.314</v>
      </c>
      <c r="L595" s="5" t="n">
        <f aca="false">K595-(G595*I595)</f>
        <v>416.784</v>
      </c>
    </row>
    <row r="596" customFormat="false" ht="16.4" hidden="false" customHeight="false" outlineLevel="0" collapsed="false">
      <c r="A596" s="4" t="s">
        <v>2065</v>
      </c>
      <c r="B596" s="6" t="n">
        <v>45739</v>
      </c>
      <c r="C596" s="4" t="s">
        <v>1371</v>
      </c>
      <c r="D596" s="4" t="s">
        <v>408</v>
      </c>
      <c r="E596" s="4" t="s">
        <v>6</v>
      </c>
      <c r="F596" s="4" t="s">
        <v>13</v>
      </c>
      <c r="G596" s="4" t="n">
        <v>16</v>
      </c>
      <c r="H596" s="5" t="n">
        <v>357.34</v>
      </c>
      <c r="I596" s="5" t="n">
        <v>167.74</v>
      </c>
      <c r="J596" s="9" t="n">
        <v>0.1</v>
      </c>
      <c r="K596" s="5" t="n">
        <f aca="false">G596*H596*(1-J596)</f>
        <v>5145.696</v>
      </c>
      <c r="L596" s="5" t="n">
        <f aca="false">K596-(G596*I596)</f>
        <v>2461.856</v>
      </c>
    </row>
    <row r="597" customFormat="false" ht="16.4" hidden="false" customHeight="false" outlineLevel="0" collapsed="false">
      <c r="A597" s="4" t="s">
        <v>2066</v>
      </c>
      <c r="B597" s="6" t="n">
        <v>45717</v>
      </c>
      <c r="C597" s="4" t="s">
        <v>605</v>
      </c>
      <c r="D597" s="4" t="s">
        <v>82</v>
      </c>
      <c r="E597" s="4" t="s">
        <v>12</v>
      </c>
      <c r="F597" s="4" t="s">
        <v>25</v>
      </c>
      <c r="G597" s="4" t="n">
        <v>21</v>
      </c>
      <c r="H597" s="5" t="n">
        <v>762.25</v>
      </c>
      <c r="I597" s="5" t="n">
        <v>508.29</v>
      </c>
      <c r="J597" s="9" t="n">
        <v>0.15</v>
      </c>
      <c r="K597" s="5" t="n">
        <f aca="false">G597*H597*(1-J597)</f>
        <v>13606.1625</v>
      </c>
      <c r="L597" s="5" t="n">
        <f aca="false">K597-(G597*I597)</f>
        <v>2932.0725</v>
      </c>
    </row>
    <row r="598" customFormat="false" ht="16.4" hidden="false" customHeight="false" outlineLevel="0" collapsed="false">
      <c r="A598" s="4" t="s">
        <v>2067</v>
      </c>
      <c r="B598" s="6" t="n">
        <v>45476</v>
      </c>
      <c r="C598" s="4" t="s">
        <v>1083</v>
      </c>
      <c r="D598" s="4" t="s">
        <v>396</v>
      </c>
      <c r="E598" s="4" t="s">
        <v>12</v>
      </c>
      <c r="F598" s="4" t="s">
        <v>25</v>
      </c>
      <c r="G598" s="4" t="n">
        <v>14</v>
      </c>
      <c r="H598" s="5" t="n">
        <v>504.39</v>
      </c>
      <c r="I598" s="5" t="n">
        <v>221.87</v>
      </c>
      <c r="J598" s="9" t="n">
        <v>0.08</v>
      </c>
      <c r="K598" s="5" t="n">
        <f aca="false">G598*H598*(1-J598)</f>
        <v>6496.5432</v>
      </c>
      <c r="L598" s="5" t="n">
        <f aca="false">K598-(G598*I598)</f>
        <v>3390.3632</v>
      </c>
    </row>
    <row r="599" customFormat="false" ht="16.4" hidden="false" customHeight="false" outlineLevel="0" collapsed="false">
      <c r="A599" s="4" t="s">
        <v>2068</v>
      </c>
      <c r="B599" s="6" t="n">
        <v>45752</v>
      </c>
      <c r="C599" s="4" t="s">
        <v>899</v>
      </c>
      <c r="D599" s="4" t="s">
        <v>300</v>
      </c>
      <c r="E599" s="4" t="s">
        <v>18</v>
      </c>
      <c r="F599" s="4" t="s">
        <v>25</v>
      </c>
      <c r="G599" s="4" t="n">
        <v>18</v>
      </c>
      <c r="H599" s="5" t="n">
        <v>771.81</v>
      </c>
      <c r="I599" s="5" t="n">
        <v>525.98</v>
      </c>
      <c r="J599" s="9" t="n">
        <v>0.15</v>
      </c>
      <c r="K599" s="5" t="n">
        <f aca="false">G599*H599*(1-J599)</f>
        <v>11808.693</v>
      </c>
      <c r="L599" s="5" t="n">
        <f aca="false">K599-(G599*I599)</f>
        <v>2341.053</v>
      </c>
    </row>
    <row r="600" customFormat="false" ht="16.4" hidden="false" customHeight="false" outlineLevel="0" collapsed="false">
      <c r="A600" s="4" t="s">
        <v>2069</v>
      </c>
      <c r="B600" s="6" t="n">
        <v>45911</v>
      </c>
      <c r="C600" s="4" t="s">
        <v>695</v>
      </c>
      <c r="D600" s="4" t="s">
        <v>220</v>
      </c>
      <c r="E600" s="4" t="s">
        <v>30</v>
      </c>
      <c r="F600" s="4" t="s">
        <v>7</v>
      </c>
      <c r="G600" s="4" t="n">
        <v>6</v>
      </c>
      <c r="H600" s="5" t="n">
        <v>693.7</v>
      </c>
      <c r="I600" s="5" t="n">
        <v>355.47</v>
      </c>
      <c r="J600" s="9" t="n">
        <v>0.05</v>
      </c>
      <c r="K600" s="5" t="n">
        <f aca="false">G600*H600*(1-J600)</f>
        <v>3954.09</v>
      </c>
      <c r="L600" s="5" t="n">
        <f aca="false">K600-(G600*I600)</f>
        <v>1821.27</v>
      </c>
    </row>
    <row r="601" customFormat="false" ht="16.4" hidden="false" customHeight="false" outlineLevel="0" collapsed="false">
      <c r="A601" s="4" t="s">
        <v>2070</v>
      </c>
      <c r="B601" s="6" t="n">
        <v>46021</v>
      </c>
      <c r="C601" s="4" t="s">
        <v>975</v>
      </c>
      <c r="D601" s="4" t="s">
        <v>334</v>
      </c>
      <c r="E601" s="4" t="s">
        <v>6</v>
      </c>
      <c r="F601" s="4" t="s">
        <v>19</v>
      </c>
      <c r="G601" s="4" t="n">
        <v>24</v>
      </c>
      <c r="H601" s="5" t="n">
        <v>41.62</v>
      </c>
      <c r="I601" s="5" t="n">
        <v>23.46</v>
      </c>
      <c r="J601" s="9" t="n">
        <v>0</v>
      </c>
      <c r="K601" s="5" t="n">
        <f aca="false">G601*H601*(1-J601)</f>
        <v>998.88</v>
      </c>
      <c r="L601" s="5" t="n">
        <f aca="false">K601-(G601*I601)</f>
        <v>435.84</v>
      </c>
    </row>
    <row r="602" customFormat="false" ht="16.4" hidden="false" customHeight="false" outlineLevel="0" collapsed="false">
      <c r="A602" s="4" t="s">
        <v>2071</v>
      </c>
      <c r="B602" s="6" t="n">
        <v>45667</v>
      </c>
      <c r="C602" s="4" t="s">
        <v>1413</v>
      </c>
      <c r="D602" s="4" t="s">
        <v>250</v>
      </c>
      <c r="E602" s="4" t="s">
        <v>18</v>
      </c>
      <c r="F602" s="4" t="s">
        <v>7</v>
      </c>
      <c r="G602" s="4" t="n">
        <v>18</v>
      </c>
      <c r="H602" s="5" t="n">
        <v>594.4</v>
      </c>
      <c r="I602" s="5" t="n">
        <v>264.92</v>
      </c>
      <c r="J602" s="9" t="n">
        <v>0.08</v>
      </c>
      <c r="K602" s="5" t="n">
        <f aca="false">G602*H602*(1-J602)</f>
        <v>9843.264</v>
      </c>
      <c r="L602" s="5" t="n">
        <f aca="false">K602-(G602*I602)</f>
        <v>5074.704</v>
      </c>
    </row>
    <row r="603" customFormat="false" ht="16.4" hidden="false" customHeight="false" outlineLevel="0" collapsed="false">
      <c r="A603" s="4" t="s">
        <v>2072</v>
      </c>
      <c r="B603" s="6" t="n">
        <v>45669</v>
      </c>
      <c r="C603" s="4" t="s">
        <v>1045</v>
      </c>
      <c r="D603" s="4" t="s">
        <v>58</v>
      </c>
      <c r="E603" s="4" t="s">
        <v>12</v>
      </c>
      <c r="F603" s="4" t="s">
        <v>7</v>
      </c>
      <c r="G603" s="4" t="n">
        <v>16</v>
      </c>
      <c r="H603" s="5" t="n">
        <v>250.94</v>
      </c>
      <c r="I603" s="5" t="n">
        <v>94.81</v>
      </c>
      <c r="J603" s="9" t="n">
        <v>0.1</v>
      </c>
      <c r="K603" s="5" t="n">
        <f aca="false">G603*H603*(1-J603)</f>
        <v>3613.536</v>
      </c>
      <c r="L603" s="5" t="n">
        <f aca="false">K603-(G603*I603)</f>
        <v>2096.576</v>
      </c>
    </row>
    <row r="604" customFormat="false" ht="16.4" hidden="false" customHeight="false" outlineLevel="0" collapsed="false">
      <c r="A604" s="4" t="s">
        <v>2073</v>
      </c>
      <c r="B604" s="6" t="n">
        <v>45437</v>
      </c>
      <c r="C604" s="4" t="s">
        <v>957</v>
      </c>
      <c r="D604" s="4" t="s">
        <v>336</v>
      </c>
      <c r="E604" s="4" t="s">
        <v>6</v>
      </c>
      <c r="F604" s="4" t="s">
        <v>19</v>
      </c>
      <c r="G604" s="4" t="n">
        <v>23</v>
      </c>
      <c r="H604" s="5" t="n">
        <v>675.2</v>
      </c>
      <c r="I604" s="5" t="n">
        <v>424.68</v>
      </c>
      <c r="J604" s="9" t="n">
        <v>0</v>
      </c>
      <c r="K604" s="5" t="n">
        <f aca="false">G604*H604*(1-J604)</f>
        <v>15529.6</v>
      </c>
      <c r="L604" s="5" t="n">
        <f aca="false">K604-(G604*I604)</f>
        <v>5761.96</v>
      </c>
    </row>
    <row r="605" customFormat="false" ht="16.4" hidden="false" customHeight="false" outlineLevel="0" collapsed="false">
      <c r="A605" s="4" t="s">
        <v>2074</v>
      </c>
      <c r="B605" s="6" t="n">
        <v>46203</v>
      </c>
      <c r="C605" s="4" t="s">
        <v>993</v>
      </c>
      <c r="D605" s="4" t="s">
        <v>278</v>
      </c>
      <c r="E605" s="4" t="s">
        <v>6</v>
      </c>
      <c r="F605" s="4" t="s">
        <v>7</v>
      </c>
      <c r="G605" s="4" t="n">
        <v>3</v>
      </c>
      <c r="H605" s="5" t="n">
        <v>47.78</v>
      </c>
      <c r="I605" s="5" t="n">
        <v>27.03</v>
      </c>
      <c r="J605" s="9" t="n">
        <v>0.08</v>
      </c>
      <c r="K605" s="5" t="n">
        <f aca="false">G605*H605*(1-J605)</f>
        <v>131.8728</v>
      </c>
      <c r="L605" s="5" t="n">
        <f aca="false">K605-(G605*I605)</f>
        <v>50.7828</v>
      </c>
    </row>
    <row r="606" customFormat="false" ht="16.4" hidden="false" customHeight="false" outlineLevel="0" collapsed="false">
      <c r="A606" s="4" t="s">
        <v>2075</v>
      </c>
      <c r="B606" s="6" t="n">
        <v>45971</v>
      </c>
      <c r="C606" s="4" t="s">
        <v>947</v>
      </c>
      <c r="D606" s="4" t="s">
        <v>164</v>
      </c>
      <c r="E606" s="4" t="s">
        <v>30</v>
      </c>
      <c r="F606" s="4" t="s">
        <v>7</v>
      </c>
      <c r="G606" s="4" t="n">
        <v>21</v>
      </c>
      <c r="H606" s="5" t="n">
        <v>1181.03</v>
      </c>
      <c r="I606" s="5" t="n">
        <v>794.64</v>
      </c>
      <c r="J606" s="9" t="n">
        <v>0.1</v>
      </c>
      <c r="K606" s="5" t="n">
        <f aca="false">G606*H606*(1-J606)</f>
        <v>22321.467</v>
      </c>
      <c r="L606" s="5" t="n">
        <f aca="false">K606-(G606*I606)</f>
        <v>5634.027</v>
      </c>
    </row>
    <row r="607" customFormat="false" ht="16.4" hidden="false" customHeight="false" outlineLevel="0" collapsed="false">
      <c r="A607" s="4" t="s">
        <v>2076</v>
      </c>
      <c r="B607" s="6" t="n">
        <v>45885</v>
      </c>
      <c r="C607" s="4" t="s">
        <v>1113</v>
      </c>
      <c r="D607" s="4" t="s">
        <v>390</v>
      </c>
      <c r="E607" s="4" t="s">
        <v>30</v>
      </c>
      <c r="F607" s="4" t="s">
        <v>19</v>
      </c>
      <c r="G607" s="4" t="n">
        <v>18</v>
      </c>
      <c r="H607" s="5" t="n">
        <v>917.99</v>
      </c>
      <c r="I607" s="5" t="n">
        <v>396.04</v>
      </c>
      <c r="J607" s="9" t="n">
        <v>0.15</v>
      </c>
      <c r="K607" s="5" t="n">
        <f aca="false">G607*H607*(1-J607)</f>
        <v>14045.247</v>
      </c>
      <c r="L607" s="5" t="n">
        <f aca="false">K607-(G607*I607)</f>
        <v>6916.527</v>
      </c>
    </row>
    <row r="608" customFormat="false" ht="16.4" hidden="false" customHeight="false" outlineLevel="0" collapsed="false">
      <c r="A608" s="4" t="s">
        <v>2077</v>
      </c>
      <c r="B608" s="6" t="n">
        <v>46089</v>
      </c>
      <c r="C608" s="4" t="s">
        <v>516</v>
      </c>
      <c r="D608" s="4" t="s">
        <v>352</v>
      </c>
      <c r="E608" s="4" t="s">
        <v>30</v>
      </c>
      <c r="F608" s="4" t="s">
        <v>7</v>
      </c>
      <c r="G608" s="4" t="n">
        <v>11</v>
      </c>
      <c r="H608" s="5" t="n">
        <v>759.98</v>
      </c>
      <c r="I608" s="5" t="n">
        <v>346.44</v>
      </c>
      <c r="J608" s="9" t="n">
        <v>0.08</v>
      </c>
      <c r="K608" s="5" t="n">
        <f aca="false">G608*H608*(1-J608)</f>
        <v>7690.9976</v>
      </c>
      <c r="L608" s="5" t="n">
        <f aca="false">K608-(G608*I608)</f>
        <v>3880.1576</v>
      </c>
    </row>
    <row r="609" customFormat="false" ht="16.4" hidden="false" customHeight="false" outlineLevel="0" collapsed="false">
      <c r="A609" s="4" t="s">
        <v>2078</v>
      </c>
      <c r="B609" s="6" t="n">
        <v>45879</v>
      </c>
      <c r="C609" s="4" t="s">
        <v>929</v>
      </c>
      <c r="D609" s="4" t="s">
        <v>280</v>
      </c>
      <c r="E609" s="4" t="s">
        <v>18</v>
      </c>
      <c r="F609" s="4" t="s">
        <v>19</v>
      </c>
      <c r="G609" s="4" t="n">
        <v>17</v>
      </c>
      <c r="H609" s="5" t="n">
        <v>942.95</v>
      </c>
      <c r="I609" s="5" t="n">
        <v>575.86</v>
      </c>
      <c r="J609" s="9" t="n">
        <v>0.05</v>
      </c>
      <c r="K609" s="5" t="n">
        <f aca="false">G609*H609*(1-J609)</f>
        <v>15228.6425</v>
      </c>
      <c r="L609" s="5" t="n">
        <f aca="false">K609-(G609*I609)</f>
        <v>5439.0225</v>
      </c>
    </row>
    <row r="610" customFormat="false" ht="16.4" hidden="false" customHeight="false" outlineLevel="0" collapsed="false">
      <c r="A610" s="4" t="s">
        <v>2079</v>
      </c>
      <c r="B610" s="6" t="n">
        <v>45463</v>
      </c>
      <c r="C610" s="4" t="s">
        <v>825</v>
      </c>
      <c r="D610" s="4" t="s">
        <v>254</v>
      </c>
      <c r="E610" s="4" t="s">
        <v>24</v>
      </c>
      <c r="F610" s="4" t="s">
        <v>7</v>
      </c>
      <c r="G610" s="4" t="n">
        <v>10</v>
      </c>
      <c r="H610" s="5" t="n">
        <v>202.23</v>
      </c>
      <c r="I610" s="5" t="n">
        <v>101.76</v>
      </c>
      <c r="J610" s="9" t="n">
        <v>0.02</v>
      </c>
      <c r="K610" s="5" t="n">
        <f aca="false">G610*H610*(1-J610)</f>
        <v>1981.854</v>
      </c>
      <c r="L610" s="5" t="n">
        <f aca="false">K610-(G610*I610)</f>
        <v>964.254</v>
      </c>
    </row>
    <row r="611" customFormat="false" ht="16.4" hidden="false" customHeight="false" outlineLevel="0" collapsed="false">
      <c r="A611" s="4" t="s">
        <v>2080</v>
      </c>
      <c r="B611" s="6" t="n">
        <v>45603</v>
      </c>
      <c r="C611" s="4" t="s">
        <v>1409</v>
      </c>
      <c r="D611" s="4" t="s">
        <v>394</v>
      </c>
      <c r="E611" s="4" t="s">
        <v>30</v>
      </c>
      <c r="F611" s="4" t="s">
        <v>19</v>
      </c>
      <c r="G611" s="4" t="n">
        <v>20</v>
      </c>
      <c r="H611" s="5" t="n">
        <v>964.19</v>
      </c>
      <c r="I611" s="5" t="n">
        <v>611.21</v>
      </c>
      <c r="J611" s="9" t="n">
        <v>0.1</v>
      </c>
      <c r="K611" s="5" t="n">
        <f aca="false">G611*H611*(1-J611)</f>
        <v>17355.42</v>
      </c>
      <c r="L611" s="5" t="n">
        <f aca="false">K611-(G611*I611)</f>
        <v>5131.22</v>
      </c>
    </row>
    <row r="612" customFormat="false" ht="16.4" hidden="false" customHeight="false" outlineLevel="0" collapsed="false">
      <c r="A612" s="4" t="s">
        <v>2081</v>
      </c>
      <c r="B612" s="6" t="n">
        <v>45465</v>
      </c>
      <c r="C612" s="4" t="s">
        <v>1109</v>
      </c>
      <c r="D612" s="4" t="s">
        <v>70</v>
      </c>
      <c r="E612" s="4" t="s">
        <v>6</v>
      </c>
      <c r="F612" s="4" t="s">
        <v>7</v>
      </c>
      <c r="G612" s="4" t="n">
        <v>16</v>
      </c>
      <c r="H612" s="5" t="n">
        <v>1015.35</v>
      </c>
      <c r="I612" s="5" t="n">
        <v>670.54</v>
      </c>
      <c r="J612" s="9" t="n">
        <v>0.08</v>
      </c>
      <c r="K612" s="5" t="n">
        <f aca="false">G612*H612*(1-J612)</f>
        <v>14945.952</v>
      </c>
      <c r="L612" s="5" t="n">
        <f aca="false">K612-(G612*I612)</f>
        <v>4217.312</v>
      </c>
    </row>
    <row r="613" customFormat="false" ht="16.4" hidden="false" customHeight="false" outlineLevel="0" collapsed="false">
      <c r="A613" s="4" t="s">
        <v>2082</v>
      </c>
      <c r="B613" s="6" t="n">
        <v>45319</v>
      </c>
      <c r="C613" s="4" t="s">
        <v>763</v>
      </c>
      <c r="D613" s="4" t="s">
        <v>376</v>
      </c>
      <c r="E613" s="4" t="s">
        <v>18</v>
      </c>
      <c r="F613" s="4" t="s">
        <v>19</v>
      </c>
      <c r="G613" s="4" t="n">
        <v>24</v>
      </c>
      <c r="H613" s="5" t="n">
        <v>790.52</v>
      </c>
      <c r="I613" s="5" t="n">
        <v>566.35</v>
      </c>
      <c r="J613" s="9" t="n">
        <v>0.08</v>
      </c>
      <c r="K613" s="5" t="n">
        <f aca="false">G613*H613*(1-J613)</f>
        <v>17454.6816</v>
      </c>
      <c r="L613" s="5" t="n">
        <f aca="false">K613-(G613*I613)</f>
        <v>3862.2816</v>
      </c>
    </row>
    <row r="614" customFormat="false" ht="16.4" hidden="false" customHeight="false" outlineLevel="0" collapsed="false">
      <c r="A614" s="4" t="s">
        <v>2083</v>
      </c>
      <c r="B614" s="6" t="n">
        <v>45370</v>
      </c>
      <c r="C614" s="4" t="s">
        <v>548</v>
      </c>
      <c r="D614" s="4" t="s">
        <v>288</v>
      </c>
      <c r="E614" s="4" t="s">
        <v>24</v>
      </c>
      <c r="F614" s="4" t="s">
        <v>19</v>
      </c>
      <c r="G614" s="4" t="n">
        <v>5</v>
      </c>
      <c r="H614" s="5" t="n">
        <v>1158.55</v>
      </c>
      <c r="I614" s="5" t="n">
        <v>455.59</v>
      </c>
      <c r="J614" s="9" t="n">
        <v>0.08</v>
      </c>
      <c r="K614" s="5" t="n">
        <f aca="false">G614*H614*(1-J614)</f>
        <v>5329.33</v>
      </c>
      <c r="L614" s="5" t="n">
        <f aca="false">K614-(G614*I614)</f>
        <v>3051.38</v>
      </c>
    </row>
    <row r="615" customFormat="false" ht="16.4" hidden="false" customHeight="false" outlineLevel="0" collapsed="false">
      <c r="A615" s="4" t="s">
        <v>2084</v>
      </c>
      <c r="B615" s="6" t="n">
        <v>45573</v>
      </c>
      <c r="C615" s="4" t="s">
        <v>599</v>
      </c>
      <c r="D615" s="4" t="s">
        <v>168</v>
      </c>
      <c r="E615" s="4" t="s">
        <v>24</v>
      </c>
      <c r="F615" s="4" t="s">
        <v>19</v>
      </c>
      <c r="G615" s="4" t="n">
        <v>20</v>
      </c>
      <c r="H615" s="5" t="n">
        <v>160.63</v>
      </c>
      <c r="I615" s="5" t="n">
        <v>63.1</v>
      </c>
      <c r="J615" s="9" t="n">
        <v>0.02</v>
      </c>
      <c r="K615" s="5" t="n">
        <f aca="false">G615*H615*(1-J615)</f>
        <v>3148.348</v>
      </c>
      <c r="L615" s="5" t="n">
        <f aca="false">K615-(G615*I615)</f>
        <v>1886.348</v>
      </c>
    </row>
    <row r="616" customFormat="false" ht="16.4" hidden="false" customHeight="false" outlineLevel="0" collapsed="false">
      <c r="A616" s="4" t="s">
        <v>2085</v>
      </c>
      <c r="B616" s="6" t="n">
        <v>45470</v>
      </c>
      <c r="C616" s="4" t="s">
        <v>1223</v>
      </c>
      <c r="D616" s="4" t="s">
        <v>46</v>
      </c>
      <c r="E616" s="4" t="s">
        <v>6</v>
      </c>
      <c r="F616" s="4" t="s">
        <v>13</v>
      </c>
      <c r="G616" s="4" t="n">
        <v>4</v>
      </c>
      <c r="H616" s="5" t="n">
        <v>258.63</v>
      </c>
      <c r="I616" s="5" t="n">
        <v>157.75</v>
      </c>
      <c r="J616" s="9" t="n">
        <v>0.08</v>
      </c>
      <c r="K616" s="5" t="n">
        <f aca="false">G616*H616*(1-J616)</f>
        <v>951.7584</v>
      </c>
      <c r="L616" s="5" t="n">
        <f aca="false">K616-(G616*I616)</f>
        <v>320.7584</v>
      </c>
    </row>
    <row r="617" customFormat="false" ht="16.4" hidden="false" customHeight="false" outlineLevel="0" collapsed="false">
      <c r="A617" s="4" t="s">
        <v>2086</v>
      </c>
      <c r="B617" s="6" t="n">
        <v>45471</v>
      </c>
      <c r="C617" s="4" t="s">
        <v>921</v>
      </c>
      <c r="D617" s="4" t="s">
        <v>376</v>
      </c>
      <c r="E617" s="4" t="s">
        <v>6</v>
      </c>
      <c r="F617" s="4" t="s">
        <v>19</v>
      </c>
      <c r="G617" s="4" t="n">
        <v>12</v>
      </c>
      <c r="H617" s="5" t="n">
        <v>790.52</v>
      </c>
      <c r="I617" s="5" t="n">
        <v>566.35</v>
      </c>
      <c r="J617" s="9" t="n">
        <v>0.15</v>
      </c>
      <c r="K617" s="5" t="n">
        <f aca="false">G617*H617*(1-J617)</f>
        <v>8063.304</v>
      </c>
      <c r="L617" s="5" t="n">
        <f aca="false">K617-(G617*I617)</f>
        <v>1267.104</v>
      </c>
    </row>
    <row r="618" customFormat="false" ht="16.4" hidden="false" customHeight="false" outlineLevel="0" collapsed="false">
      <c r="A618" s="4" t="s">
        <v>2087</v>
      </c>
      <c r="B618" s="6" t="n">
        <v>46110</v>
      </c>
      <c r="C618" s="4" t="s">
        <v>705</v>
      </c>
      <c r="D618" s="4" t="s">
        <v>398</v>
      </c>
      <c r="E618" s="4" t="s">
        <v>30</v>
      </c>
      <c r="F618" s="4" t="s">
        <v>7</v>
      </c>
      <c r="G618" s="4" t="n">
        <v>16</v>
      </c>
      <c r="H618" s="5" t="n">
        <v>1137.8</v>
      </c>
      <c r="I618" s="5" t="n">
        <v>693.02</v>
      </c>
      <c r="J618" s="9" t="n">
        <v>0</v>
      </c>
      <c r="K618" s="5" t="n">
        <f aca="false">G618*H618*(1-J618)</f>
        <v>18204.8</v>
      </c>
      <c r="L618" s="5" t="n">
        <f aca="false">K618-(G618*I618)</f>
        <v>7116.48</v>
      </c>
    </row>
    <row r="619" customFormat="false" ht="16.4" hidden="false" customHeight="false" outlineLevel="0" collapsed="false">
      <c r="A619" s="4" t="s">
        <v>2088</v>
      </c>
      <c r="B619" s="6" t="n">
        <v>46133</v>
      </c>
      <c r="C619" s="4" t="s">
        <v>551</v>
      </c>
      <c r="D619" s="4" t="s">
        <v>214</v>
      </c>
      <c r="E619" s="4" t="s">
        <v>30</v>
      </c>
      <c r="F619" s="4" t="s">
        <v>13</v>
      </c>
      <c r="G619" s="4" t="n">
        <v>5</v>
      </c>
      <c r="H619" s="5" t="n">
        <v>870.71</v>
      </c>
      <c r="I619" s="5" t="n">
        <v>409.35</v>
      </c>
      <c r="J619" s="9" t="n">
        <v>0.08</v>
      </c>
      <c r="K619" s="5" t="n">
        <f aca="false">G619*H619*(1-J619)</f>
        <v>4005.266</v>
      </c>
      <c r="L619" s="5" t="n">
        <f aca="false">K619-(G619*I619)</f>
        <v>1958.516</v>
      </c>
    </row>
    <row r="620" customFormat="false" ht="16.4" hidden="false" customHeight="false" outlineLevel="0" collapsed="false">
      <c r="A620" s="4" t="s">
        <v>2089</v>
      </c>
      <c r="B620" s="6" t="n">
        <v>45684</v>
      </c>
      <c r="C620" s="4" t="s">
        <v>1235</v>
      </c>
      <c r="D620" s="4" t="s">
        <v>292</v>
      </c>
      <c r="E620" s="4" t="s">
        <v>6</v>
      </c>
      <c r="F620" s="4" t="s">
        <v>13</v>
      </c>
      <c r="G620" s="4" t="n">
        <v>14</v>
      </c>
      <c r="H620" s="5" t="n">
        <v>720.71</v>
      </c>
      <c r="I620" s="5" t="n">
        <v>491.69</v>
      </c>
      <c r="J620" s="9" t="n">
        <v>0.15</v>
      </c>
      <c r="K620" s="5" t="n">
        <f aca="false">G620*H620*(1-J620)</f>
        <v>8576.449</v>
      </c>
      <c r="L620" s="5" t="n">
        <f aca="false">K620-(G620*I620)</f>
        <v>1692.789</v>
      </c>
    </row>
    <row r="621" customFormat="false" ht="16.4" hidden="false" customHeight="false" outlineLevel="0" collapsed="false">
      <c r="A621" s="4" t="s">
        <v>2090</v>
      </c>
      <c r="B621" s="6" t="n">
        <v>45463</v>
      </c>
      <c r="C621" s="4" t="s">
        <v>915</v>
      </c>
      <c r="D621" s="4" t="s">
        <v>378</v>
      </c>
      <c r="E621" s="4" t="s">
        <v>18</v>
      </c>
      <c r="F621" s="4" t="s">
        <v>13</v>
      </c>
      <c r="G621" s="4" t="n">
        <v>24</v>
      </c>
      <c r="H621" s="5" t="n">
        <v>1163.64</v>
      </c>
      <c r="I621" s="5" t="n">
        <v>626.04</v>
      </c>
      <c r="J621" s="9" t="n">
        <v>0.1</v>
      </c>
      <c r="K621" s="5" t="n">
        <f aca="false">G621*H621*(1-J621)</f>
        <v>25134.624</v>
      </c>
      <c r="L621" s="5" t="n">
        <f aca="false">K621-(G621*I621)</f>
        <v>10109.664</v>
      </c>
    </row>
    <row r="622" customFormat="false" ht="16.4" hidden="false" customHeight="false" outlineLevel="0" collapsed="false">
      <c r="A622" s="4" t="s">
        <v>2091</v>
      </c>
      <c r="B622" s="6" t="n">
        <v>45949</v>
      </c>
      <c r="C622" s="4" t="s">
        <v>1215</v>
      </c>
      <c r="D622" s="4" t="s">
        <v>334</v>
      </c>
      <c r="E622" s="4" t="s">
        <v>18</v>
      </c>
      <c r="F622" s="4" t="s">
        <v>19</v>
      </c>
      <c r="G622" s="4" t="n">
        <v>12</v>
      </c>
      <c r="H622" s="5" t="n">
        <v>41.62</v>
      </c>
      <c r="I622" s="5" t="n">
        <v>23.46</v>
      </c>
      <c r="J622" s="9" t="n">
        <v>0</v>
      </c>
      <c r="K622" s="5" t="n">
        <f aca="false">G622*H622*(1-J622)</f>
        <v>499.44</v>
      </c>
      <c r="L622" s="5" t="n">
        <f aca="false">K622-(G622*I622)</f>
        <v>217.92</v>
      </c>
    </row>
    <row r="623" customFormat="false" ht="16.4" hidden="false" customHeight="false" outlineLevel="0" collapsed="false">
      <c r="A623" s="4" t="s">
        <v>2092</v>
      </c>
      <c r="B623" s="6" t="n">
        <v>45463</v>
      </c>
      <c r="C623" s="4" t="s">
        <v>1303</v>
      </c>
      <c r="D623" s="4" t="s">
        <v>426</v>
      </c>
      <c r="E623" s="4" t="s">
        <v>30</v>
      </c>
      <c r="F623" s="4" t="s">
        <v>25</v>
      </c>
      <c r="G623" s="4" t="n">
        <v>4</v>
      </c>
      <c r="H623" s="5" t="n">
        <v>576.65</v>
      </c>
      <c r="I623" s="5" t="n">
        <v>425.38</v>
      </c>
      <c r="J623" s="9" t="n">
        <v>0</v>
      </c>
      <c r="K623" s="5" t="n">
        <f aca="false">G623*H623*(1-J623)</f>
        <v>2306.6</v>
      </c>
      <c r="L623" s="5" t="n">
        <f aca="false">K623-(G623*I623)</f>
        <v>605.08</v>
      </c>
    </row>
    <row r="624" customFormat="false" ht="16.4" hidden="false" customHeight="false" outlineLevel="0" collapsed="false">
      <c r="A624" s="4" t="s">
        <v>2093</v>
      </c>
      <c r="B624" s="6" t="n">
        <v>46056</v>
      </c>
      <c r="C624" s="4" t="s">
        <v>951</v>
      </c>
      <c r="D624" s="4" t="s">
        <v>244</v>
      </c>
      <c r="E624" s="4" t="s">
        <v>24</v>
      </c>
      <c r="F624" s="4" t="s">
        <v>13</v>
      </c>
      <c r="G624" s="4" t="n">
        <v>10</v>
      </c>
      <c r="H624" s="5" t="n">
        <v>744.87</v>
      </c>
      <c r="I624" s="5" t="n">
        <v>475.01</v>
      </c>
      <c r="J624" s="9" t="n">
        <v>0.05</v>
      </c>
      <c r="K624" s="5" t="n">
        <f aca="false">G624*H624*(1-J624)</f>
        <v>7076.265</v>
      </c>
      <c r="L624" s="5" t="n">
        <f aca="false">K624-(G624*I624)</f>
        <v>2326.165</v>
      </c>
    </row>
    <row r="625" customFormat="false" ht="16.4" hidden="false" customHeight="false" outlineLevel="0" collapsed="false">
      <c r="A625" s="4" t="s">
        <v>2094</v>
      </c>
      <c r="B625" s="6" t="n">
        <v>45777</v>
      </c>
      <c r="C625" s="4" t="s">
        <v>1163</v>
      </c>
      <c r="D625" s="4" t="s">
        <v>234</v>
      </c>
      <c r="E625" s="4" t="s">
        <v>30</v>
      </c>
      <c r="F625" s="4" t="s">
        <v>19</v>
      </c>
      <c r="G625" s="4" t="n">
        <v>23</v>
      </c>
      <c r="H625" s="5" t="n">
        <v>253.46</v>
      </c>
      <c r="I625" s="5" t="n">
        <v>159.31</v>
      </c>
      <c r="J625" s="9" t="n">
        <v>0.05</v>
      </c>
      <c r="K625" s="5" t="n">
        <f aca="false">G625*H625*(1-J625)</f>
        <v>5538.101</v>
      </c>
      <c r="L625" s="5" t="n">
        <f aca="false">K625-(G625*I625)</f>
        <v>1873.971</v>
      </c>
    </row>
    <row r="626" customFormat="false" ht="16.4" hidden="false" customHeight="false" outlineLevel="0" collapsed="false">
      <c r="A626" s="4" t="s">
        <v>2095</v>
      </c>
      <c r="B626" s="6" t="n">
        <v>45587</v>
      </c>
      <c r="C626" s="4" t="s">
        <v>1007</v>
      </c>
      <c r="D626" s="4" t="s">
        <v>114</v>
      </c>
      <c r="E626" s="4" t="s">
        <v>30</v>
      </c>
      <c r="F626" s="4" t="s">
        <v>25</v>
      </c>
      <c r="G626" s="4" t="n">
        <v>14</v>
      </c>
      <c r="H626" s="5" t="n">
        <v>856.71</v>
      </c>
      <c r="I626" s="5" t="n">
        <v>320.02</v>
      </c>
      <c r="J626" s="9" t="n">
        <v>0</v>
      </c>
      <c r="K626" s="5" t="n">
        <f aca="false">G626*H626*(1-J626)</f>
        <v>11993.94</v>
      </c>
      <c r="L626" s="5" t="n">
        <f aca="false">K626-(G626*I626)</f>
        <v>7513.66</v>
      </c>
    </row>
    <row r="627" customFormat="false" ht="16.4" hidden="false" customHeight="false" outlineLevel="0" collapsed="false">
      <c r="A627" s="4" t="s">
        <v>2096</v>
      </c>
      <c r="B627" s="6" t="n">
        <v>45991</v>
      </c>
      <c r="C627" s="4" t="s">
        <v>1159</v>
      </c>
      <c r="D627" s="4" t="s">
        <v>234</v>
      </c>
      <c r="E627" s="4" t="s">
        <v>24</v>
      </c>
      <c r="F627" s="4" t="s">
        <v>7</v>
      </c>
      <c r="G627" s="4" t="n">
        <v>11</v>
      </c>
      <c r="H627" s="5" t="n">
        <v>253.46</v>
      </c>
      <c r="I627" s="5" t="n">
        <v>159.31</v>
      </c>
      <c r="J627" s="9" t="n">
        <v>0.08</v>
      </c>
      <c r="K627" s="5" t="n">
        <f aca="false">G627*H627*(1-J627)</f>
        <v>2565.0152</v>
      </c>
      <c r="L627" s="5" t="n">
        <f aca="false">K627-(G627*I627)</f>
        <v>812.6052</v>
      </c>
    </row>
    <row r="628" customFormat="false" ht="16.4" hidden="false" customHeight="false" outlineLevel="0" collapsed="false">
      <c r="A628" s="4" t="s">
        <v>2097</v>
      </c>
      <c r="B628" s="6" t="n">
        <v>45654</v>
      </c>
      <c r="C628" s="4" t="s">
        <v>1403</v>
      </c>
      <c r="D628" s="4" t="s">
        <v>88</v>
      </c>
      <c r="E628" s="4" t="s">
        <v>6</v>
      </c>
      <c r="F628" s="4" t="s">
        <v>25</v>
      </c>
      <c r="G628" s="4" t="n">
        <v>18</v>
      </c>
      <c r="H628" s="5" t="n">
        <v>907.28</v>
      </c>
      <c r="I628" s="5" t="n">
        <v>596.48</v>
      </c>
      <c r="J628" s="9" t="n">
        <v>0.1</v>
      </c>
      <c r="K628" s="5" t="n">
        <f aca="false">G628*H628*(1-J628)</f>
        <v>14697.936</v>
      </c>
      <c r="L628" s="5" t="n">
        <f aca="false">K628-(G628*I628)</f>
        <v>3961.296</v>
      </c>
    </row>
    <row r="629" customFormat="false" ht="16.4" hidden="false" customHeight="false" outlineLevel="0" collapsed="false">
      <c r="A629" s="4" t="s">
        <v>2098</v>
      </c>
      <c r="B629" s="6" t="n">
        <v>45571</v>
      </c>
      <c r="C629" s="4" t="s">
        <v>1405</v>
      </c>
      <c r="D629" s="4" t="s">
        <v>352</v>
      </c>
      <c r="E629" s="4" t="s">
        <v>12</v>
      </c>
      <c r="F629" s="4" t="s">
        <v>19</v>
      </c>
      <c r="G629" s="4" t="n">
        <v>21</v>
      </c>
      <c r="H629" s="5" t="n">
        <v>759.98</v>
      </c>
      <c r="I629" s="5" t="n">
        <v>346.44</v>
      </c>
      <c r="J629" s="9" t="n">
        <v>0.15</v>
      </c>
      <c r="K629" s="5" t="n">
        <f aca="false">G629*H629*(1-J629)</f>
        <v>13565.643</v>
      </c>
      <c r="L629" s="5" t="n">
        <f aca="false">K629-(G629*I629)</f>
        <v>6290.403</v>
      </c>
    </row>
    <row r="630" customFormat="false" ht="16.4" hidden="false" customHeight="false" outlineLevel="0" collapsed="false">
      <c r="A630" s="4" t="s">
        <v>2099</v>
      </c>
      <c r="B630" s="6" t="n">
        <v>45962</v>
      </c>
      <c r="C630" s="4" t="s">
        <v>737</v>
      </c>
      <c r="D630" s="4" t="s">
        <v>178</v>
      </c>
      <c r="E630" s="4" t="s">
        <v>18</v>
      </c>
      <c r="F630" s="4" t="s">
        <v>25</v>
      </c>
      <c r="G630" s="4" t="n">
        <v>4</v>
      </c>
      <c r="H630" s="5" t="n">
        <v>673.22</v>
      </c>
      <c r="I630" s="5" t="n">
        <v>350.8</v>
      </c>
      <c r="J630" s="9" t="n">
        <v>0.02</v>
      </c>
      <c r="K630" s="5" t="n">
        <f aca="false">G630*H630*(1-J630)</f>
        <v>2639.0224</v>
      </c>
      <c r="L630" s="5" t="n">
        <f aca="false">K630-(G630*I630)</f>
        <v>1235.8224</v>
      </c>
    </row>
    <row r="631" customFormat="false" ht="16.4" hidden="false" customHeight="false" outlineLevel="0" collapsed="false">
      <c r="A631" s="4" t="s">
        <v>2100</v>
      </c>
      <c r="B631" s="6" t="n">
        <v>45539</v>
      </c>
      <c r="C631" s="4" t="s">
        <v>1255</v>
      </c>
      <c r="D631" s="4" t="s">
        <v>276</v>
      </c>
      <c r="E631" s="4" t="s">
        <v>6</v>
      </c>
      <c r="F631" s="4" t="s">
        <v>13</v>
      </c>
      <c r="G631" s="4" t="n">
        <v>22</v>
      </c>
      <c r="H631" s="5" t="n">
        <v>908.61</v>
      </c>
      <c r="I631" s="5" t="n">
        <v>620.37</v>
      </c>
      <c r="J631" s="9" t="n">
        <v>0.1</v>
      </c>
      <c r="K631" s="5" t="n">
        <f aca="false">G631*H631*(1-J631)</f>
        <v>17990.478</v>
      </c>
      <c r="L631" s="5" t="n">
        <f aca="false">K631-(G631*I631)</f>
        <v>4342.338</v>
      </c>
    </row>
    <row r="632" customFormat="false" ht="16.4" hidden="false" customHeight="false" outlineLevel="0" collapsed="false">
      <c r="A632" s="4" t="s">
        <v>2101</v>
      </c>
      <c r="B632" s="6" t="n">
        <v>45476</v>
      </c>
      <c r="C632" s="4" t="s">
        <v>809</v>
      </c>
      <c r="D632" s="4" t="s">
        <v>306</v>
      </c>
      <c r="E632" s="4" t="s">
        <v>30</v>
      </c>
      <c r="F632" s="4" t="s">
        <v>19</v>
      </c>
      <c r="G632" s="4" t="n">
        <v>22</v>
      </c>
      <c r="H632" s="5" t="n">
        <v>995.24</v>
      </c>
      <c r="I632" s="5" t="n">
        <v>584.2</v>
      </c>
      <c r="J632" s="9" t="n">
        <v>0.1</v>
      </c>
      <c r="K632" s="5" t="n">
        <f aca="false">G632*H632*(1-J632)</f>
        <v>19705.752</v>
      </c>
      <c r="L632" s="5" t="n">
        <f aca="false">K632-(G632*I632)</f>
        <v>6853.352</v>
      </c>
    </row>
    <row r="633" customFormat="false" ht="16.4" hidden="false" customHeight="false" outlineLevel="0" collapsed="false">
      <c r="A633" s="4" t="s">
        <v>2102</v>
      </c>
      <c r="B633" s="6" t="n">
        <v>46143</v>
      </c>
      <c r="C633" s="4" t="s">
        <v>463</v>
      </c>
      <c r="D633" s="4" t="s">
        <v>320</v>
      </c>
      <c r="E633" s="4" t="s">
        <v>6</v>
      </c>
      <c r="F633" s="4" t="s">
        <v>7</v>
      </c>
      <c r="G633" s="4" t="n">
        <v>22</v>
      </c>
      <c r="H633" s="5" t="n">
        <v>956.7</v>
      </c>
      <c r="I633" s="5" t="n">
        <v>370.45</v>
      </c>
      <c r="J633" s="9" t="n">
        <v>0</v>
      </c>
      <c r="K633" s="5" t="n">
        <f aca="false">G633*H633*(1-J633)</f>
        <v>21047.4</v>
      </c>
      <c r="L633" s="5" t="n">
        <f aca="false">K633-(G633*I633)</f>
        <v>12897.5</v>
      </c>
    </row>
    <row r="634" customFormat="false" ht="16.4" hidden="false" customHeight="false" outlineLevel="0" collapsed="false">
      <c r="A634" s="4" t="s">
        <v>2103</v>
      </c>
      <c r="B634" s="6" t="n">
        <v>45398</v>
      </c>
      <c r="C634" s="4" t="s">
        <v>885</v>
      </c>
      <c r="D634" s="4" t="s">
        <v>46</v>
      </c>
      <c r="E634" s="4" t="s">
        <v>12</v>
      </c>
      <c r="F634" s="4" t="s">
        <v>25</v>
      </c>
      <c r="G634" s="4" t="n">
        <v>4</v>
      </c>
      <c r="H634" s="5" t="n">
        <v>258.63</v>
      </c>
      <c r="I634" s="5" t="n">
        <v>157.75</v>
      </c>
      <c r="J634" s="9" t="n">
        <v>0.08</v>
      </c>
      <c r="K634" s="5" t="n">
        <f aca="false">G634*H634*(1-J634)</f>
        <v>951.7584</v>
      </c>
      <c r="L634" s="5" t="n">
        <f aca="false">K634-(G634*I634)</f>
        <v>320.7584</v>
      </c>
    </row>
    <row r="635" customFormat="false" ht="16.4" hidden="false" customHeight="false" outlineLevel="0" collapsed="false">
      <c r="A635" s="4" t="s">
        <v>2104</v>
      </c>
      <c r="B635" s="6" t="n">
        <v>45549</v>
      </c>
      <c r="C635" s="4" t="s">
        <v>689</v>
      </c>
      <c r="D635" s="4" t="s">
        <v>218</v>
      </c>
      <c r="E635" s="4" t="s">
        <v>24</v>
      </c>
      <c r="F635" s="4" t="s">
        <v>13</v>
      </c>
      <c r="G635" s="4" t="n">
        <v>24</v>
      </c>
      <c r="H635" s="5" t="n">
        <v>806.29</v>
      </c>
      <c r="I635" s="5" t="n">
        <v>404.48</v>
      </c>
      <c r="J635" s="9" t="n">
        <v>0.02</v>
      </c>
      <c r="K635" s="5" t="n">
        <f aca="false">G635*H635*(1-J635)</f>
        <v>18963.9408</v>
      </c>
      <c r="L635" s="5" t="n">
        <f aca="false">K635-(G635*I635)</f>
        <v>9256.4208</v>
      </c>
    </row>
    <row r="636" customFormat="false" ht="16.4" hidden="false" customHeight="false" outlineLevel="0" collapsed="false">
      <c r="A636" s="4" t="s">
        <v>2105</v>
      </c>
      <c r="B636" s="6" t="n">
        <v>45350</v>
      </c>
      <c r="C636" s="4" t="s">
        <v>483</v>
      </c>
      <c r="D636" s="4" t="s">
        <v>56</v>
      </c>
      <c r="E636" s="4" t="s">
        <v>18</v>
      </c>
      <c r="F636" s="4" t="s">
        <v>13</v>
      </c>
      <c r="G636" s="4" t="n">
        <v>20</v>
      </c>
      <c r="H636" s="5" t="n">
        <v>117.59</v>
      </c>
      <c r="I636" s="5" t="n">
        <v>54.95</v>
      </c>
      <c r="J636" s="9" t="n">
        <v>0</v>
      </c>
      <c r="K636" s="5" t="n">
        <f aca="false">G636*H636*(1-J636)</f>
        <v>2351.8</v>
      </c>
      <c r="L636" s="5" t="n">
        <f aca="false">K636-(G636*I636)</f>
        <v>1252.8</v>
      </c>
    </row>
    <row r="637" customFormat="false" ht="16.4" hidden="false" customHeight="false" outlineLevel="0" collapsed="false">
      <c r="A637" s="4" t="s">
        <v>2106</v>
      </c>
      <c r="B637" s="6" t="n">
        <v>45414</v>
      </c>
      <c r="C637" s="4" t="s">
        <v>1117</v>
      </c>
      <c r="D637" s="4" t="s">
        <v>346</v>
      </c>
      <c r="E637" s="4" t="s">
        <v>18</v>
      </c>
      <c r="F637" s="4" t="s">
        <v>7</v>
      </c>
      <c r="G637" s="4" t="n">
        <v>4</v>
      </c>
      <c r="H637" s="5" t="n">
        <v>164.18</v>
      </c>
      <c r="I637" s="5" t="n">
        <v>107.67</v>
      </c>
      <c r="J637" s="9" t="n">
        <v>0.1</v>
      </c>
      <c r="K637" s="5" t="n">
        <f aca="false">G637*H637*(1-J637)</f>
        <v>591.048</v>
      </c>
      <c r="L637" s="5" t="n">
        <f aca="false">K637-(G637*I637)</f>
        <v>160.368</v>
      </c>
    </row>
    <row r="638" customFormat="false" ht="16.4" hidden="false" customHeight="false" outlineLevel="0" collapsed="false">
      <c r="A638" s="4" t="s">
        <v>2107</v>
      </c>
      <c r="B638" s="6" t="n">
        <v>46074</v>
      </c>
      <c r="C638" s="4" t="s">
        <v>597</v>
      </c>
      <c r="D638" s="4" t="s">
        <v>348</v>
      </c>
      <c r="E638" s="4" t="s">
        <v>30</v>
      </c>
      <c r="F638" s="4" t="s">
        <v>13</v>
      </c>
      <c r="G638" s="4" t="n">
        <v>13</v>
      </c>
      <c r="H638" s="5" t="n">
        <v>471.94</v>
      </c>
      <c r="I638" s="5" t="n">
        <v>336.68</v>
      </c>
      <c r="J638" s="9" t="n">
        <v>0.1</v>
      </c>
      <c r="K638" s="5" t="n">
        <f aca="false">G638*H638*(1-J638)</f>
        <v>5521.698</v>
      </c>
      <c r="L638" s="5" t="n">
        <f aca="false">K638-(G638*I638)</f>
        <v>1144.858</v>
      </c>
    </row>
    <row r="639" customFormat="false" ht="16.4" hidden="false" customHeight="false" outlineLevel="0" collapsed="false">
      <c r="A639" s="4" t="s">
        <v>2108</v>
      </c>
      <c r="B639" s="6" t="n">
        <v>45593</v>
      </c>
      <c r="C639" s="4" t="s">
        <v>1177</v>
      </c>
      <c r="D639" s="4" t="s">
        <v>96</v>
      </c>
      <c r="E639" s="4" t="s">
        <v>12</v>
      </c>
      <c r="F639" s="4" t="s">
        <v>25</v>
      </c>
      <c r="G639" s="4" t="n">
        <v>6</v>
      </c>
      <c r="H639" s="5" t="n">
        <v>1145.36</v>
      </c>
      <c r="I639" s="5" t="n">
        <v>823.48</v>
      </c>
      <c r="J639" s="9" t="n">
        <v>0.02</v>
      </c>
      <c r="K639" s="5" t="n">
        <f aca="false">G639*H639*(1-J639)</f>
        <v>6734.7168</v>
      </c>
      <c r="L639" s="5" t="n">
        <f aca="false">K639-(G639*I639)</f>
        <v>1793.8368</v>
      </c>
    </row>
    <row r="640" customFormat="false" ht="16.4" hidden="false" customHeight="false" outlineLevel="0" collapsed="false">
      <c r="A640" s="4" t="s">
        <v>2109</v>
      </c>
      <c r="B640" s="6" t="n">
        <v>45756</v>
      </c>
      <c r="C640" s="4" t="s">
        <v>1423</v>
      </c>
      <c r="D640" s="4" t="s">
        <v>378</v>
      </c>
      <c r="E640" s="4" t="s">
        <v>24</v>
      </c>
      <c r="F640" s="4" t="s">
        <v>19</v>
      </c>
      <c r="G640" s="4" t="n">
        <v>3</v>
      </c>
      <c r="H640" s="5" t="n">
        <v>1163.64</v>
      </c>
      <c r="I640" s="5" t="n">
        <v>626.04</v>
      </c>
      <c r="J640" s="9" t="n">
        <v>0.1</v>
      </c>
      <c r="K640" s="5" t="n">
        <f aca="false">G640*H640*(1-J640)</f>
        <v>3141.828</v>
      </c>
      <c r="L640" s="5" t="n">
        <f aca="false">K640-(G640*I640)</f>
        <v>1263.708</v>
      </c>
    </row>
    <row r="641" customFormat="false" ht="16.4" hidden="false" customHeight="false" outlineLevel="0" collapsed="false">
      <c r="A641" s="4" t="s">
        <v>2110</v>
      </c>
      <c r="B641" s="6" t="n">
        <v>46080</v>
      </c>
      <c r="C641" s="4" t="s">
        <v>901</v>
      </c>
      <c r="D641" s="4" t="s">
        <v>432</v>
      </c>
      <c r="E641" s="4" t="s">
        <v>24</v>
      </c>
      <c r="F641" s="4" t="s">
        <v>19</v>
      </c>
      <c r="G641" s="4" t="n">
        <v>23</v>
      </c>
      <c r="H641" s="5" t="n">
        <v>105.39</v>
      </c>
      <c r="I641" s="5" t="n">
        <v>63.49</v>
      </c>
      <c r="J641" s="9" t="n">
        <v>0.1</v>
      </c>
      <c r="K641" s="5" t="n">
        <f aca="false">G641*H641*(1-J641)</f>
        <v>2181.573</v>
      </c>
      <c r="L641" s="5" t="n">
        <f aca="false">K641-(G641*I641)</f>
        <v>721.303</v>
      </c>
    </row>
    <row r="642" customFormat="false" ht="16.4" hidden="false" customHeight="false" outlineLevel="0" collapsed="false">
      <c r="A642" s="4" t="s">
        <v>2111</v>
      </c>
      <c r="B642" s="6" t="n">
        <v>45575</v>
      </c>
      <c r="C642" s="4" t="s">
        <v>629</v>
      </c>
      <c r="D642" s="4" t="s">
        <v>170</v>
      </c>
      <c r="E642" s="4" t="s">
        <v>30</v>
      </c>
      <c r="F642" s="4" t="s">
        <v>7</v>
      </c>
      <c r="G642" s="4" t="n">
        <v>25</v>
      </c>
      <c r="H642" s="5" t="n">
        <v>356.06</v>
      </c>
      <c r="I642" s="5" t="n">
        <v>154.62</v>
      </c>
      <c r="J642" s="9" t="n">
        <v>0</v>
      </c>
      <c r="K642" s="5" t="n">
        <f aca="false">G642*H642*(1-J642)</f>
        <v>8901.5</v>
      </c>
      <c r="L642" s="5" t="n">
        <f aca="false">K642-(G642*I642)</f>
        <v>5036</v>
      </c>
    </row>
    <row r="643" customFormat="false" ht="16.4" hidden="false" customHeight="false" outlineLevel="0" collapsed="false">
      <c r="A643" s="4" t="s">
        <v>2112</v>
      </c>
      <c r="B643" s="6" t="n">
        <v>45556</v>
      </c>
      <c r="C643" s="4" t="s">
        <v>861</v>
      </c>
      <c r="D643" s="4" t="s">
        <v>234</v>
      </c>
      <c r="E643" s="4" t="s">
        <v>24</v>
      </c>
      <c r="F643" s="4" t="s">
        <v>19</v>
      </c>
      <c r="G643" s="4" t="n">
        <v>11</v>
      </c>
      <c r="H643" s="5" t="n">
        <v>253.46</v>
      </c>
      <c r="I643" s="5" t="n">
        <v>159.31</v>
      </c>
      <c r="J643" s="9" t="n">
        <v>0</v>
      </c>
      <c r="K643" s="5" t="n">
        <f aca="false">G643*H643*(1-J643)</f>
        <v>2788.06</v>
      </c>
      <c r="L643" s="5" t="n">
        <f aca="false">K643-(G643*I643)</f>
        <v>1035.65</v>
      </c>
    </row>
    <row r="644" customFormat="false" ht="16.4" hidden="false" customHeight="false" outlineLevel="0" collapsed="false">
      <c r="A644" s="4" t="s">
        <v>2113</v>
      </c>
      <c r="B644" s="6" t="n">
        <v>45497</v>
      </c>
      <c r="C644" s="4" t="s">
        <v>915</v>
      </c>
      <c r="D644" s="4" t="s">
        <v>130</v>
      </c>
      <c r="E644" s="4" t="s">
        <v>18</v>
      </c>
      <c r="F644" s="4" t="s">
        <v>25</v>
      </c>
      <c r="G644" s="4" t="n">
        <v>3</v>
      </c>
      <c r="H644" s="5" t="n">
        <v>568.59</v>
      </c>
      <c r="I644" s="5" t="n">
        <v>397.9</v>
      </c>
      <c r="J644" s="9" t="n">
        <v>0.05</v>
      </c>
      <c r="K644" s="5" t="n">
        <f aca="false">G644*H644*(1-J644)</f>
        <v>1620.4815</v>
      </c>
      <c r="L644" s="5" t="n">
        <f aca="false">K644-(G644*I644)</f>
        <v>426.7815</v>
      </c>
    </row>
    <row r="645" customFormat="false" ht="16.4" hidden="false" customHeight="false" outlineLevel="0" collapsed="false">
      <c r="A645" s="4" t="s">
        <v>2114</v>
      </c>
      <c r="B645" s="6" t="n">
        <v>45439</v>
      </c>
      <c r="C645" s="4" t="s">
        <v>1125</v>
      </c>
      <c r="D645" s="4" t="s">
        <v>130</v>
      </c>
      <c r="E645" s="4" t="s">
        <v>18</v>
      </c>
      <c r="F645" s="4" t="s">
        <v>25</v>
      </c>
      <c r="G645" s="4" t="n">
        <v>16</v>
      </c>
      <c r="H645" s="5" t="n">
        <v>568.59</v>
      </c>
      <c r="I645" s="5" t="n">
        <v>397.9</v>
      </c>
      <c r="J645" s="9" t="n">
        <v>0</v>
      </c>
      <c r="K645" s="5" t="n">
        <f aca="false">G645*H645*(1-J645)</f>
        <v>9097.44</v>
      </c>
      <c r="L645" s="5" t="n">
        <f aca="false">K645-(G645*I645)</f>
        <v>2731.04</v>
      </c>
    </row>
    <row r="646" customFormat="false" ht="16.4" hidden="false" customHeight="false" outlineLevel="0" collapsed="false">
      <c r="A646" s="4" t="s">
        <v>2115</v>
      </c>
      <c r="B646" s="6" t="n">
        <v>45744</v>
      </c>
      <c r="C646" s="4" t="s">
        <v>1093</v>
      </c>
      <c r="D646" s="4" t="s">
        <v>150</v>
      </c>
      <c r="E646" s="4" t="s">
        <v>12</v>
      </c>
      <c r="F646" s="4" t="s">
        <v>19</v>
      </c>
      <c r="G646" s="4" t="n">
        <v>21</v>
      </c>
      <c r="H646" s="5" t="n">
        <v>314.3</v>
      </c>
      <c r="I646" s="5" t="n">
        <v>184.75</v>
      </c>
      <c r="J646" s="9" t="n">
        <v>0</v>
      </c>
      <c r="K646" s="5" t="n">
        <f aca="false">G646*H646*(1-J646)</f>
        <v>6600.3</v>
      </c>
      <c r="L646" s="5" t="n">
        <f aca="false">K646-(G646*I646)</f>
        <v>2720.55</v>
      </c>
    </row>
    <row r="647" customFormat="false" ht="16.4" hidden="false" customHeight="false" outlineLevel="0" collapsed="false">
      <c r="A647" s="4" t="s">
        <v>2116</v>
      </c>
      <c r="B647" s="6" t="n">
        <v>45877</v>
      </c>
      <c r="C647" s="4" t="s">
        <v>496</v>
      </c>
      <c r="D647" s="4" t="s">
        <v>92</v>
      </c>
      <c r="E647" s="4" t="s">
        <v>24</v>
      </c>
      <c r="F647" s="4" t="s">
        <v>19</v>
      </c>
      <c r="G647" s="4" t="n">
        <v>3</v>
      </c>
      <c r="H647" s="5" t="n">
        <v>920.31</v>
      </c>
      <c r="I647" s="5" t="n">
        <v>509</v>
      </c>
      <c r="J647" s="9" t="n">
        <v>0</v>
      </c>
      <c r="K647" s="5" t="n">
        <f aca="false">G647*H647*(1-J647)</f>
        <v>2760.93</v>
      </c>
      <c r="L647" s="5" t="n">
        <f aca="false">K647-(G647*I647)</f>
        <v>1233.93</v>
      </c>
    </row>
    <row r="648" customFormat="false" ht="16.4" hidden="false" customHeight="false" outlineLevel="0" collapsed="false">
      <c r="A648" s="4" t="s">
        <v>2117</v>
      </c>
      <c r="B648" s="6" t="n">
        <v>45444</v>
      </c>
      <c r="C648" s="4" t="s">
        <v>921</v>
      </c>
      <c r="D648" s="4" t="s">
        <v>436</v>
      </c>
      <c r="E648" s="4" t="s">
        <v>6</v>
      </c>
      <c r="F648" s="4" t="s">
        <v>7</v>
      </c>
      <c r="G648" s="4" t="n">
        <v>1</v>
      </c>
      <c r="H648" s="5" t="n">
        <v>220.48</v>
      </c>
      <c r="I648" s="5" t="n">
        <v>103.58</v>
      </c>
      <c r="J648" s="9" t="n">
        <v>0.05</v>
      </c>
      <c r="K648" s="5" t="n">
        <f aca="false">G648*H648*(1-J648)</f>
        <v>209.456</v>
      </c>
      <c r="L648" s="5" t="n">
        <f aca="false">K648-(G648*I648)</f>
        <v>105.876</v>
      </c>
    </row>
    <row r="649" customFormat="false" ht="16.4" hidden="false" customHeight="false" outlineLevel="0" collapsed="false">
      <c r="A649" s="4" t="s">
        <v>2118</v>
      </c>
      <c r="B649" s="6" t="n">
        <v>45447</v>
      </c>
      <c r="C649" s="4" t="s">
        <v>1145</v>
      </c>
      <c r="D649" s="4" t="s">
        <v>58</v>
      </c>
      <c r="E649" s="4" t="s">
        <v>18</v>
      </c>
      <c r="F649" s="4" t="s">
        <v>19</v>
      </c>
      <c r="G649" s="4" t="n">
        <v>13</v>
      </c>
      <c r="H649" s="5" t="n">
        <v>250.94</v>
      </c>
      <c r="I649" s="5" t="n">
        <v>94.81</v>
      </c>
      <c r="J649" s="9" t="n">
        <v>0.02</v>
      </c>
      <c r="K649" s="5" t="n">
        <f aca="false">G649*H649*(1-J649)</f>
        <v>3196.9756</v>
      </c>
      <c r="L649" s="5" t="n">
        <f aca="false">K649-(G649*I649)</f>
        <v>1964.4456</v>
      </c>
    </row>
    <row r="650" customFormat="false" ht="16.4" hidden="false" customHeight="false" outlineLevel="0" collapsed="false">
      <c r="A650" s="4" t="s">
        <v>2119</v>
      </c>
      <c r="B650" s="6" t="n">
        <v>46016</v>
      </c>
      <c r="C650" s="4" t="s">
        <v>1053</v>
      </c>
      <c r="D650" s="4" t="s">
        <v>240</v>
      </c>
      <c r="E650" s="4" t="s">
        <v>30</v>
      </c>
      <c r="F650" s="4" t="s">
        <v>25</v>
      </c>
      <c r="G650" s="4" t="n">
        <v>1</v>
      </c>
      <c r="H650" s="5" t="n">
        <v>679.95</v>
      </c>
      <c r="I650" s="5" t="n">
        <v>487.52</v>
      </c>
      <c r="J650" s="9" t="n">
        <v>0.08</v>
      </c>
      <c r="K650" s="5" t="n">
        <f aca="false">G650*H650*(1-J650)</f>
        <v>625.554</v>
      </c>
      <c r="L650" s="5" t="n">
        <f aca="false">K650-(G650*I650)</f>
        <v>138.034</v>
      </c>
    </row>
    <row r="651" customFormat="false" ht="16.4" hidden="false" customHeight="false" outlineLevel="0" collapsed="false">
      <c r="A651" s="4" t="s">
        <v>2120</v>
      </c>
      <c r="B651" s="6" t="n">
        <v>46037</v>
      </c>
      <c r="C651" s="4" t="s">
        <v>911</v>
      </c>
      <c r="D651" s="4" t="s">
        <v>284</v>
      </c>
      <c r="E651" s="4" t="s">
        <v>6</v>
      </c>
      <c r="F651" s="4" t="s">
        <v>7</v>
      </c>
      <c r="G651" s="4" t="n">
        <v>13</v>
      </c>
      <c r="H651" s="5" t="n">
        <v>581.43</v>
      </c>
      <c r="I651" s="5" t="n">
        <v>230.1</v>
      </c>
      <c r="J651" s="9" t="n">
        <v>0.15</v>
      </c>
      <c r="K651" s="5" t="n">
        <f aca="false">G651*H651*(1-J651)</f>
        <v>6424.8015</v>
      </c>
      <c r="L651" s="5" t="n">
        <f aca="false">K651-(G651*I651)</f>
        <v>3433.5015</v>
      </c>
    </row>
    <row r="652" customFormat="false" ht="16.4" hidden="false" customHeight="false" outlineLevel="0" collapsed="false">
      <c r="A652" s="4" t="s">
        <v>2121</v>
      </c>
      <c r="B652" s="6" t="n">
        <v>45997</v>
      </c>
      <c r="C652" s="4" t="s">
        <v>695</v>
      </c>
      <c r="D652" s="4" t="s">
        <v>316</v>
      </c>
      <c r="E652" s="4" t="s">
        <v>30</v>
      </c>
      <c r="F652" s="4" t="s">
        <v>25</v>
      </c>
      <c r="G652" s="4" t="n">
        <v>1</v>
      </c>
      <c r="H652" s="5" t="n">
        <v>1138.97</v>
      </c>
      <c r="I652" s="5" t="n">
        <v>437.64</v>
      </c>
      <c r="J652" s="9" t="n">
        <v>0.05</v>
      </c>
      <c r="K652" s="5" t="n">
        <f aca="false">G652*H652*(1-J652)</f>
        <v>1082.0215</v>
      </c>
      <c r="L652" s="5" t="n">
        <f aca="false">K652-(G652*I652)</f>
        <v>644.3815</v>
      </c>
    </row>
    <row r="653" customFormat="false" ht="16.4" hidden="false" customHeight="false" outlineLevel="0" collapsed="false">
      <c r="A653" s="4" t="s">
        <v>2122</v>
      </c>
      <c r="B653" s="6" t="n">
        <v>45633</v>
      </c>
      <c r="C653" s="4" t="s">
        <v>1045</v>
      </c>
      <c r="D653" s="4" t="s">
        <v>102</v>
      </c>
      <c r="E653" s="4" t="s">
        <v>12</v>
      </c>
      <c r="F653" s="4" t="s">
        <v>19</v>
      </c>
      <c r="G653" s="4" t="n">
        <v>18</v>
      </c>
      <c r="H653" s="5" t="n">
        <v>983.83</v>
      </c>
      <c r="I653" s="5" t="n">
        <v>729.21</v>
      </c>
      <c r="J653" s="9" t="n">
        <v>0.02</v>
      </c>
      <c r="K653" s="5" t="n">
        <f aca="false">G653*H653*(1-J653)</f>
        <v>17354.7612</v>
      </c>
      <c r="L653" s="5" t="n">
        <f aca="false">K653-(G653*I653)</f>
        <v>4228.9812</v>
      </c>
    </row>
    <row r="654" customFormat="false" ht="16.4" hidden="false" customHeight="false" outlineLevel="0" collapsed="false">
      <c r="A654" s="4" t="s">
        <v>2123</v>
      </c>
      <c r="B654" s="6" t="n">
        <v>45384</v>
      </c>
      <c r="C654" s="4" t="s">
        <v>518</v>
      </c>
      <c r="D654" s="4" t="s">
        <v>244</v>
      </c>
      <c r="E654" s="4" t="s">
        <v>6</v>
      </c>
      <c r="F654" s="4" t="s">
        <v>19</v>
      </c>
      <c r="G654" s="4" t="n">
        <v>21</v>
      </c>
      <c r="H654" s="5" t="n">
        <v>744.87</v>
      </c>
      <c r="I654" s="5" t="n">
        <v>475.01</v>
      </c>
      <c r="J654" s="9" t="n">
        <v>0.1</v>
      </c>
      <c r="K654" s="5" t="n">
        <f aca="false">G654*H654*(1-J654)</f>
        <v>14078.043</v>
      </c>
      <c r="L654" s="5" t="n">
        <f aca="false">K654-(G654*I654)</f>
        <v>4102.833</v>
      </c>
    </row>
    <row r="655" customFormat="false" ht="16.4" hidden="false" customHeight="false" outlineLevel="0" collapsed="false">
      <c r="A655" s="4" t="s">
        <v>2124</v>
      </c>
      <c r="B655" s="6" t="n">
        <v>46153</v>
      </c>
      <c r="C655" s="4" t="s">
        <v>1337</v>
      </c>
      <c r="D655" s="4" t="s">
        <v>312</v>
      </c>
      <c r="E655" s="4" t="s">
        <v>6</v>
      </c>
      <c r="F655" s="4" t="s">
        <v>25</v>
      </c>
      <c r="G655" s="4" t="n">
        <v>11</v>
      </c>
      <c r="H655" s="5" t="n">
        <v>238.66</v>
      </c>
      <c r="I655" s="5" t="n">
        <v>103.78</v>
      </c>
      <c r="J655" s="9" t="n">
        <v>0</v>
      </c>
      <c r="K655" s="5" t="n">
        <f aca="false">G655*H655*(1-J655)</f>
        <v>2625.26</v>
      </c>
      <c r="L655" s="5" t="n">
        <f aca="false">K655-(G655*I655)</f>
        <v>1483.68</v>
      </c>
    </row>
    <row r="656" customFormat="false" ht="16.4" hidden="false" customHeight="false" outlineLevel="0" collapsed="false">
      <c r="A656" s="4" t="s">
        <v>2125</v>
      </c>
      <c r="B656" s="6" t="n">
        <v>45499</v>
      </c>
      <c r="C656" s="4" t="s">
        <v>1249</v>
      </c>
      <c r="D656" s="4" t="s">
        <v>428</v>
      </c>
      <c r="E656" s="4" t="s">
        <v>30</v>
      </c>
      <c r="F656" s="4" t="s">
        <v>13</v>
      </c>
      <c r="G656" s="4" t="n">
        <v>10</v>
      </c>
      <c r="H656" s="5" t="n">
        <v>1025.82</v>
      </c>
      <c r="I656" s="5" t="n">
        <v>708.78</v>
      </c>
      <c r="J656" s="9" t="n">
        <v>0.1</v>
      </c>
      <c r="K656" s="5" t="n">
        <f aca="false">G656*H656*(1-J656)</f>
        <v>9232.38</v>
      </c>
      <c r="L656" s="5" t="n">
        <f aca="false">K656-(G656*I656)</f>
        <v>2144.58</v>
      </c>
    </row>
    <row r="657" customFormat="false" ht="16.4" hidden="false" customHeight="false" outlineLevel="0" collapsed="false">
      <c r="A657" s="4" t="s">
        <v>2126</v>
      </c>
      <c r="B657" s="6" t="n">
        <v>45487</v>
      </c>
      <c r="C657" s="4" t="s">
        <v>502</v>
      </c>
      <c r="D657" s="4" t="s">
        <v>322</v>
      </c>
      <c r="E657" s="4" t="s">
        <v>18</v>
      </c>
      <c r="F657" s="4" t="s">
        <v>19</v>
      </c>
      <c r="G657" s="4" t="n">
        <v>13</v>
      </c>
      <c r="H657" s="5" t="n">
        <v>384.79</v>
      </c>
      <c r="I657" s="5" t="n">
        <v>224.19</v>
      </c>
      <c r="J657" s="9" t="n">
        <v>0.1</v>
      </c>
      <c r="K657" s="5" t="n">
        <f aca="false">G657*H657*(1-J657)</f>
        <v>4502.043</v>
      </c>
      <c r="L657" s="5" t="n">
        <f aca="false">K657-(G657*I657)</f>
        <v>1587.573</v>
      </c>
    </row>
    <row r="658" customFormat="false" ht="16.4" hidden="false" customHeight="false" outlineLevel="0" collapsed="false">
      <c r="A658" s="4" t="s">
        <v>2127</v>
      </c>
      <c r="B658" s="6" t="n">
        <v>45997</v>
      </c>
      <c r="C658" s="4" t="s">
        <v>863</v>
      </c>
      <c r="D658" s="4" t="s">
        <v>396</v>
      </c>
      <c r="E658" s="4" t="s">
        <v>18</v>
      </c>
      <c r="F658" s="4" t="s">
        <v>19</v>
      </c>
      <c r="G658" s="4" t="n">
        <v>4</v>
      </c>
      <c r="H658" s="5" t="n">
        <v>504.39</v>
      </c>
      <c r="I658" s="5" t="n">
        <v>221.87</v>
      </c>
      <c r="J658" s="9" t="n">
        <v>0.1</v>
      </c>
      <c r="K658" s="5" t="n">
        <f aca="false">G658*H658*(1-J658)</f>
        <v>1815.804</v>
      </c>
      <c r="L658" s="5" t="n">
        <f aca="false">K658-(G658*I658)</f>
        <v>928.324</v>
      </c>
    </row>
    <row r="659" customFormat="false" ht="16.4" hidden="false" customHeight="false" outlineLevel="0" collapsed="false">
      <c r="A659" s="4" t="s">
        <v>2128</v>
      </c>
      <c r="B659" s="6" t="n">
        <v>46044</v>
      </c>
      <c r="C659" s="4" t="s">
        <v>551</v>
      </c>
      <c r="D659" s="4" t="s">
        <v>288</v>
      </c>
      <c r="E659" s="4" t="s">
        <v>30</v>
      </c>
      <c r="F659" s="4" t="s">
        <v>13</v>
      </c>
      <c r="G659" s="4" t="n">
        <v>21</v>
      </c>
      <c r="H659" s="5" t="n">
        <v>1158.55</v>
      </c>
      <c r="I659" s="5" t="n">
        <v>455.59</v>
      </c>
      <c r="J659" s="9" t="n">
        <v>0.05</v>
      </c>
      <c r="K659" s="5" t="n">
        <f aca="false">G659*H659*(1-J659)</f>
        <v>23113.0725</v>
      </c>
      <c r="L659" s="5" t="n">
        <f aca="false">K659-(G659*I659)</f>
        <v>13545.6825</v>
      </c>
    </row>
    <row r="660" customFormat="false" ht="16.4" hidden="false" customHeight="false" outlineLevel="0" collapsed="false">
      <c r="A660" s="4" t="s">
        <v>2129</v>
      </c>
      <c r="B660" s="6" t="n">
        <v>46029</v>
      </c>
      <c r="C660" s="4" t="s">
        <v>498</v>
      </c>
      <c r="D660" s="4" t="s">
        <v>110</v>
      </c>
      <c r="E660" s="4" t="s">
        <v>6</v>
      </c>
      <c r="F660" s="4" t="s">
        <v>13</v>
      </c>
      <c r="G660" s="4" t="n">
        <v>7</v>
      </c>
      <c r="H660" s="5" t="n">
        <v>555.5</v>
      </c>
      <c r="I660" s="5" t="n">
        <v>249.51</v>
      </c>
      <c r="J660" s="9" t="n">
        <v>0</v>
      </c>
      <c r="K660" s="5" t="n">
        <f aca="false">G660*H660*(1-J660)</f>
        <v>3888.5</v>
      </c>
      <c r="L660" s="5" t="n">
        <f aca="false">K660-(G660*I660)</f>
        <v>2141.93</v>
      </c>
    </row>
    <row r="661" customFormat="false" ht="16.4" hidden="false" customHeight="false" outlineLevel="0" collapsed="false">
      <c r="A661" s="4" t="s">
        <v>2130</v>
      </c>
      <c r="B661" s="6" t="n">
        <v>45845</v>
      </c>
      <c r="C661" s="4" t="s">
        <v>863</v>
      </c>
      <c r="D661" s="4" t="s">
        <v>290</v>
      </c>
      <c r="E661" s="4" t="s">
        <v>18</v>
      </c>
      <c r="F661" s="4" t="s">
        <v>19</v>
      </c>
      <c r="G661" s="4" t="n">
        <v>3</v>
      </c>
      <c r="H661" s="5" t="n">
        <v>820.88</v>
      </c>
      <c r="I661" s="5" t="n">
        <v>601.93</v>
      </c>
      <c r="J661" s="9" t="n">
        <v>0.15</v>
      </c>
      <c r="K661" s="5" t="n">
        <f aca="false">G661*H661*(1-J661)</f>
        <v>2093.244</v>
      </c>
      <c r="L661" s="5" t="n">
        <f aca="false">K661-(G661*I661)</f>
        <v>287.454</v>
      </c>
    </row>
    <row r="662" customFormat="false" ht="16.4" hidden="false" customHeight="false" outlineLevel="0" collapsed="false">
      <c r="A662" s="4" t="s">
        <v>2131</v>
      </c>
      <c r="B662" s="6" t="n">
        <v>45329</v>
      </c>
      <c r="C662" s="4" t="s">
        <v>1011</v>
      </c>
      <c r="D662" s="4" t="s">
        <v>294</v>
      </c>
      <c r="E662" s="4" t="s">
        <v>24</v>
      </c>
      <c r="F662" s="4" t="s">
        <v>19</v>
      </c>
      <c r="G662" s="4" t="n">
        <v>15</v>
      </c>
      <c r="H662" s="5" t="n">
        <v>1024.09</v>
      </c>
      <c r="I662" s="5" t="n">
        <v>604.38</v>
      </c>
      <c r="J662" s="9" t="n">
        <v>0</v>
      </c>
      <c r="K662" s="5" t="n">
        <f aca="false">G662*H662*(1-J662)</f>
        <v>15361.35</v>
      </c>
      <c r="L662" s="5" t="n">
        <f aca="false">K662-(G662*I662)</f>
        <v>6295.65</v>
      </c>
    </row>
    <row r="663" customFormat="false" ht="16.4" hidden="false" customHeight="false" outlineLevel="0" collapsed="false">
      <c r="A663" s="4" t="s">
        <v>2132</v>
      </c>
      <c r="B663" s="6" t="n">
        <v>45707</v>
      </c>
      <c r="C663" s="4" t="s">
        <v>809</v>
      </c>
      <c r="D663" s="4" t="s">
        <v>68</v>
      </c>
      <c r="E663" s="4" t="s">
        <v>30</v>
      </c>
      <c r="F663" s="4" t="s">
        <v>7</v>
      </c>
      <c r="G663" s="4" t="n">
        <v>24</v>
      </c>
      <c r="H663" s="5" t="n">
        <v>470.86</v>
      </c>
      <c r="I663" s="5" t="n">
        <v>351.17</v>
      </c>
      <c r="J663" s="9" t="n">
        <v>0</v>
      </c>
      <c r="K663" s="5" t="n">
        <f aca="false">G663*H663*(1-J663)</f>
        <v>11300.64</v>
      </c>
      <c r="L663" s="5" t="n">
        <f aca="false">K663-(G663*I663)</f>
        <v>2872.56</v>
      </c>
    </row>
    <row r="664" customFormat="false" ht="16.4" hidden="false" customHeight="false" outlineLevel="0" collapsed="false">
      <c r="A664" s="4" t="s">
        <v>2133</v>
      </c>
      <c r="B664" s="6" t="n">
        <v>45827</v>
      </c>
      <c r="C664" s="4" t="s">
        <v>1291</v>
      </c>
      <c r="D664" s="4" t="s">
        <v>148</v>
      </c>
      <c r="E664" s="4" t="s">
        <v>30</v>
      </c>
      <c r="F664" s="4" t="s">
        <v>25</v>
      </c>
      <c r="G664" s="4" t="n">
        <v>21</v>
      </c>
      <c r="H664" s="5" t="n">
        <v>104.85</v>
      </c>
      <c r="I664" s="5" t="n">
        <v>72.84</v>
      </c>
      <c r="J664" s="9" t="n">
        <v>0.1</v>
      </c>
      <c r="K664" s="5" t="n">
        <f aca="false">G664*H664*(1-J664)</f>
        <v>1981.665</v>
      </c>
      <c r="L664" s="5" t="n">
        <f aca="false">K664-(G664*I664)</f>
        <v>452.025</v>
      </c>
    </row>
    <row r="665" customFormat="false" ht="16.4" hidden="false" customHeight="false" outlineLevel="0" collapsed="false">
      <c r="A665" s="4" t="s">
        <v>2134</v>
      </c>
      <c r="B665" s="6" t="n">
        <v>46050</v>
      </c>
      <c r="C665" s="4" t="s">
        <v>1355</v>
      </c>
      <c r="D665" s="4" t="s">
        <v>386</v>
      </c>
      <c r="E665" s="4" t="s">
        <v>18</v>
      </c>
      <c r="F665" s="4" t="s">
        <v>13</v>
      </c>
      <c r="G665" s="4" t="n">
        <v>18</v>
      </c>
      <c r="H665" s="5" t="n">
        <v>994.29</v>
      </c>
      <c r="I665" s="5" t="n">
        <v>348.46</v>
      </c>
      <c r="J665" s="9" t="n">
        <v>0</v>
      </c>
      <c r="K665" s="5" t="n">
        <f aca="false">G665*H665*(1-J665)</f>
        <v>17897.22</v>
      </c>
      <c r="L665" s="5" t="n">
        <f aca="false">K665-(G665*I665)</f>
        <v>11624.94</v>
      </c>
    </row>
    <row r="666" customFormat="false" ht="16.4" hidden="false" customHeight="false" outlineLevel="0" collapsed="false">
      <c r="A666" s="4" t="s">
        <v>2135</v>
      </c>
      <c r="B666" s="6" t="n">
        <v>45792</v>
      </c>
      <c r="C666" s="4" t="s">
        <v>498</v>
      </c>
      <c r="D666" s="4" t="s">
        <v>76</v>
      </c>
      <c r="E666" s="4" t="s">
        <v>6</v>
      </c>
      <c r="F666" s="4" t="s">
        <v>7</v>
      </c>
      <c r="G666" s="4" t="n">
        <v>24</v>
      </c>
      <c r="H666" s="5" t="n">
        <v>336.23</v>
      </c>
      <c r="I666" s="5" t="n">
        <v>150.85</v>
      </c>
      <c r="J666" s="9" t="n">
        <v>0</v>
      </c>
      <c r="K666" s="5" t="n">
        <f aca="false">G666*H666*(1-J666)</f>
        <v>8069.52</v>
      </c>
      <c r="L666" s="5" t="n">
        <f aca="false">K666-(G666*I666)</f>
        <v>4449.12</v>
      </c>
    </row>
    <row r="667" customFormat="false" ht="16.4" hidden="false" customHeight="false" outlineLevel="0" collapsed="false">
      <c r="A667" s="4" t="s">
        <v>2136</v>
      </c>
      <c r="B667" s="6" t="n">
        <v>45540</v>
      </c>
      <c r="C667" s="4" t="s">
        <v>1393</v>
      </c>
      <c r="D667" s="4" t="s">
        <v>280</v>
      </c>
      <c r="E667" s="4" t="s">
        <v>6</v>
      </c>
      <c r="F667" s="4" t="s">
        <v>13</v>
      </c>
      <c r="G667" s="4" t="n">
        <v>20</v>
      </c>
      <c r="H667" s="5" t="n">
        <v>942.95</v>
      </c>
      <c r="I667" s="5" t="n">
        <v>575.86</v>
      </c>
      <c r="J667" s="9" t="n">
        <v>0</v>
      </c>
      <c r="K667" s="5" t="n">
        <f aca="false">G667*H667*(1-J667)</f>
        <v>18859</v>
      </c>
      <c r="L667" s="5" t="n">
        <f aca="false">K667-(G667*I667)</f>
        <v>7341.8</v>
      </c>
    </row>
    <row r="668" customFormat="false" ht="16.4" hidden="false" customHeight="false" outlineLevel="0" collapsed="false">
      <c r="A668" s="4" t="s">
        <v>2137</v>
      </c>
      <c r="B668" s="6" t="n">
        <v>45606</v>
      </c>
      <c r="C668" s="4" t="s">
        <v>641</v>
      </c>
      <c r="D668" s="4" t="s">
        <v>46</v>
      </c>
      <c r="E668" s="4" t="s">
        <v>6</v>
      </c>
      <c r="F668" s="4" t="s">
        <v>7</v>
      </c>
      <c r="G668" s="4" t="n">
        <v>21</v>
      </c>
      <c r="H668" s="5" t="n">
        <v>258.63</v>
      </c>
      <c r="I668" s="5" t="n">
        <v>157.75</v>
      </c>
      <c r="J668" s="9" t="n">
        <v>0</v>
      </c>
      <c r="K668" s="5" t="n">
        <f aca="false">G668*H668*(1-J668)</f>
        <v>5431.23</v>
      </c>
      <c r="L668" s="5" t="n">
        <f aca="false">K668-(G668*I668)</f>
        <v>2118.48</v>
      </c>
    </row>
    <row r="669" customFormat="false" ht="16.4" hidden="false" customHeight="false" outlineLevel="0" collapsed="false">
      <c r="A669" s="4" t="s">
        <v>2138</v>
      </c>
      <c r="B669" s="6" t="n">
        <v>45897</v>
      </c>
      <c r="C669" s="4" t="s">
        <v>1089</v>
      </c>
      <c r="D669" s="4" t="s">
        <v>272</v>
      </c>
      <c r="E669" s="4" t="s">
        <v>24</v>
      </c>
      <c r="F669" s="4" t="s">
        <v>7</v>
      </c>
      <c r="G669" s="4" t="n">
        <v>6</v>
      </c>
      <c r="H669" s="5" t="n">
        <v>1043.55</v>
      </c>
      <c r="I669" s="5" t="n">
        <v>441.1</v>
      </c>
      <c r="J669" s="9" t="n">
        <v>0.15</v>
      </c>
      <c r="K669" s="5" t="n">
        <f aca="false">G669*H669*(1-J669)</f>
        <v>5322.105</v>
      </c>
      <c r="L669" s="5" t="n">
        <f aca="false">K669-(G669*I669)</f>
        <v>2675.505</v>
      </c>
    </row>
    <row r="670" customFormat="false" ht="16.4" hidden="false" customHeight="false" outlineLevel="0" collapsed="false">
      <c r="A670" s="4" t="s">
        <v>2139</v>
      </c>
      <c r="B670" s="6" t="n">
        <v>46110</v>
      </c>
      <c r="C670" s="4" t="s">
        <v>581</v>
      </c>
      <c r="D670" s="4" t="s">
        <v>94</v>
      </c>
      <c r="E670" s="4" t="s">
        <v>6</v>
      </c>
      <c r="F670" s="4" t="s">
        <v>13</v>
      </c>
      <c r="G670" s="4" t="n">
        <v>16</v>
      </c>
      <c r="H670" s="5" t="n">
        <v>740.54</v>
      </c>
      <c r="I670" s="5" t="n">
        <v>304.46</v>
      </c>
      <c r="J670" s="9" t="n">
        <v>0.08</v>
      </c>
      <c r="K670" s="5" t="n">
        <f aca="false">G670*H670*(1-J670)</f>
        <v>10900.7488</v>
      </c>
      <c r="L670" s="5" t="n">
        <f aca="false">K670-(G670*I670)</f>
        <v>6029.3888</v>
      </c>
    </row>
    <row r="671" customFormat="false" ht="16.4" hidden="false" customHeight="false" outlineLevel="0" collapsed="false">
      <c r="A671" s="4" t="s">
        <v>2140</v>
      </c>
      <c r="B671" s="6" t="n">
        <v>45637</v>
      </c>
      <c r="C671" s="4" t="s">
        <v>1287</v>
      </c>
      <c r="D671" s="4" t="s">
        <v>72</v>
      </c>
      <c r="E671" s="4" t="s">
        <v>18</v>
      </c>
      <c r="F671" s="4" t="s">
        <v>25</v>
      </c>
      <c r="G671" s="4" t="n">
        <v>7</v>
      </c>
      <c r="H671" s="5" t="n">
        <v>496.37</v>
      </c>
      <c r="I671" s="5" t="n">
        <v>186.87</v>
      </c>
      <c r="J671" s="9" t="n">
        <v>0.05</v>
      </c>
      <c r="K671" s="5" t="n">
        <f aca="false">G671*H671*(1-J671)</f>
        <v>3300.8605</v>
      </c>
      <c r="L671" s="5" t="n">
        <f aca="false">K671-(G671*I671)</f>
        <v>1992.7705</v>
      </c>
    </row>
    <row r="672" customFormat="false" ht="16.4" hidden="false" customHeight="false" outlineLevel="0" collapsed="false">
      <c r="A672" s="4" t="s">
        <v>2141</v>
      </c>
      <c r="B672" s="6" t="n">
        <v>45850</v>
      </c>
      <c r="C672" s="4" t="s">
        <v>587</v>
      </c>
      <c r="D672" s="4" t="s">
        <v>206</v>
      </c>
      <c r="E672" s="4" t="s">
        <v>18</v>
      </c>
      <c r="F672" s="4" t="s">
        <v>13</v>
      </c>
      <c r="G672" s="4" t="n">
        <v>22</v>
      </c>
      <c r="H672" s="5" t="n">
        <v>152.37</v>
      </c>
      <c r="I672" s="5" t="n">
        <v>79.82</v>
      </c>
      <c r="J672" s="9" t="n">
        <v>0.08</v>
      </c>
      <c r="K672" s="5" t="n">
        <f aca="false">G672*H672*(1-J672)</f>
        <v>3083.9688</v>
      </c>
      <c r="L672" s="5" t="n">
        <f aca="false">K672-(G672*I672)</f>
        <v>1327.9288</v>
      </c>
    </row>
    <row r="673" customFormat="false" ht="16.4" hidden="false" customHeight="false" outlineLevel="0" collapsed="false">
      <c r="A673" s="4" t="s">
        <v>2142</v>
      </c>
      <c r="B673" s="6" t="n">
        <v>45338</v>
      </c>
      <c r="C673" s="4" t="s">
        <v>1321</v>
      </c>
      <c r="D673" s="4" t="s">
        <v>204</v>
      </c>
      <c r="E673" s="4" t="s">
        <v>6</v>
      </c>
      <c r="F673" s="4" t="s">
        <v>13</v>
      </c>
      <c r="G673" s="4" t="n">
        <v>7</v>
      </c>
      <c r="H673" s="5" t="n">
        <v>160.53</v>
      </c>
      <c r="I673" s="5" t="n">
        <v>118.5</v>
      </c>
      <c r="J673" s="9" t="n">
        <v>0.15</v>
      </c>
      <c r="K673" s="5" t="n">
        <f aca="false">G673*H673*(1-J673)</f>
        <v>955.1535</v>
      </c>
      <c r="L673" s="5" t="n">
        <f aca="false">K673-(G673*I673)</f>
        <v>125.6535</v>
      </c>
    </row>
    <row r="674" customFormat="false" ht="16.4" hidden="false" customHeight="false" outlineLevel="0" collapsed="false">
      <c r="A674" s="4" t="s">
        <v>2143</v>
      </c>
      <c r="B674" s="6" t="n">
        <v>45436</v>
      </c>
      <c r="C674" s="4" t="s">
        <v>527</v>
      </c>
      <c r="D674" s="4" t="s">
        <v>210</v>
      </c>
      <c r="E674" s="4" t="s">
        <v>6</v>
      </c>
      <c r="F674" s="4" t="s">
        <v>25</v>
      </c>
      <c r="G674" s="4" t="n">
        <v>4</v>
      </c>
      <c r="H674" s="5" t="n">
        <v>77.15</v>
      </c>
      <c r="I674" s="5" t="n">
        <v>40.46</v>
      </c>
      <c r="J674" s="9" t="n">
        <v>0.02</v>
      </c>
      <c r="K674" s="5" t="n">
        <f aca="false">G674*H674*(1-J674)</f>
        <v>302.428</v>
      </c>
      <c r="L674" s="5" t="n">
        <f aca="false">K674-(G674*I674)</f>
        <v>140.588</v>
      </c>
    </row>
    <row r="675" customFormat="false" ht="16.4" hidden="false" customHeight="false" outlineLevel="0" collapsed="false">
      <c r="A675" s="4" t="s">
        <v>2144</v>
      </c>
      <c r="B675" s="6" t="n">
        <v>45460</v>
      </c>
      <c r="C675" s="4" t="s">
        <v>1177</v>
      </c>
      <c r="D675" s="4" t="s">
        <v>126</v>
      </c>
      <c r="E675" s="4" t="s">
        <v>12</v>
      </c>
      <c r="F675" s="4" t="s">
        <v>25</v>
      </c>
      <c r="G675" s="4" t="n">
        <v>12</v>
      </c>
      <c r="H675" s="5" t="n">
        <v>880.65</v>
      </c>
      <c r="I675" s="5" t="n">
        <v>590.24</v>
      </c>
      <c r="J675" s="9" t="n">
        <v>0.08</v>
      </c>
      <c r="K675" s="5" t="n">
        <f aca="false">G675*H675*(1-J675)</f>
        <v>9722.376</v>
      </c>
      <c r="L675" s="5" t="n">
        <f aca="false">K675-(G675*I675)</f>
        <v>2639.496</v>
      </c>
    </row>
    <row r="676" customFormat="false" ht="16.4" hidden="false" customHeight="false" outlineLevel="0" collapsed="false">
      <c r="A676" s="4" t="s">
        <v>2145</v>
      </c>
      <c r="B676" s="6" t="n">
        <v>45428</v>
      </c>
      <c r="C676" s="4" t="s">
        <v>1411</v>
      </c>
      <c r="D676" s="4" t="s">
        <v>164</v>
      </c>
      <c r="E676" s="4" t="s">
        <v>24</v>
      </c>
      <c r="F676" s="4" t="s">
        <v>7</v>
      </c>
      <c r="G676" s="4" t="n">
        <v>19</v>
      </c>
      <c r="H676" s="5" t="n">
        <v>1181.03</v>
      </c>
      <c r="I676" s="5" t="n">
        <v>794.64</v>
      </c>
      <c r="J676" s="9" t="n">
        <v>0</v>
      </c>
      <c r="K676" s="5" t="n">
        <f aca="false">G676*H676*(1-J676)</f>
        <v>22439.57</v>
      </c>
      <c r="L676" s="5" t="n">
        <f aca="false">K676-(G676*I676)</f>
        <v>7341.41</v>
      </c>
    </row>
    <row r="677" customFormat="false" ht="16.4" hidden="false" customHeight="false" outlineLevel="0" collapsed="false">
      <c r="A677" s="4" t="s">
        <v>2146</v>
      </c>
      <c r="B677" s="6" t="n">
        <v>45453</v>
      </c>
      <c r="C677" s="4" t="s">
        <v>1091</v>
      </c>
      <c r="D677" s="4" t="s">
        <v>362</v>
      </c>
      <c r="E677" s="4" t="s">
        <v>30</v>
      </c>
      <c r="F677" s="4" t="s">
        <v>7</v>
      </c>
      <c r="G677" s="4" t="n">
        <v>13</v>
      </c>
      <c r="H677" s="5" t="n">
        <v>159.86</v>
      </c>
      <c r="I677" s="5" t="n">
        <v>70.33</v>
      </c>
      <c r="J677" s="9" t="n">
        <v>0.15</v>
      </c>
      <c r="K677" s="5" t="n">
        <f aca="false">G677*H677*(1-J677)</f>
        <v>1766.453</v>
      </c>
      <c r="L677" s="5" t="n">
        <f aca="false">K677-(G677*I677)</f>
        <v>852.163</v>
      </c>
    </row>
    <row r="678" customFormat="false" ht="16.4" hidden="false" customHeight="false" outlineLevel="0" collapsed="false">
      <c r="A678" s="4" t="s">
        <v>2147</v>
      </c>
      <c r="B678" s="6" t="n">
        <v>45475</v>
      </c>
      <c r="C678" s="4" t="s">
        <v>546</v>
      </c>
      <c r="D678" s="4" t="s">
        <v>288</v>
      </c>
      <c r="E678" s="4" t="s">
        <v>24</v>
      </c>
      <c r="F678" s="4" t="s">
        <v>7</v>
      </c>
      <c r="G678" s="4" t="n">
        <v>1</v>
      </c>
      <c r="H678" s="5" t="n">
        <v>1158.55</v>
      </c>
      <c r="I678" s="5" t="n">
        <v>455.59</v>
      </c>
      <c r="J678" s="9" t="n">
        <v>0</v>
      </c>
      <c r="K678" s="5" t="n">
        <f aca="false">G678*H678*(1-J678)</f>
        <v>1158.55</v>
      </c>
      <c r="L678" s="5" t="n">
        <f aca="false">K678-(G678*I678)</f>
        <v>702.96</v>
      </c>
    </row>
    <row r="679" customFormat="false" ht="16.4" hidden="false" customHeight="false" outlineLevel="0" collapsed="false">
      <c r="A679" s="4" t="s">
        <v>2148</v>
      </c>
      <c r="B679" s="6" t="n">
        <v>45718</v>
      </c>
      <c r="C679" s="4" t="s">
        <v>1131</v>
      </c>
      <c r="D679" s="4" t="s">
        <v>400</v>
      </c>
      <c r="E679" s="4" t="s">
        <v>24</v>
      </c>
      <c r="F679" s="4" t="s">
        <v>25</v>
      </c>
      <c r="G679" s="4" t="n">
        <v>19</v>
      </c>
      <c r="H679" s="5" t="n">
        <v>622.92</v>
      </c>
      <c r="I679" s="5" t="n">
        <v>286.15</v>
      </c>
      <c r="J679" s="9" t="n">
        <v>0.02</v>
      </c>
      <c r="K679" s="5" t="n">
        <f aca="false">G679*H679*(1-J679)</f>
        <v>11598.7704</v>
      </c>
      <c r="L679" s="5" t="n">
        <f aca="false">K679-(G679*I679)</f>
        <v>6161.9204</v>
      </c>
    </row>
    <row r="680" customFormat="false" ht="16.4" hidden="false" customHeight="false" outlineLevel="0" collapsed="false">
      <c r="A680" s="4" t="s">
        <v>2149</v>
      </c>
      <c r="B680" s="6" t="n">
        <v>45947</v>
      </c>
      <c r="C680" s="4" t="s">
        <v>593</v>
      </c>
      <c r="D680" s="4" t="s">
        <v>394</v>
      </c>
      <c r="E680" s="4" t="s">
        <v>24</v>
      </c>
      <c r="F680" s="4" t="s">
        <v>19</v>
      </c>
      <c r="G680" s="4" t="n">
        <v>7</v>
      </c>
      <c r="H680" s="5" t="n">
        <v>964.19</v>
      </c>
      <c r="I680" s="5" t="n">
        <v>611.21</v>
      </c>
      <c r="J680" s="9" t="n">
        <v>0</v>
      </c>
      <c r="K680" s="5" t="n">
        <f aca="false">G680*H680*(1-J680)</f>
        <v>6749.33</v>
      </c>
      <c r="L680" s="5" t="n">
        <f aca="false">K680-(G680*I680)</f>
        <v>2470.86</v>
      </c>
    </row>
    <row r="681" customFormat="false" ht="16.4" hidden="false" customHeight="false" outlineLevel="0" collapsed="false">
      <c r="A681" s="4" t="s">
        <v>2150</v>
      </c>
      <c r="B681" s="6" t="n">
        <v>45470</v>
      </c>
      <c r="C681" s="4" t="s">
        <v>925</v>
      </c>
      <c r="D681" s="4" t="s">
        <v>306</v>
      </c>
      <c r="E681" s="4" t="s">
        <v>6</v>
      </c>
      <c r="F681" s="4" t="s">
        <v>7</v>
      </c>
      <c r="G681" s="4" t="n">
        <v>14</v>
      </c>
      <c r="H681" s="5" t="n">
        <v>995.24</v>
      </c>
      <c r="I681" s="5" t="n">
        <v>584.2</v>
      </c>
      <c r="J681" s="9" t="n">
        <v>0</v>
      </c>
      <c r="K681" s="5" t="n">
        <f aca="false">G681*H681*(1-J681)</f>
        <v>13933.36</v>
      </c>
      <c r="L681" s="5" t="n">
        <f aca="false">K681-(G681*I681)</f>
        <v>5754.56</v>
      </c>
    </row>
    <row r="682" customFormat="false" ht="16.4" hidden="false" customHeight="false" outlineLevel="0" collapsed="false">
      <c r="A682" s="4" t="s">
        <v>2151</v>
      </c>
      <c r="B682" s="6" t="n">
        <v>45918</v>
      </c>
      <c r="C682" s="4" t="s">
        <v>649</v>
      </c>
      <c r="D682" s="4" t="s">
        <v>344</v>
      </c>
      <c r="E682" s="4" t="s">
        <v>12</v>
      </c>
      <c r="F682" s="4" t="s">
        <v>7</v>
      </c>
      <c r="G682" s="4" t="n">
        <v>23</v>
      </c>
      <c r="H682" s="5" t="n">
        <v>200.31</v>
      </c>
      <c r="I682" s="5" t="n">
        <v>115.21</v>
      </c>
      <c r="J682" s="9" t="n">
        <v>0.05</v>
      </c>
      <c r="K682" s="5" t="n">
        <f aca="false">G682*H682*(1-J682)</f>
        <v>4376.7735</v>
      </c>
      <c r="L682" s="5" t="n">
        <f aca="false">K682-(G682*I682)</f>
        <v>1726.9435</v>
      </c>
    </row>
    <row r="683" customFormat="false" ht="16.4" hidden="false" customHeight="false" outlineLevel="0" collapsed="false">
      <c r="A683" s="4" t="s">
        <v>2152</v>
      </c>
      <c r="B683" s="6" t="n">
        <v>45720</v>
      </c>
      <c r="C683" s="4" t="s">
        <v>1311</v>
      </c>
      <c r="D683" s="4" t="s">
        <v>360</v>
      </c>
      <c r="E683" s="4" t="s">
        <v>24</v>
      </c>
      <c r="F683" s="4" t="s">
        <v>7</v>
      </c>
      <c r="G683" s="4" t="n">
        <v>10</v>
      </c>
      <c r="H683" s="5" t="n">
        <v>1110.6</v>
      </c>
      <c r="I683" s="5" t="n">
        <v>738.69</v>
      </c>
      <c r="J683" s="9" t="n">
        <v>0.02</v>
      </c>
      <c r="K683" s="5" t="n">
        <f aca="false">G683*H683*(1-J683)</f>
        <v>10883.88</v>
      </c>
      <c r="L683" s="5" t="n">
        <f aca="false">K683-(G683*I683)</f>
        <v>3496.98</v>
      </c>
    </row>
    <row r="684" customFormat="false" ht="16.4" hidden="false" customHeight="false" outlineLevel="0" collapsed="false">
      <c r="A684" s="4" t="s">
        <v>2153</v>
      </c>
      <c r="B684" s="6" t="n">
        <v>45834</v>
      </c>
      <c r="C684" s="4" t="s">
        <v>705</v>
      </c>
      <c r="D684" s="4" t="s">
        <v>324</v>
      </c>
      <c r="E684" s="4" t="s">
        <v>30</v>
      </c>
      <c r="F684" s="4" t="s">
        <v>7</v>
      </c>
      <c r="G684" s="4" t="n">
        <v>7</v>
      </c>
      <c r="H684" s="5" t="n">
        <v>1196.04</v>
      </c>
      <c r="I684" s="5" t="n">
        <v>681.93</v>
      </c>
      <c r="J684" s="9" t="n">
        <v>0</v>
      </c>
      <c r="K684" s="5" t="n">
        <f aca="false">G684*H684*(1-J684)</f>
        <v>8372.28</v>
      </c>
      <c r="L684" s="5" t="n">
        <f aca="false">K684-(G684*I684)</f>
        <v>3598.77</v>
      </c>
    </row>
    <row r="685" customFormat="false" ht="16.4" hidden="false" customHeight="false" outlineLevel="0" collapsed="false">
      <c r="A685" s="4" t="s">
        <v>2154</v>
      </c>
      <c r="B685" s="6" t="n">
        <v>45811</v>
      </c>
      <c r="C685" s="4" t="s">
        <v>835</v>
      </c>
      <c r="D685" s="4" t="s">
        <v>356</v>
      </c>
      <c r="E685" s="4" t="s">
        <v>18</v>
      </c>
      <c r="F685" s="4" t="s">
        <v>13</v>
      </c>
      <c r="G685" s="4" t="n">
        <v>25</v>
      </c>
      <c r="H685" s="5" t="n">
        <v>835.01</v>
      </c>
      <c r="I685" s="5" t="n">
        <v>449.21</v>
      </c>
      <c r="J685" s="9" t="n">
        <v>0.08</v>
      </c>
      <c r="K685" s="5" t="n">
        <f aca="false">G685*H685*(1-J685)</f>
        <v>19205.23</v>
      </c>
      <c r="L685" s="5" t="n">
        <f aca="false">K685-(G685*I685)</f>
        <v>7974.98</v>
      </c>
    </row>
    <row r="686" customFormat="false" ht="16.4" hidden="false" customHeight="false" outlineLevel="0" collapsed="false">
      <c r="A686" s="4" t="s">
        <v>2155</v>
      </c>
      <c r="B686" s="6" t="n">
        <v>45505</v>
      </c>
      <c r="C686" s="4" t="s">
        <v>1253</v>
      </c>
      <c r="D686" s="4" t="s">
        <v>276</v>
      </c>
      <c r="E686" s="4" t="s">
        <v>30</v>
      </c>
      <c r="F686" s="4" t="s">
        <v>19</v>
      </c>
      <c r="G686" s="4" t="n">
        <v>21</v>
      </c>
      <c r="H686" s="5" t="n">
        <v>908.61</v>
      </c>
      <c r="I686" s="5" t="n">
        <v>620.37</v>
      </c>
      <c r="J686" s="9" t="n">
        <v>0.1</v>
      </c>
      <c r="K686" s="5" t="n">
        <f aca="false">G686*H686*(1-J686)</f>
        <v>17172.729</v>
      </c>
      <c r="L686" s="5" t="n">
        <f aca="false">K686-(G686*I686)</f>
        <v>4144.959</v>
      </c>
    </row>
    <row r="687" customFormat="false" ht="16.4" hidden="false" customHeight="false" outlineLevel="0" collapsed="false">
      <c r="A687" s="4" t="s">
        <v>2156</v>
      </c>
      <c r="B687" s="6" t="n">
        <v>45444</v>
      </c>
      <c r="C687" s="4" t="s">
        <v>663</v>
      </c>
      <c r="D687" s="4" t="s">
        <v>66</v>
      </c>
      <c r="E687" s="4" t="s">
        <v>24</v>
      </c>
      <c r="F687" s="4" t="s">
        <v>25</v>
      </c>
      <c r="G687" s="4" t="n">
        <v>4</v>
      </c>
      <c r="H687" s="5" t="n">
        <v>771.1</v>
      </c>
      <c r="I687" s="5" t="n">
        <v>434.64</v>
      </c>
      <c r="J687" s="9" t="n">
        <v>0.15</v>
      </c>
      <c r="K687" s="5" t="n">
        <f aca="false">G687*H687*(1-J687)</f>
        <v>2621.74</v>
      </c>
      <c r="L687" s="5" t="n">
        <f aca="false">K687-(G687*I687)</f>
        <v>883.18</v>
      </c>
    </row>
    <row r="688" customFormat="false" ht="16.4" hidden="false" customHeight="false" outlineLevel="0" collapsed="false">
      <c r="A688" s="4" t="s">
        <v>2157</v>
      </c>
      <c r="B688" s="6" t="n">
        <v>45336</v>
      </c>
      <c r="C688" s="4" t="s">
        <v>645</v>
      </c>
      <c r="D688" s="4" t="s">
        <v>294</v>
      </c>
      <c r="E688" s="4" t="s">
        <v>6</v>
      </c>
      <c r="F688" s="4" t="s">
        <v>7</v>
      </c>
      <c r="G688" s="4" t="n">
        <v>6</v>
      </c>
      <c r="H688" s="5" t="n">
        <v>1024.09</v>
      </c>
      <c r="I688" s="5" t="n">
        <v>604.38</v>
      </c>
      <c r="J688" s="9" t="n">
        <v>0.1</v>
      </c>
      <c r="K688" s="5" t="n">
        <f aca="false">G688*H688*(1-J688)</f>
        <v>5530.086</v>
      </c>
      <c r="L688" s="5" t="n">
        <f aca="false">K688-(G688*I688)</f>
        <v>1903.806</v>
      </c>
    </row>
    <row r="689" customFormat="false" ht="16.4" hidden="false" customHeight="false" outlineLevel="0" collapsed="false">
      <c r="A689" s="4" t="s">
        <v>2158</v>
      </c>
      <c r="B689" s="6" t="n">
        <v>45737</v>
      </c>
      <c r="C689" s="4" t="s">
        <v>837</v>
      </c>
      <c r="D689" s="4" t="s">
        <v>370</v>
      </c>
      <c r="E689" s="4" t="s">
        <v>18</v>
      </c>
      <c r="F689" s="4" t="s">
        <v>19</v>
      </c>
      <c r="G689" s="4" t="n">
        <v>10</v>
      </c>
      <c r="H689" s="5" t="n">
        <v>888.08</v>
      </c>
      <c r="I689" s="5" t="n">
        <v>525.29</v>
      </c>
      <c r="J689" s="9" t="n">
        <v>0</v>
      </c>
      <c r="K689" s="5" t="n">
        <f aca="false">G689*H689*(1-J689)</f>
        <v>8880.8</v>
      </c>
      <c r="L689" s="5" t="n">
        <f aca="false">K689-(G689*I689)</f>
        <v>3627.9</v>
      </c>
    </row>
    <row r="690" customFormat="false" ht="16.4" hidden="false" customHeight="false" outlineLevel="0" collapsed="false">
      <c r="A690" s="4" t="s">
        <v>2159</v>
      </c>
      <c r="B690" s="6" t="n">
        <v>45336</v>
      </c>
      <c r="C690" s="4" t="s">
        <v>1095</v>
      </c>
      <c r="D690" s="4" t="s">
        <v>210</v>
      </c>
      <c r="E690" s="4" t="s">
        <v>6</v>
      </c>
      <c r="F690" s="4" t="s">
        <v>7</v>
      </c>
      <c r="G690" s="4" t="n">
        <v>25</v>
      </c>
      <c r="H690" s="5" t="n">
        <v>77.15</v>
      </c>
      <c r="I690" s="5" t="n">
        <v>40.46</v>
      </c>
      <c r="J690" s="9" t="n">
        <v>0.05</v>
      </c>
      <c r="K690" s="5" t="n">
        <f aca="false">G690*H690*(1-J690)</f>
        <v>1832.3125</v>
      </c>
      <c r="L690" s="5" t="n">
        <f aca="false">K690-(G690*I690)</f>
        <v>820.8125</v>
      </c>
    </row>
    <row r="691" customFormat="false" ht="16.4" hidden="false" customHeight="false" outlineLevel="0" collapsed="false">
      <c r="A691" s="4" t="s">
        <v>2160</v>
      </c>
      <c r="B691" s="6" t="n">
        <v>45453</v>
      </c>
      <c r="C691" s="4" t="s">
        <v>514</v>
      </c>
      <c r="D691" s="4" t="s">
        <v>418</v>
      </c>
      <c r="E691" s="4" t="s">
        <v>30</v>
      </c>
      <c r="F691" s="4" t="s">
        <v>7</v>
      </c>
      <c r="G691" s="4" t="n">
        <v>18</v>
      </c>
      <c r="H691" s="5" t="n">
        <v>1186.39</v>
      </c>
      <c r="I691" s="5" t="n">
        <v>791.27</v>
      </c>
      <c r="J691" s="9" t="n">
        <v>0</v>
      </c>
      <c r="K691" s="5" t="n">
        <f aca="false">G691*H691*(1-J691)</f>
        <v>21355.02</v>
      </c>
      <c r="L691" s="5" t="n">
        <f aca="false">K691-(G691*I691)</f>
        <v>7112.16</v>
      </c>
    </row>
    <row r="692" customFormat="false" ht="16.4" hidden="false" customHeight="false" outlineLevel="0" collapsed="false">
      <c r="A692" s="4" t="s">
        <v>2161</v>
      </c>
      <c r="B692" s="6" t="n">
        <v>45532</v>
      </c>
      <c r="C692" s="4" t="s">
        <v>991</v>
      </c>
      <c r="D692" s="4" t="s">
        <v>288</v>
      </c>
      <c r="E692" s="4" t="s">
        <v>12</v>
      </c>
      <c r="F692" s="4" t="s">
        <v>25</v>
      </c>
      <c r="G692" s="4" t="n">
        <v>4</v>
      </c>
      <c r="H692" s="5" t="n">
        <v>1158.55</v>
      </c>
      <c r="I692" s="5" t="n">
        <v>455.59</v>
      </c>
      <c r="J692" s="9" t="n">
        <v>0</v>
      </c>
      <c r="K692" s="5" t="n">
        <f aca="false">G692*H692*(1-J692)</f>
        <v>4634.2</v>
      </c>
      <c r="L692" s="5" t="n">
        <f aca="false">K692-(G692*I692)</f>
        <v>2811.84</v>
      </c>
    </row>
    <row r="693" customFormat="false" ht="16.4" hidden="false" customHeight="false" outlineLevel="0" collapsed="false">
      <c r="A693" s="4" t="s">
        <v>2162</v>
      </c>
      <c r="B693" s="6" t="n">
        <v>45495</v>
      </c>
      <c r="C693" s="4" t="s">
        <v>1057</v>
      </c>
      <c r="D693" s="4" t="s">
        <v>342</v>
      </c>
      <c r="E693" s="4" t="s">
        <v>12</v>
      </c>
      <c r="F693" s="4" t="s">
        <v>19</v>
      </c>
      <c r="G693" s="4" t="n">
        <v>11</v>
      </c>
      <c r="H693" s="5" t="n">
        <v>990.99</v>
      </c>
      <c r="I693" s="5" t="n">
        <v>505.69</v>
      </c>
      <c r="J693" s="9" t="n">
        <v>0.05</v>
      </c>
      <c r="K693" s="5" t="n">
        <f aca="false">G693*H693*(1-J693)</f>
        <v>10355.8455</v>
      </c>
      <c r="L693" s="5" t="n">
        <f aca="false">K693-(G693*I693)</f>
        <v>4793.2555</v>
      </c>
    </row>
    <row r="694" customFormat="false" ht="16.4" hidden="false" customHeight="false" outlineLevel="0" collapsed="false">
      <c r="A694" s="4" t="s">
        <v>2163</v>
      </c>
      <c r="B694" s="6" t="n">
        <v>45525</v>
      </c>
      <c r="C694" s="4" t="s">
        <v>1261</v>
      </c>
      <c r="D694" s="4" t="s">
        <v>156</v>
      </c>
      <c r="E694" s="4" t="s">
        <v>12</v>
      </c>
      <c r="F694" s="4" t="s">
        <v>7</v>
      </c>
      <c r="G694" s="4" t="n">
        <v>4</v>
      </c>
      <c r="H694" s="5" t="n">
        <v>814.24</v>
      </c>
      <c r="I694" s="5" t="n">
        <v>382.69</v>
      </c>
      <c r="J694" s="9" t="n">
        <v>0.02</v>
      </c>
      <c r="K694" s="5" t="n">
        <f aca="false">G694*H694*(1-J694)</f>
        <v>3191.8208</v>
      </c>
      <c r="L694" s="5" t="n">
        <f aca="false">K694-(G694*I694)</f>
        <v>1661.0608</v>
      </c>
    </row>
    <row r="695" customFormat="false" ht="16.4" hidden="false" customHeight="false" outlineLevel="0" collapsed="false">
      <c r="A695" s="4" t="s">
        <v>2164</v>
      </c>
      <c r="B695" s="6" t="n">
        <v>45496</v>
      </c>
      <c r="C695" s="4" t="s">
        <v>1219</v>
      </c>
      <c r="D695" s="4" t="s">
        <v>160</v>
      </c>
      <c r="E695" s="4" t="s">
        <v>18</v>
      </c>
      <c r="F695" s="4" t="s">
        <v>25</v>
      </c>
      <c r="G695" s="4" t="n">
        <v>14</v>
      </c>
      <c r="H695" s="5" t="n">
        <v>275.46</v>
      </c>
      <c r="I695" s="5" t="n">
        <v>125.63</v>
      </c>
      <c r="J695" s="9" t="n">
        <v>0.15</v>
      </c>
      <c r="K695" s="5" t="n">
        <f aca="false">G695*H695*(1-J695)</f>
        <v>3277.974</v>
      </c>
      <c r="L695" s="5" t="n">
        <f aca="false">K695-(G695*I695)</f>
        <v>1519.154</v>
      </c>
    </row>
    <row r="696" customFormat="false" ht="16.4" hidden="false" customHeight="false" outlineLevel="0" collapsed="false">
      <c r="A696" s="4" t="s">
        <v>2165</v>
      </c>
      <c r="B696" s="6" t="n">
        <v>45788</v>
      </c>
      <c r="C696" s="4" t="s">
        <v>537</v>
      </c>
      <c r="D696" s="4" t="s">
        <v>152</v>
      </c>
      <c r="E696" s="4" t="s">
        <v>12</v>
      </c>
      <c r="F696" s="4" t="s">
        <v>7</v>
      </c>
      <c r="G696" s="4" t="n">
        <v>16</v>
      </c>
      <c r="H696" s="5" t="n">
        <v>797.41</v>
      </c>
      <c r="I696" s="5" t="n">
        <v>459.38</v>
      </c>
      <c r="J696" s="9" t="n">
        <v>0.08</v>
      </c>
      <c r="K696" s="5" t="n">
        <f aca="false">G696*H696*(1-J696)</f>
        <v>11737.8752</v>
      </c>
      <c r="L696" s="5" t="n">
        <f aca="false">K696-(G696*I696)</f>
        <v>4387.7952</v>
      </c>
    </row>
    <row r="697" customFormat="false" ht="16.4" hidden="false" customHeight="false" outlineLevel="0" collapsed="false">
      <c r="A697" s="4" t="s">
        <v>2166</v>
      </c>
      <c r="B697" s="6" t="n">
        <v>45757</v>
      </c>
      <c r="C697" s="4" t="s">
        <v>613</v>
      </c>
      <c r="D697" s="4" t="s">
        <v>262</v>
      </c>
      <c r="E697" s="4" t="s">
        <v>18</v>
      </c>
      <c r="F697" s="4" t="s">
        <v>13</v>
      </c>
      <c r="G697" s="4" t="n">
        <v>7</v>
      </c>
      <c r="H697" s="5" t="n">
        <v>1027.8</v>
      </c>
      <c r="I697" s="5" t="n">
        <v>751.7</v>
      </c>
      <c r="J697" s="9" t="n">
        <v>0.08</v>
      </c>
      <c r="K697" s="5" t="n">
        <f aca="false">G697*H697*(1-J697)</f>
        <v>6619.032</v>
      </c>
      <c r="L697" s="5" t="n">
        <f aca="false">K697-(G697*I697)</f>
        <v>1357.132</v>
      </c>
    </row>
    <row r="698" customFormat="false" ht="16.4" hidden="false" customHeight="false" outlineLevel="0" collapsed="false">
      <c r="A698" s="4" t="s">
        <v>2167</v>
      </c>
      <c r="B698" s="6" t="n">
        <v>46029</v>
      </c>
      <c r="C698" s="4" t="s">
        <v>847</v>
      </c>
      <c r="D698" s="4" t="s">
        <v>238</v>
      </c>
      <c r="E698" s="4" t="s">
        <v>24</v>
      </c>
      <c r="F698" s="4" t="s">
        <v>13</v>
      </c>
      <c r="G698" s="4" t="n">
        <v>5</v>
      </c>
      <c r="H698" s="5" t="n">
        <v>282.14</v>
      </c>
      <c r="I698" s="5" t="n">
        <v>189.5</v>
      </c>
      <c r="J698" s="9" t="n">
        <v>0.05</v>
      </c>
      <c r="K698" s="5" t="n">
        <f aca="false">G698*H698*(1-J698)</f>
        <v>1340.165</v>
      </c>
      <c r="L698" s="5" t="n">
        <f aca="false">K698-(G698*I698)</f>
        <v>392.665</v>
      </c>
    </row>
    <row r="699" customFormat="false" ht="16.4" hidden="false" customHeight="false" outlineLevel="0" collapsed="false">
      <c r="A699" s="4" t="s">
        <v>2168</v>
      </c>
      <c r="B699" s="6" t="n">
        <v>45635</v>
      </c>
      <c r="C699" s="4" t="s">
        <v>831</v>
      </c>
      <c r="D699" s="4" t="s">
        <v>362</v>
      </c>
      <c r="E699" s="4" t="s">
        <v>18</v>
      </c>
      <c r="F699" s="4" t="s">
        <v>13</v>
      </c>
      <c r="G699" s="4" t="n">
        <v>9</v>
      </c>
      <c r="H699" s="5" t="n">
        <v>159.86</v>
      </c>
      <c r="I699" s="5" t="n">
        <v>70.33</v>
      </c>
      <c r="J699" s="9" t="n">
        <v>0</v>
      </c>
      <c r="K699" s="5" t="n">
        <f aca="false">G699*H699*(1-J699)</f>
        <v>1438.74</v>
      </c>
      <c r="L699" s="5" t="n">
        <f aca="false">K699-(G699*I699)</f>
        <v>805.77</v>
      </c>
    </row>
    <row r="700" customFormat="false" ht="16.4" hidden="false" customHeight="false" outlineLevel="0" collapsed="false">
      <c r="A700" s="4" t="s">
        <v>2169</v>
      </c>
      <c r="B700" s="6" t="n">
        <v>45579</v>
      </c>
      <c r="C700" s="4" t="s">
        <v>1173</v>
      </c>
      <c r="D700" s="4" t="s">
        <v>56</v>
      </c>
      <c r="E700" s="4" t="s">
        <v>24</v>
      </c>
      <c r="F700" s="4" t="s">
        <v>13</v>
      </c>
      <c r="G700" s="4" t="n">
        <v>19</v>
      </c>
      <c r="H700" s="5" t="n">
        <v>117.59</v>
      </c>
      <c r="I700" s="5" t="n">
        <v>54.95</v>
      </c>
      <c r="J700" s="9" t="n">
        <v>0</v>
      </c>
      <c r="K700" s="5" t="n">
        <f aca="false">G700*H700*(1-J700)</f>
        <v>2234.21</v>
      </c>
      <c r="L700" s="5" t="n">
        <f aca="false">K700-(G700*I700)</f>
        <v>1190.16</v>
      </c>
    </row>
    <row r="701" customFormat="false" ht="16.4" hidden="false" customHeight="false" outlineLevel="0" collapsed="false">
      <c r="A701" s="4" t="s">
        <v>2170</v>
      </c>
      <c r="B701" s="6" t="n">
        <v>45720</v>
      </c>
      <c r="C701" s="4" t="s">
        <v>1337</v>
      </c>
      <c r="D701" s="4" t="s">
        <v>96</v>
      </c>
      <c r="E701" s="4" t="s">
        <v>6</v>
      </c>
      <c r="F701" s="4" t="s">
        <v>13</v>
      </c>
      <c r="G701" s="4" t="n">
        <v>15</v>
      </c>
      <c r="H701" s="5" t="n">
        <v>1145.36</v>
      </c>
      <c r="I701" s="5" t="n">
        <v>823.48</v>
      </c>
      <c r="J701" s="9" t="n">
        <v>0.05</v>
      </c>
      <c r="K701" s="5" t="n">
        <f aca="false">G701*H701*(1-J701)</f>
        <v>16321.38</v>
      </c>
      <c r="L701" s="5" t="n">
        <f aca="false">K701-(G701*I701)</f>
        <v>3969.18</v>
      </c>
    </row>
    <row r="702" customFormat="false" ht="16.4" hidden="false" customHeight="false" outlineLevel="0" collapsed="false">
      <c r="A702" s="4" t="s">
        <v>2171</v>
      </c>
      <c r="B702" s="6" t="n">
        <v>45910</v>
      </c>
      <c r="C702" s="4" t="s">
        <v>815</v>
      </c>
      <c r="D702" s="4" t="s">
        <v>428</v>
      </c>
      <c r="E702" s="4" t="s">
        <v>30</v>
      </c>
      <c r="F702" s="4" t="s">
        <v>13</v>
      </c>
      <c r="G702" s="4" t="n">
        <v>8</v>
      </c>
      <c r="H702" s="5" t="n">
        <v>1025.82</v>
      </c>
      <c r="I702" s="5" t="n">
        <v>708.78</v>
      </c>
      <c r="J702" s="9" t="n">
        <v>0.02</v>
      </c>
      <c r="K702" s="5" t="n">
        <f aca="false">G702*H702*(1-J702)</f>
        <v>8042.4288</v>
      </c>
      <c r="L702" s="5" t="n">
        <f aca="false">K702-(G702*I702)</f>
        <v>2372.1888</v>
      </c>
    </row>
    <row r="703" customFormat="false" ht="16.4" hidden="false" customHeight="false" outlineLevel="0" collapsed="false">
      <c r="A703" s="4" t="s">
        <v>2172</v>
      </c>
      <c r="B703" s="6" t="n">
        <v>45883</v>
      </c>
      <c r="C703" s="4" t="s">
        <v>1439</v>
      </c>
      <c r="D703" s="4" t="s">
        <v>366</v>
      </c>
      <c r="E703" s="4" t="s">
        <v>18</v>
      </c>
      <c r="F703" s="4" t="s">
        <v>13</v>
      </c>
      <c r="G703" s="4" t="n">
        <v>20</v>
      </c>
      <c r="H703" s="5" t="n">
        <v>171.12</v>
      </c>
      <c r="I703" s="5" t="n">
        <v>107.03</v>
      </c>
      <c r="J703" s="9" t="n">
        <v>0</v>
      </c>
      <c r="K703" s="5" t="n">
        <f aca="false">G703*H703*(1-J703)</f>
        <v>3422.4</v>
      </c>
      <c r="L703" s="5" t="n">
        <f aca="false">K703-(G703*I703)</f>
        <v>1281.8</v>
      </c>
    </row>
    <row r="704" customFormat="false" ht="16.4" hidden="false" customHeight="false" outlineLevel="0" collapsed="false">
      <c r="A704" s="4" t="s">
        <v>2173</v>
      </c>
      <c r="B704" s="6" t="n">
        <v>46174</v>
      </c>
      <c r="C704" s="4" t="s">
        <v>885</v>
      </c>
      <c r="D704" s="4" t="s">
        <v>84</v>
      </c>
      <c r="E704" s="4" t="s">
        <v>12</v>
      </c>
      <c r="F704" s="4" t="s">
        <v>13</v>
      </c>
      <c r="G704" s="4" t="n">
        <v>17</v>
      </c>
      <c r="H704" s="5" t="n">
        <v>473.4</v>
      </c>
      <c r="I704" s="5" t="n">
        <v>354.32</v>
      </c>
      <c r="J704" s="9" t="n">
        <v>0.05</v>
      </c>
      <c r="K704" s="5" t="n">
        <f aca="false">G704*H704*(1-J704)</f>
        <v>7645.41</v>
      </c>
      <c r="L704" s="5" t="n">
        <f aca="false">K704-(G704*I704)</f>
        <v>1621.97</v>
      </c>
    </row>
    <row r="705" customFormat="false" ht="16.4" hidden="false" customHeight="false" outlineLevel="0" collapsed="false">
      <c r="A705" s="4" t="s">
        <v>2174</v>
      </c>
      <c r="B705" s="6" t="n">
        <v>45306</v>
      </c>
      <c r="C705" s="4" t="s">
        <v>949</v>
      </c>
      <c r="D705" s="4" t="s">
        <v>342</v>
      </c>
      <c r="E705" s="4" t="s">
        <v>18</v>
      </c>
      <c r="F705" s="4" t="s">
        <v>25</v>
      </c>
      <c r="G705" s="4" t="n">
        <v>15</v>
      </c>
      <c r="H705" s="5" t="n">
        <v>990.99</v>
      </c>
      <c r="I705" s="5" t="n">
        <v>505.69</v>
      </c>
      <c r="J705" s="9" t="n">
        <v>0.02</v>
      </c>
      <c r="K705" s="5" t="n">
        <f aca="false">G705*H705*(1-J705)</f>
        <v>14567.553</v>
      </c>
      <c r="L705" s="5" t="n">
        <f aca="false">K705-(G705*I705)</f>
        <v>6982.203</v>
      </c>
    </row>
    <row r="706" customFormat="false" ht="16.4" hidden="false" customHeight="false" outlineLevel="0" collapsed="false">
      <c r="A706" s="4" t="s">
        <v>2175</v>
      </c>
      <c r="B706" s="6" t="n">
        <v>45627</v>
      </c>
      <c r="C706" s="4" t="s">
        <v>1357</v>
      </c>
      <c r="D706" s="4" t="s">
        <v>416</v>
      </c>
      <c r="E706" s="4" t="s">
        <v>24</v>
      </c>
      <c r="F706" s="4" t="s">
        <v>25</v>
      </c>
      <c r="G706" s="4" t="n">
        <v>8</v>
      </c>
      <c r="H706" s="5" t="n">
        <v>900.03</v>
      </c>
      <c r="I706" s="5" t="n">
        <v>568.9</v>
      </c>
      <c r="J706" s="9" t="n">
        <v>0</v>
      </c>
      <c r="K706" s="5" t="n">
        <f aca="false">G706*H706*(1-J706)</f>
        <v>7200.24</v>
      </c>
      <c r="L706" s="5" t="n">
        <f aca="false">K706-(G706*I706)</f>
        <v>2649.04</v>
      </c>
    </row>
    <row r="707" customFormat="false" ht="16.4" hidden="false" customHeight="false" outlineLevel="0" collapsed="false">
      <c r="A707" s="4" t="s">
        <v>2176</v>
      </c>
      <c r="B707" s="6" t="n">
        <v>45879</v>
      </c>
      <c r="C707" s="4" t="s">
        <v>691</v>
      </c>
      <c r="D707" s="4" t="s">
        <v>336</v>
      </c>
      <c r="E707" s="4" t="s">
        <v>24</v>
      </c>
      <c r="F707" s="4" t="s">
        <v>7</v>
      </c>
      <c r="G707" s="4" t="n">
        <v>19</v>
      </c>
      <c r="H707" s="5" t="n">
        <v>675.2</v>
      </c>
      <c r="I707" s="5" t="n">
        <v>424.68</v>
      </c>
      <c r="J707" s="9" t="n">
        <v>0</v>
      </c>
      <c r="K707" s="5" t="n">
        <f aca="false">G707*H707*(1-J707)</f>
        <v>12828.8</v>
      </c>
      <c r="L707" s="5" t="n">
        <f aca="false">K707-(G707*I707)</f>
        <v>4759.88</v>
      </c>
    </row>
    <row r="708" customFormat="false" ht="16.4" hidden="false" customHeight="false" outlineLevel="0" collapsed="false">
      <c r="A708" s="4" t="s">
        <v>2177</v>
      </c>
      <c r="B708" s="6" t="n">
        <v>46043</v>
      </c>
      <c r="C708" s="4" t="s">
        <v>506</v>
      </c>
      <c r="D708" s="4" t="s">
        <v>252</v>
      </c>
      <c r="E708" s="4" t="s">
        <v>24</v>
      </c>
      <c r="F708" s="4" t="s">
        <v>7</v>
      </c>
      <c r="G708" s="4" t="n">
        <v>2</v>
      </c>
      <c r="H708" s="5" t="n">
        <v>300.53</v>
      </c>
      <c r="I708" s="5" t="n">
        <v>145.56</v>
      </c>
      <c r="J708" s="9" t="n">
        <v>0.05</v>
      </c>
      <c r="K708" s="5" t="n">
        <f aca="false">G708*H708*(1-J708)</f>
        <v>571.007</v>
      </c>
      <c r="L708" s="5" t="n">
        <f aca="false">K708-(G708*I708)</f>
        <v>279.887</v>
      </c>
    </row>
    <row r="709" customFormat="false" ht="16.4" hidden="false" customHeight="false" outlineLevel="0" collapsed="false">
      <c r="A709" s="4" t="s">
        <v>2178</v>
      </c>
      <c r="B709" s="6" t="n">
        <v>46121</v>
      </c>
      <c r="C709" s="4" t="s">
        <v>1007</v>
      </c>
      <c r="D709" s="4" t="s">
        <v>256</v>
      </c>
      <c r="E709" s="4" t="s">
        <v>30</v>
      </c>
      <c r="F709" s="4" t="s">
        <v>7</v>
      </c>
      <c r="G709" s="4" t="n">
        <v>13</v>
      </c>
      <c r="H709" s="5" t="n">
        <v>512.47</v>
      </c>
      <c r="I709" s="5" t="n">
        <v>247.19</v>
      </c>
      <c r="J709" s="9" t="n">
        <v>0.05</v>
      </c>
      <c r="K709" s="5" t="n">
        <f aca="false">G709*H709*(1-J709)</f>
        <v>6329.0045</v>
      </c>
      <c r="L709" s="5" t="n">
        <f aca="false">K709-(G709*I709)</f>
        <v>3115.5345</v>
      </c>
    </row>
    <row r="710" customFormat="false" ht="16.4" hidden="false" customHeight="false" outlineLevel="0" collapsed="false">
      <c r="A710" s="4" t="s">
        <v>2179</v>
      </c>
      <c r="B710" s="6" t="n">
        <v>45863</v>
      </c>
      <c r="C710" s="4" t="s">
        <v>971</v>
      </c>
      <c r="D710" s="4" t="s">
        <v>270</v>
      </c>
      <c r="E710" s="4" t="s">
        <v>18</v>
      </c>
      <c r="F710" s="4" t="s">
        <v>7</v>
      </c>
      <c r="G710" s="4" t="n">
        <v>8</v>
      </c>
      <c r="H710" s="5" t="n">
        <v>720.47</v>
      </c>
      <c r="I710" s="5" t="n">
        <v>443.23</v>
      </c>
      <c r="J710" s="9" t="n">
        <v>0</v>
      </c>
      <c r="K710" s="5" t="n">
        <f aca="false">G710*H710*(1-J710)</f>
        <v>5763.76</v>
      </c>
      <c r="L710" s="5" t="n">
        <f aca="false">K710-(G710*I710)</f>
        <v>2217.92</v>
      </c>
    </row>
    <row r="711" customFormat="false" ht="16.4" hidden="false" customHeight="false" outlineLevel="0" collapsed="false">
      <c r="A711" s="4" t="s">
        <v>2180</v>
      </c>
      <c r="B711" s="6" t="n">
        <v>45427</v>
      </c>
      <c r="C711" s="4" t="s">
        <v>1213</v>
      </c>
      <c r="D711" s="4" t="s">
        <v>394</v>
      </c>
      <c r="E711" s="4" t="s">
        <v>12</v>
      </c>
      <c r="F711" s="4" t="s">
        <v>19</v>
      </c>
      <c r="G711" s="4" t="n">
        <v>14</v>
      </c>
      <c r="H711" s="5" t="n">
        <v>964.19</v>
      </c>
      <c r="I711" s="5" t="n">
        <v>611.21</v>
      </c>
      <c r="J711" s="9" t="n">
        <v>0</v>
      </c>
      <c r="K711" s="5" t="n">
        <f aca="false">G711*H711*(1-J711)</f>
        <v>13498.66</v>
      </c>
      <c r="L711" s="5" t="n">
        <f aca="false">K711-(G711*I711)</f>
        <v>4941.72</v>
      </c>
    </row>
    <row r="712" customFormat="false" ht="16.4" hidden="false" customHeight="false" outlineLevel="0" collapsed="false">
      <c r="A712" s="4" t="s">
        <v>2181</v>
      </c>
      <c r="B712" s="6" t="n">
        <v>45308</v>
      </c>
      <c r="C712" s="4" t="s">
        <v>709</v>
      </c>
      <c r="D712" s="4" t="s">
        <v>190</v>
      </c>
      <c r="E712" s="4" t="s">
        <v>18</v>
      </c>
      <c r="F712" s="4" t="s">
        <v>25</v>
      </c>
      <c r="G712" s="4" t="n">
        <v>21</v>
      </c>
      <c r="H712" s="5" t="n">
        <v>1040.91</v>
      </c>
      <c r="I712" s="5" t="n">
        <v>770.78</v>
      </c>
      <c r="J712" s="9" t="n">
        <v>0</v>
      </c>
      <c r="K712" s="5" t="n">
        <f aca="false">G712*H712*(1-J712)</f>
        <v>21859.11</v>
      </c>
      <c r="L712" s="5" t="n">
        <f aca="false">K712-(G712*I712)</f>
        <v>5672.73</v>
      </c>
    </row>
    <row r="713" customFormat="false" ht="16.4" hidden="false" customHeight="false" outlineLevel="0" collapsed="false">
      <c r="A713" s="4" t="s">
        <v>2182</v>
      </c>
      <c r="B713" s="6" t="n">
        <v>45762</v>
      </c>
      <c r="C713" s="4" t="s">
        <v>777</v>
      </c>
      <c r="D713" s="4" t="s">
        <v>382</v>
      </c>
      <c r="E713" s="4" t="s">
        <v>18</v>
      </c>
      <c r="F713" s="4" t="s">
        <v>7</v>
      </c>
      <c r="G713" s="4" t="n">
        <v>6</v>
      </c>
      <c r="H713" s="5" t="n">
        <v>363.66</v>
      </c>
      <c r="I713" s="5" t="n">
        <v>264.77</v>
      </c>
      <c r="J713" s="9" t="n">
        <v>0.1</v>
      </c>
      <c r="K713" s="5" t="n">
        <f aca="false">G713*H713*(1-J713)</f>
        <v>1963.764</v>
      </c>
      <c r="L713" s="5" t="n">
        <f aca="false">K713-(G713*I713)</f>
        <v>375.144</v>
      </c>
    </row>
    <row r="714" customFormat="false" ht="16.4" hidden="false" customHeight="false" outlineLevel="0" collapsed="false">
      <c r="A714" s="4" t="s">
        <v>2183</v>
      </c>
      <c r="B714" s="6" t="n">
        <v>46187</v>
      </c>
      <c r="C714" s="4" t="s">
        <v>939</v>
      </c>
      <c r="D714" s="4" t="s">
        <v>272</v>
      </c>
      <c r="E714" s="4" t="s">
        <v>12</v>
      </c>
      <c r="F714" s="4" t="s">
        <v>25</v>
      </c>
      <c r="G714" s="4" t="n">
        <v>25</v>
      </c>
      <c r="H714" s="5" t="n">
        <v>1043.55</v>
      </c>
      <c r="I714" s="5" t="n">
        <v>441.1</v>
      </c>
      <c r="J714" s="9" t="n">
        <v>0</v>
      </c>
      <c r="K714" s="5" t="n">
        <f aca="false">G714*H714*(1-J714)</f>
        <v>26088.75</v>
      </c>
      <c r="L714" s="5" t="n">
        <f aca="false">K714-(G714*I714)</f>
        <v>15061.25</v>
      </c>
    </row>
    <row r="715" customFormat="false" ht="16.4" hidden="false" customHeight="false" outlineLevel="0" collapsed="false">
      <c r="A715" s="4" t="s">
        <v>2184</v>
      </c>
      <c r="B715" s="6" t="n">
        <v>45767</v>
      </c>
      <c r="C715" s="4" t="s">
        <v>1273</v>
      </c>
      <c r="D715" s="4" t="s">
        <v>134</v>
      </c>
      <c r="E715" s="4" t="s">
        <v>6</v>
      </c>
      <c r="F715" s="4" t="s">
        <v>7</v>
      </c>
      <c r="G715" s="4" t="n">
        <v>12</v>
      </c>
      <c r="H715" s="5" t="n">
        <v>1113.48</v>
      </c>
      <c r="I715" s="5" t="n">
        <v>767.72</v>
      </c>
      <c r="J715" s="9" t="n">
        <v>0.1</v>
      </c>
      <c r="K715" s="5" t="n">
        <f aca="false">G715*H715*(1-J715)</f>
        <v>12025.584</v>
      </c>
      <c r="L715" s="5" t="n">
        <f aca="false">K715-(G715*I715)</f>
        <v>2812.944</v>
      </c>
    </row>
    <row r="716" customFormat="false" ht="16.4" hidden="false" customHeight="false" outlineLevel="0" collapsed="false">
      <c r="A716" s="4" t="s">
        <v>2185</v>
      </c>
      <c r="B716" s="6" t="n">
        <v>45632</v>
      </c>
      <c r="C716" s="4" t="s">
        <v>535</v>
      </c>
      <c r="D716" s="4" t="s">
        <v>360</v>
      </c>
      <c r="E716" s="4" t="s">
        <v>30</v>
      </c>
      <c r="F716" s="4" t="s">
        <v>7</v>
      </c>
      <c r="G716" s="4" t="n">
        <v>13</v>
      </c>
      <c r="H716" s="5" t="n">
        <v>1110.6</v>
      </c>
      <c r="I716" s="5" t="n">
        <v>738.69</v>
      </c>
      <c r="J716" s="9" t="n">
        <v>0.1</v>
      </c>
      <c r="K716" s="5" t="n">
        <f aca="false">G716*H716*(1-J716)</f>
        <v>12994.02</v>
      </c>
      <c r="L716" s="5" t="n">
        <f aca="false">K716-(G716*I716)</f>
        <v>3391.05</v>
      </c>
    </row>
    <row r="717" customFormat="false" ht="16.4" hidden="false" customHeight="false" outlineLevel="0" collapsed="false">
      <c r="A717" s="4" t="s">
        <v>2186</v>
      </c>
      <c r="B717" s="6" t="n">
        <v>46006</v>
      </c>
      <c r="C717" s="4" t="s">
        <v>901</v>
      </c>
      <c r="D717" s="4" t="s">
        <v>190</v>
      </c>
      <c r="E717" s="4" t="s">
        <v>24</v>
      </c>
      <c r="F717" s="4" t="s">
        <v>13</v>
      </c>
      <c r="G717" s="4" t="n">
        <v>25</v>
      </c>
      <c r="H717" s="5" t="n">
        <v>1040.91</v>
      </c>
      <c r="I717" s="5" t="n">
        <v>770.78</v>
      </c>
      <c r="J717" s="9" t="n">
        <v>0.02</v>
      </c>
      <c r="K717" s="5" t="n">
        <f aca="false">G717*H717*(1-J717)</f>
        <v>25502.295</v>
      </c>
      <c r="L717" s="5" t="n">
        <f aca="false">K717-(G717*I717)</f>
        <v>6232.795</v>
      </c>
    </row>
    <row r="718" customFormat="false" ht="16.4" hidden="false" customHeight="false" outlineLevel="0" collapsed="false">
      <c r="A718" s="4" t="s">
        <v>2187</v>
      </c>
      <c r="B718" s="6" t="n">
        <v>46045</v>
      </c>
      <c r="C718" s="4" t="s">
        <v>546</v>
      </c>
      <c r="D718" s="4" t="s">
        <v>390</v>
      </c>
      <c r="E718" s="4" t="s">
        <v>24</v>
      </c>
      <c r="F718" s="4" t="s">
        <v>7</v>
      </c>
      <c r="G718" s="4" t="n">
        <v>20</v>
      </c>
      <c r="H718" s="5" t="n">
        <v>917.99</v>
      </c>
      <c r="I718" s="5" t="n">
        <v>396.04</v>
      </c>
      <c r="J718" s="9" t="n">
        <v>0.02</v>
      </c>
      <c r="K718" s="5" t="n">
        <f aca="false">G718*H718*(1-J718)</f>
        <v>17992.604</v>
      </c>
      <c r="L718" s="5" t="n">
        <f aca="false">K718-(G718*I718)</f>
        <v>10071.804</v>
      </c>
    </row>
    <row r="719" customFormat="false" ht="16.4" hidden="false" customHeight="false" outlineLevel="0" collapsed="false">
      <c r="A719" s="4" t="s">
        <v>2188</v>
      </c>
      <c r="B719" s="6" t="n">
        <v>46201</v>
      </c>
      <c r="C719" s="4" t="s">
        <v>1433</v>
      </c>
      <c r="D719" s="4" t="s">
        <v>302</v>
      </c>
      <c r="E719" s="4" t="s">
        <v>12</v>
      </c>
      <c r="F719" s="4" t="s">
        <v>7</v>
      </c>
      <c r="G719" s="4" t="n">
        <v>22</v>
      </c>
      <c r="H719" s="5" t="n">
        <v>231.96</v>
      </c>
      <c r="I719" s="5" t="n">
        <v>129.6</v>
      </c>
      <c r="J719" s="9" t="n">
        <v>0.02</v>
      </c>
      <c r="K719" s="5" t="n">
        <f aca="false">G719*H719*(1-J719)</f>
        <v>5001.0576</v>
      </c>
      <c r="L719" s="5" t="n">
        <f aca="false">K719-(G719*I719)</f>
        <v>2149.8576</v>
      </c>
    </row>
    <row r="720" customFormat="false" ht="16.4" hidden="false" customHeight="false" outlineLevel="0" collapsed="false">
      <c r="A720" s="4" t="s">
        <v>2189</v>
      </c>
      <c r="B720" s="6" t="n">
        <v>45925</v>
      </c>
      <c r="C720" s="4" t="s">
        <v>857</v>
      </c>
      <c r="D720" s="4" t="s">
        <v>96</v>
      </c>
      <c r="E720" s="4" t="s">
        <v>30</v>
      </c>
      <c r="F720" s="4" t="s">
        <v>7</v>
      </c>
      <c r="G720" s="4" t="n">
        <v>12</v>
      </c>
      <c r="H720" s="5" t="n">
        <v>1145.36</v>
      </c>
      <c r="I720" s="5" t="n">
        <v>823.48</v>
      </c>
      <c r="J720" s="9" t="n">
        <v>0.05</v>
      </c>
      <c r="K720" s="5" t="n">
        <f aca="false">G720*H720*(1-J720)</f>
        <v>13057.104</v>
      </c>
      <c r="L720" s="5" t="n">
        <f aca="false">K720-(G720*I720)</f>
        <v>3175.344</v>
      </c>
    </row>
    <row r="721" customFormat="false" ht="16.4" hidden="false" customHeight="false" outlineLevel="0" collapsed="false">
      <c r="A721" s="4" t="s">
        <v>2190</v>
      </c>
      <c r="B721" s="6" t="n">
        <v>45864</v>
      </c>
      <c r="C721" s="4" t="s">
        <v>839</v>
      </c>
      <c r="D721" s="4" t="s">
        <v>226</v>
      </c>
      <c r="E721" s="4" t="s">
        <v>12</v>
      </c>
      <c r="F721" s="4" t="s">
        <v>7</v>
      </c>
      <c r="G721" s="4" t="n">
        <v>6</v>
      </c>
      <c r="H721" s="5" t="n">
        <v>799.15</v>
      </c>
      <c r="I721" s="5" t="n">
        <v>370.42</v>
      </c>
      <c r="J721" s="9" t="n">
        <v>0.1</v>
      </c>
      <c r="K721" s="5" t="n">
        <f aca="false">G721*H721*(1-J721)</f>
        <v>4315.41</v>
      </c>
      <c r="L721" s="5" t="n">
        <f aca="false">K721-(G721*I721)</f>
        <v>2092.89</v>
      </c>
    </row>
    <row r="722" customFormat="false" ht="16.4" hidden="false" customHeight="false" outlineLevel="0" collapsed="false">
      <c r="A722" s="4" t="s">
        <v>2191</v>
      </c>
      <c r="B722" s="6" t="n">
        <v>45433</v>
      </c>
      <c r="C722" s="4" t="s">
        <v>1191</v>
      </c>
      <c r="D722" s="4" t="s">
        <v>326</v>
      </c>
      <c r="E722" s="4" t="s">
        <v>24</v>
      </c>
      <c r="F722" s="4" t="s">
        <v>19</v>
      </c>
      <c r="G722" s="4" t="n">
        <v>25</v>
      </c>
      <c r="H722" s="5" t="n">
        <v>385.28</v>
      </c>
      <c r="I722" s="5" t="n">
        <v>170.38</v>
      </c>
      <c r="J722" s="9" t="n">
        <v>0</v>
      </c>
      <c r="K722" s="5" t="n">
        <f aca="false">G722*H722*(1-J722)</f>
        <v>9632</v>
      </c>
      <c r="L722" s="5" t="n">
        <f aca="false">K722-(G722*I722)</f>
        <v>5372.5</v>
      </c>
    </row>
    <row r="723" customFormat="false" ht="16.4" hidden="false" customHeight="false" outlineLevel="0" collapsed="false">
      <c r="A723" s="4" t="s">
        <v>2192</v>
      </c>
      <c r="B723" s="6" t="n">
        <v>45781</v>
      </c>
      <c r="C723" s="4" t="s">
        <v>1017</v>
      </c>
      <c r="D723" s="4" t="s">
        <v>162</v>
      </c>
      <c r="E723" s="4" t="s">
        <v>24</v>
      </c>
      <c r="F723" s="4" t="s">
        <v>13</v>
      </c>
      <c r="G723" s="4" t="n">
        <v>4</v>
      </c>
      <c r="H723" s="5" t="n">
        <v>459.19</v>
      </c>
      <c r="I723" s="5" t="n">
        <v>189.69</v>
      </c>
      <c r="J723" s="9" t="n">
        <v>0.1</v>
      </c>
      <c r="K723" s="5" t="n">
        <f aca="false">G723*H723*(1-J723)</f>
        <v>1653.084</v>
      </c>
      <c r="L723" s="5" t="n">
        <f aca="false">K723-(G723*I723)</f>
        <v>894.324</v>
      </c>
    </row>
    <row r="724" customFormat="false" ht="16.4" hidden="false" customHeight="false" outlineLevel="0" collapsed="false">
      <c r="A724" s="4" t="s">
        <v>2193</v>
      </c>
      <c r="B724" s="6" t="n">
        <v>45620</v>
      </c>
      <c r="C724" s="4" t="s">
        <v>1227</v>
      </c>
      <c r="D724" s="4" t="s">
        <v>424</v>
      </c>
      <c r="E724" s="4" t="s">
        <v>12</v>
      </c>
      <c r="F724" s="4" t="s">
        <v>19</v>
      </c>
      <c r="G724" s="4" t="n">
        <v>25</v>
      </c>
      <c r="H724" s="5" t="n">
        <v>873.87</v>
      </c>
      <c r="I724" s="5" t="n">
        <v>449.16</v>
      </c>
      <c r="J724" s="9" t="n">
        <v>0</v>
      </c>
      <c r="K724" s="5" t="n">
        <f aca="false">G724*H724*(1-J724)</f>
        <v>21846.75</v>
      </c>
      <c r="L724" s="5" t="n">
        <f aca="false">K724-(G724*I724)</f>
        <v>10617.75</v>
      </c>
    </row>
    <row r="725" customFormat="false" ht="16.4" hidden="false" customHeight="false" outlineLevel="0" collapsed="false">
      <c r="A725" s="4" t="s">
        <v>2194</v>
      </c>
      <c r="B725" s="6" t="n">
        <v>45575</v>
      </c>
      <c r="C725" s="4" t="s">
        <v>979</v>
      </c>
      <c r="D725" s="4" t="s">
        <v>176</v>
      </c>
      <c r="E725" s="4" t="s">
        <v>24</v>
      </c>
      <c r="F725" s="4" t="s">
        <v>7</v>
      </c>
      <c r="G725" s="4" t="n">
        <v>22</v>
      </c>
      <c r="H725" s="5" t="n">
        <v>931.07</v>
      </c>
      <c r="I725" s="5" t="n">
        <v>563.15</v>
      </c>
      <c r="J725" s="9" t="n">
        <v>0.05</v>
      </c>
      <c r="K725" s="5" t="n">
        <f aca="false">G725*H725*(1-J725)</f>
        <v>19459.363</v>
      </c>
      <c r="L725" s="5" t="n">
        <f aca="false">K725-(G725*I725)</f>
        <v>7070.063</v>
      </c>
    </row>
    <row r="726" customFormat="false" ht="16.4" hidden="false" customHeight="false" outlineLevel="0" collapsed="false">
      <c r="A726" s="4" t="s">
        <v>2195</v>
      </c>
      <c r="B726" s="6" t="n">
        <v>45789</v>
      </c>
      <c r="C726" s="4" t="s">
        <v>845</v>
      </c>
      <c r="D726" s="4" t="s">
        <v>72</v>
      </c>
      <c r="E726" s="4" t="s">
        <v>12</v>
      </c>
      <c r="F726" s="4" t="s">
        <v>7</v>
      </c>
      <c r="G726" s="4" t="n">
        <v>12</v>
      </c>
      <c r="H726" s="5" t="n">
        <v>496.37</v>
      </c>
      <c r="I726" s="5" t="n">
        <v>186.87</v>
      </c>
      <c r="J726" s="9" t="n">
        <v>0.05</v>
      </c>
      <c r="K726" s="5" t="n">
        <f aca="false">G726*H726*(1-J726)</f>
        <v>5658.618</v>
      </c>
      <c r="L726" s="5" t="n">
        <f aca="false">K726-(G726*I726)</f>
        <v>3416.178</v>
      </c>
    </row>
    <row r="727" customFormat="false" ht="16.4" hidden="false" customHeight="false" outlineLevel="0" collapsed="false">
      <c r="A727" s="4" t="s">
        <v>2196</v>
      </c>
      <c r="B727" s="6" t="n">
        <v>46137</v>
      </c>
      <c r="C727" s="4" t="s">
        <v>1191</v>
      </c>
      <c r="D727" s="4" t="s">
        <v>280</v>
      </c>
      <c r="E727" s="4" t="s">
        <v>24</v>
      </c>
      <c r="F727" s="4" t="s">
        <v>19</v>
      </c>
      <c r="G727" s="4" t="n">
        <v>18</v>
      </c>
      <c r="H727" s="5" t="n">
        <v>942.95</v>
      </c>
      <c r="I727" s="5" t="n">
        <v>575.86</v>
      </c>
      <c r="J727" s="9" t="n">
        <v>0.1</v>
      </c>
      <c r="K727" s="5" t="n">
        <f aca="false">G727*H727*(1-J727)</f>
        <v>15275.79</v>
      </c>
      <c r="L727" s="5" t="n">
        <f aca="false">K727-(G727*I727)</f>
        <v>4910.31</v>
      </c>
    </row>
    <row r="728" customFormat="false" ht="16.4" hidden="false" customHeight="false" outlineLevel="0" collapsed="false">
      <c r="A728" s="4" t="s">
        <v>2197</v>
      </c>
      <c r="B728" s="6" t="n">
        <v>45981</v>
      </c>
      <c r="C728" s="4" t="s">
        <v>1099</v>
      </c>
      <c r="D728" s="4" t="s">
        <v>270</v>
      </c>
      <c r="E728" s="4" t="s">
        <v>24</v>
      </c>
      <c r="F728" s="4" t="s">
        <v>7</v>
      </c>
      <c r="G728" s="4" t="n">
        <v>12</v>
      </c>
      <c r="H728" s="5" t="n">
        <v>720.47</v>
      </c>
      <c r="I728" s="5" t="n">
        <v>443.23</v>
      </c>
      <c r="J728" s="9" t="n">
        <v>0.15</v>
      </c>
      <c r="K728" s="5" t="n">
        <f aca="false">G728*H728*(1-J728)</f>
        <v>7348.794</v>
      </c>
      <c r="L728" s="5" t="n">
        <f aca="false">K728-(G728*I728)</f>
        <v>2030.034</v>
      </c>
    </row>
    <row r="729" customFormat="false" ht="16.4" hidden="false" customHeight="false" outlineLevel="0" collapsed="false">
      <c r="A729" s="4" t="s">
        <v>2198</v>
      </c>
      <c r="B729" s="6" t="n">
        <v>45374</v>
      </c>
      <c r="C729" s="4" t="s">
        <v>1377</v>
      </c>
      <c r="D729" s="4" t="s">
        <v>136</v>
      </c>
      <c r="E729" s="4" t="s">
        <v>24</v>
      </c>
      <c r="F729" s="4" t="s">
        <v>25</v>
      </c>
      <c r="G729" s="4" t="n">
        <v>15</v>
      </c>
      <c r="H729" s="5" t="n">
        <v>590.6</v>
      </c>
      <c r="I729" s="5" t="n">
        <v>410.98</v>
      </c>
      <c r="J729" s="9" t="n">
        <v>0</v>
      </c>
      <c r="K729" s="5" t="n">
        <f aca="false">G729*H729*(1-J729)</f>
        <v>8859</v>
      </c>
      <c r="L729" s="5" t="n">
        <f aca="false">K729-(G729*I729)</f>
        <v>2694.3</v>
      </c>
    </row>
    <row r="730" customFormat="false" ht="16.4" hidden="false" customHeight="false" outlineLevel="0" collapsed="false">
      <c r="A730" s="4" t="s">
        <v>2199</v>
      </c>
      <c r="B730" s="6" t="n">
        <v>45460</v>
      </c>
      <c r="C730" s="4" t="s">
        <v>759</v>
      </c>
      <c r="D730" s="4" t="s">
        <v>130</v>
      </c>
      <c r="E730" s="4" t="s">
        <v>18</v>
      </c>
      <c r="F730" s="4" t="s">
        <v>19</v>
      </c>
      <c r="G730" s="4" t="n">
        <v>3</v>
      </c>
      <c r="H730" s="5" t="n">
        <v>568.59</v>
      </c>
      <c r="I730" s="5" t="n">
        <v>397.9</v>
      </c>
      <c r="J730" s="9" t="n">
        <v>0</v>
      </c>
      <c r="K730" s="5" t="n">
        <f aca="false">G730*H730*(1-J730)</f>
        <v>1705.77</v>
      </c>
      <c r="L730" s="5" t="n">
        <f aca="false">K730-(G730*I730)</f>
        <v>512.07</v>
      </c>
    </row>
    <row r="731" customFormat="false" ht="16.4" hidden="false" customHeight="false" outlineLevel="0" collapsed="false">
      <c r="A731" s="4" t="s">
        <v>2200</v>
      </c>
      <c r="B731" s="6" t="n">
        <v>45446</v>
      </c>
      <c r="C731" s="4" t="s">
        <v>1177</v>
      </c>
      <c r="D731" s="4" t="s">
        <v>96</v>
      </c>
      <c r="E731" s="4" t="s">
        <v>12</v>
      </c>
      <c r="F731" s="4" t="s">
        <v>13</v>
      </c>
      <c r="G731" s="4" t="n">
        <v>5</v>
      </c>
      <c r="H731" s="5" t="n">
        <v>1145.36</v>
      </c>
      <c r="I731" s="5" t="n">
        <v>823.48</v>
      </c>
      <c r="J731" s="9" t="n">
        <v>0.05</v>
      </c>
      <c r="K731" s="5" t="n">
        <f aca="false">G731*H731*(1-J731)</f>
        <v>5440.46</v>
      </c>
      <c r="L731" s="5" t="n">
        <f aca="false">K731-(G731*I731)</f>
        <v>1323.06</v>
      </c>
    </row>
    <row r="732" customFormat="false" ht="16.4" hidden="false" customHeight="false" outlineLevel="0" collapsed="false">
      <c r="A732" s="4" t="s">
        <v>2201</v>
      </c>
      <c r="B732" s="6" t="n">
        <v>45592</v>
      </c>
      <c r="C732" s="4" t="s">
        <v>1439</v>
      </c>
      <c r="D732" s="4" t="s">
        <v>306</v>
      </c>
      <c r="E732" s="4" t="s">
        <v>18</v>
      </c>
      <c r="F732" s="4" t="s">
        <v>25</v>
      </c>
      <c r="G732" s="4" t="n">
        <v>21</v>
      </c>
      <c r="H732" s="5" t="n">
        <v>995.24</v>
      </c>
      <c r="I732" s="5" t="n">
        <v>584.2</v>
      </c>
      <c r="J732" s="9" t="n">
        <v>0</v>
      </c>
      <c r="K732" s="5" t="n">
        <f aca="false">G732*H732*(1-J732)</f>
        <v>20900.04</v>
      </c>
      <c r="L732" s="5" t="n">
        <f aca="false">K732-(G732*I732)</f>
        <v>8631.84</v>
      </c>
    </row>
    <row r="733" customFormat="false" ht="16.4" hidden="false" customHeight="false" outlineLevel="0" collapsed="false">
      <c r="A733" s="4" t="s">
        <v>2202</v>
      </c>
      <c r="B733" s="6" t="n">
        <v>45647</v>
      </c>
      <c r="C733" s="4" t="s">
        <v>1019</v>
      </c>
      <c r="D733" s="4" t="s">
        <v>388</v>
      </c>
      <c r="E733" s="4" t="s">
        <v>18</v>
      </c>
      <c r="F733" s="4" t="s">
        <v>25</v>
      </c>
      <c r="G733" s="4" t="n">
        <v>5</v>
      </c>
      <c r="H733" s="5" t="n">
        <v>88.69</v>
      </c>
      <c r="I733" s="5" t="n">
        <v>49.43</v>
      </c>
      <c r="J733" s="9" t="n">
        <v>0.05</v>
      </c>
      <c r="K733" s="5" t="n">
        <f aca="false">G733*H733*(1-J733)</f>
        <v>421.2775</v>
      </c>
      <c r="L733" s="5" t="n">
        <f aca="false">K733-(G733*I733)</f>
        <v>174.1275</v>
      </c>
    </row>
    <row r="734" customFormat="false" ht="16.4" hidden="false" customHeight="false" outlineLevel="0" collapsed="false">
      <c r="A734" s="4" t="s">
        <v>2203</v>
      </c>
      <c r="B734" s="6" t="n">
        <v>45590</v>
      </c>
      <c r="C734" s="4" t="s">
        <v>1219</v>
      </c>
      <c r="D734" s="4" t="s">
        <v>266</v>
      </c>
      <c r="E734" s="4" t="s">
        <v>18</v>
      </c>
      <c r="F734" s="4" t="s">
        <v>13</v>
      </c>
      <c r="G734" s="4" t="n">
        <v>21</v>
      </c>
      <c r="H734" s="5" t="n">
        <v>810.93</v>
      </c>
      <c r="I734" s="5" t="n">
        <v>542.72</v>
      </c>
      <c r="J734" s="9" t="n">
        <v>0</v>
      </c>
      <c r="K734" s="5" t="n">
        <f aca="false">G734*H734*(1-J734)</f>
        <v>17029.53</v>
      </c>
      <c r="L734" s="5" t="n">
        <f aca="false">K734-(G734*I734)</f>
        <v>5632.41</v>
      </c>
    </row>
    <row r="735" customFormat="false" ht="16.4" hidden="false" customHeight="false" outlineLevel="0" collapsed="false">
      <c r="A735" s="4" t="s">
        <v>2204</v>
      </c>
      <c r="B735" s="6" t="n">
        <v>45824</v>
      </c>
      <c r="C735" s="4" t="s">
        <v>481</v>
      </c>
      <c r="D735" s="4" t="s">
        <v>72</v>
      </c>
      <c r="E735" s="4" t="s">
        <v>30</v>
      </c>
      <c r="F735" s="4" t="s">
        <v>19</v>
      </c>
      <c r="G735" s="4" t="n">
        <v>8</v>
      </c>
      <c r="H735" s="5" t="n">
        <v>496.37</v>
      </c>
      <c r="I735" s="5" t="n">
        <v>186.87</v>
      </c>
      <c r="J735" s="9" t="n">
        <v>0.15</v>
      </c>
      <c r="K735" s="5" t="n">
        <f aca="false">G735*H735*(1-J735)</f>
        <v>3375.316</v>
      </c>
      <c r="L735" s="5" t="n">
        <f aca="false">K735-(G735*I735)</f>
        <v>1880.356</v>
      </c>
    </row>
    <row r="736" customFormat="false" ht="16.4" hidden="false" customHeight="false" outlineLevel="0" collapsed="false">
      <c r="A736" s="4" t="s">
        <v>2205</v>
      </c>
      <c r="B736" s="6" t="n">
        <v>45953</v>
      </c>
      <c r="C736" s="4" t="s">
        <v>1057</v>
      </c>
      <c r="D736" s="4" t="s">
        <v>250</v>
      </c>
      <c r="E736" s="4" t="s">
        <v>12</v>
      </c>
      <c r="F736" s="4" t="s">
        <v>19</v>
      </c>
      <c r="G736" s="4" t="n">
        <v>11</v>
      </c>
      <c r="H736" s="5" t="n">
        <v>594.4</v>
      </c>
      <c r="I736" s="5" t="n">
        <v>264.92</v>
      </c>
      <c r="J736" s="9" t="n">
        <v>0.1</v>
      </c>
      <c r="K736" s="5" t="n">
        <f aca="false">G736*H736*(1-J736)</f>
        <v>5884.56</v>
      </c>
      <c r="L736" s="5" t="n">
        <f aca="false">K736-(G736*I736)</f>
        <v>2970.44</v>
      </c>
    </row>
    <row r="737" customFormat="false" ht="16.4" hidden="false" customHeight="false" outlineLevel="0" collapsed="false">
      <c r="A737" s="4" t="s">
        <v>2206</v>
      </c>
      <c r="B737" s="6" t="n">
        <v>45834</v>
      </c>
      <c r="C737" s="4" t="s">
        <v>1071</v>
      </c>
      <c r="D737" s="4" t="s">
        <v>288</v>
      </c>
      <c r="E737" s="4" t="s">
        <v>18</v>
      </c>
      <c r="F737" s="4" t="s">
        <v>25</v>
      </c>
      <c r="G737" s="4" t="n">
        <v>22</v>
      </c>
      <c r="H737" s="5" t="n">
        <v>1158.55</v>
      </c>
      <c r="I737" s="5" t="n">
        <v>455.59</v>
      </c>
      <c r="J737" s="9" t="n">
        <v>0.1</v>
      </c>
      <c r="K737" s="5" t="n">
        <f aca="false">G737*H737*(1-J737)</f>
        <v>22939.29</v>
      </c>
      <c r="L737" s="5" t="n">
        <f aca="false">K737-(G737*I737)</f>
        <v>12916.31</v>
      </c>
    </row>
    <row r="738" customFormat="false" ht="16.4" hidden="false" customHeight="false" outlineLevel="0" collapsed="false">
      <c r="A738" s="4" t="s">
        <v>2207</v>
      </c>
      <c r="B738" s="6" t="n">
        <v>46100</v>
      </c>
      <c r="C738" s="4" t="s">
        <v>775</v>
      </c>
      <c r="D738" s="4" t="s">
        <v>274</v>
      </c>
      <c r="E738" s="4" t="s">
        <v>6</v>
      </c>
      <c r="F738" s="4" t="s">
        <v>19</v>
      </c>
      <c r="G738" s="4" t="n">
        <v>19</v>
      </c>
      <c r="H738" s="5" t="n">
        <v>273.7</v>
      </c>
      <c r="I738" s="5" t="n">
        <v>131.58</v>
      </c>
      <c r="J738" s="9" t="n">
        <v>0</v>
      </c>
      <c r="K738" s="5" t="n">
        <f aca="false">G738*H738*(1-J738)</f>
        <v>5200.3</v>
      </c>
      <c r="L738" s="5" t="n">
        <f aca="false">K738-(G738*I738)</f>
        <v>2700.28</v>
      </c>
    </row>
    <row r="739" customFormat="false" ht="16.4" hidden="false" customHeight="false" outlineLevel="0" collapsed="false">
      <c r="A739" s="4" t="s">
        <v>2208</v>
      </c>
      <c r="B739" s="6" t="n">
        <v>45787</v>
      </c>
      <c r="C739" s="4" t="s">
        <v>1273</v>
      </c>
      <c r="D739" s="4" t="s">
        <v>126</v>
      </c>
      <c r="E739" s="4" t="s">
        <v>6</v>
      </c>
      <c r="F739" s="4" t="s">
        <v>19</v>
      </c>
      <c r="G739" s="4" t="n">
        <v>9</v>
      </c>
      <c r="H739" s="5" t="n">
        <v>880.65</v>
      </c>
      <c r="I739" s="5" t="n">
        <v>590.24</v>
      </c>
      <c r="J739" s="9" t="n">
        <v>0</v>
      </c>
      <c r="K739" s="5" t="n">
        <f aca="false">G739*H739*(1-J739)</f>
        <v>7925.85</v>
      </c>
      <c r="L739" s="5" t="n">
        <f aca="false">K739-(G739*I739)</f>
        <v>2613.69</v>
      </c>
    </row>
    <row r="740" customFormat="false" ht="16.4" hidden="false" customHeight="false" outlineLevel="0" collapsed="false">
      <c r="A740" s="4" t="s">
        <v>2209</v>
      </c>
      <c r="B740" s="6" t="n">
        <v>45653</v>
      </c>
      <c r="C740" s="4" t="s">
        <v>1253</v>
      </c>
      <c r="D740" s="4" t="s">
        <v>186</v>
      </c>
      <c r="E740" s="4" t="s">
        <v>30</v>
      </c>
      <c r="F740" s="4" t="s">
        <v>19</v>
      </c>
      <c r="G740" s="4" t="n">
        <v>2</v>
      </c>
      <c r="H740" s="5" t="n">
        <v>271.84</v>
      </c>
      <c r="I740" s="5" t="n">
        <v>122.28</v>
      </c>
      <c r="J740" s="9" t="n">
        <v>0</v>
      </c>
      <c r="K740" s="5" t="n">
        <f aca="false">G740*H740*(1-J740)</f>
        <v>543.68</v>
      </c>
      <c r="L740" s="5" t="n">
        <f aca="false">K740-(G740*I740)</f>
        <v>299.12</v>
      </c>
    </row>
    <row r="741" customFormat="false" ht="16.4" hidden="false" customHeight="false" outlineLevel="0" collapsed="false">
      <c r="A741" s="4" t="s">
        <v>2210</v>
      </c>
      <c r="B741" s="6" t="n">
        <v>45456</v>
      </c>
      <c r="C741" s="4" t="s">
        <v>1443</v>
      </c>
      <c r="D741" s="4" t="s">
        <v>272</v>
      </c>
      <c r="E741" s="4" t="s">
        <v>24</v>
      </c>
      <c r="F741" s="4" t="s">
        <v>19</v>
      </c>
      <c r="G741" s="4" t="n">
        <v>6</v>
      </c>
      <c r="H741" s="5" t="n">
        <v>1043.55</v>
      </c>
      <c r="I741" s="5" t="n">
        <v>441.1</v>
      </c>
      <c r="J741" s="9" t="n">
        <v>0.08</v>
      </c>
      <c r="K741" s="5" t="n">
        <f aca="false">G741*H741*(1-J741)</f>
        <v>5760.396</v>
      </c>
      <c r="L741" s="5" t="n">
        <f aca="false">K741-(G741*I741)</f>
        <v>3113.796</v>
      </c>
    </row>
    <row r="742" customFormat="false" ht="16.4" hidden="false" customHeight="false" outlineLevel="0" collapsed="false">
      <c r="A742" s="4" t="s">
        <v>2211</v>
      </c>
      <c r="B742" s="6" t="n">
        <v>46017</v>
      </c>
      <c r="C742" s="4" t="s">
        <v>1461</v>
      </c>
      <c r="D742" s="4" t="s">
        <v>132</v>
      </c>
      <c r="E742" s="4" t="s">
        <v>12</v>
      </c>
      <c r="F742" s="4" t="s">
        <v>13</v>
      </c>
      <c r="G742" s="4" t="n">
        <v>6</v>
      </c>
      <c r="H742" s="5" t="n">
        <v>140.04</v>
      </c>
      <c r="I742" s="5" t="n">
        <v>85.54</v>
      </c>
      <c r="J742" s="9" t="n">
        <v>0.15</v>
      </c>
      <c r="K742" s="5" t="n">
        <f aca="false">G742*H742*(1-J742)</f>
        <v>714.204</v>
      </c>
      <c r="L742" s="5" t="n">
        <f aca="false">K742-(G742*I742)</f>
        <v>200.964</v>
      </c>
    </row>
    <row r="743" customFormat="false" ht="16.4" hidden="false" customHeight="false" outlineLevel="0" collapsed="false">
      <c r="A743" s="4" t="s">
        <v>2212</v>
      </c>
      <c r="B743" s="6" t="n">
        <v>45616</v>
      </c>
      <c r="C743" s="4" t="s">
        <v>707</v>
      </c>
      <c r="D743" s="4" t="s">
        <v>122</v>
      </c>
      <c r="E743" s="4" t="s">
        <v>18</v>
      </c>
      <c r="F743" s="4" t="s">
        <v>13</v>
      </c>
      <c r="G743" s="4" t="n">
        <v>4</v>
      </c>
      <c r="H743" s="5" t="n">
        <v>799.3</v>
      </c>
      <c r="I743" s="5" t="n">
        <v>393.03</v>
      </c>
      <c r="J743" s="9" t="n">
        <v>0</v>
      </c>
      <c r="K743" s="5" t="n">
        <f aca="false">G743*H743*(1-J743)</f>
        <v>3197.2</v>
      </c>
      <c r="L743" s="5" t="n">
        <f aca="false">K743-(G743*I743)</f>
        <v>1625.08</v>
      </c>
    </row>
    <row r="744" customFormat="false" ht="16.4" hidden="false" customHeight="false" outlineLevel="0" collapsed="false">
      <c r="A744" s="4" t="s">
        <v>2213</v>
      </c>
      <c r="B744" s="6" t="n">
        <v>45502</v>
      </c>
      <c r="C744" s="4" t="s">
        <v>731</v>
      </c>
      <c r="D744" s="4" t="s">
        <v>264</v>
      </c>
      <c r="E744" s="4" t="s">
        <v>24</v>
      </c>
      <c r="F744" s="4" t="s">
        <v>7</v>
      </c>
      <c r="G744" s="4" t="n">
        <v>12</v>
      </c>
      <c r="H744" s="5" t="n">
        <v>282.82</v>
      </c>
      <c r="I744" s="5" t="n">
        <v>148.29</v>
      </c>
      <c r="J744" s="9" t="n">
        <v>0</v>
      </c>
      <c r="K744" s="5" t="n">
        <f aca="false">G744*H744*(1-J744)</f>
        <v>3393.84</v>
      </c>
      <c r="L744" s="5" t="n">
        <f aca="false">K744-(G744*I744)</f>
        <v>1614.36</v>
      </c>
    </row>
    <row r="745" customFormat="false" ht="16.4" hidden="false" customHeight="false" outlineLevel="0" collapsed="false">
      <c r="A745" s="4" t="s">
        <v>2214</v>
      </c>
      <c r="B745" s="6" t="n">
        <v>45673</v>
      </c>
      <c r="C745" s="4" t="s">
        <v>789</v>
      </c>
      <c r="D745" s="4" t="s">
        <v>380</v>
      </c>
      <c r="E745" s="4" t="s">
        <v>18</v>
      </c>
      <c r="F745" s="4" t="s">
        <v>25</v>
      </c>
      <c r="G745" s="4" t="n">
        <v>12</v>
      </c>
      <c r="H745" s="5" t="n">
        <v>812.41</v>
      </c>
      <c r="I745" s="5" t="n">
        <v>563.08</v>
      </c>
      <c r="J745" s="9" t="n">
        <v>0</v>
      </c>
      <c r="K745" s="5" t="n">
        <f aca="false">G745*H745*(1-J745)</f>
        <v>9748.92</v>
      </c>
      <c r="L745" s="5" t="n">
        <f aca="false">K745-(G745*I745)</f>
        <v>2991.96</v>
      </c>
    </row>
    <row r="746" customFormat="false" ht="16.4" hidden="false" customHeight="false" outlineLevel="0" collapsed="false">
      <c r="A746" s="4" t="s">
        <v>2215</v>
      </c>
      <c r="B746" s="6" t="n">
        <v>45600</v>
      </c>
      <c r="C746" s="4" t="s">
        <v>1463</v>
      </c>
      <c r="D746" s="4" t="s">
        <v>316</v>
      </c>
      <c r="E746" s="4" t="s">
        <v>12</v>
      </c>
      <c r="F746" s="4" t="s">
        <v>7</v>
      </c>
      <c r="G746" s="4" t="n">
        <v>6</v>
      </c>
      <c r="H746" s="5" t="n">
        <v>1138.97</v>
      </c>
      <c r="I746" s="5" t="n">
        <v>437.64</v>
      </c>
      <c r="J746" s="9" t="n">
        <v>0.08</v>
      </c>
      <c r="K746" s="5" t="n">
        <f aca="false">G746*H746*(1-J746)</f>
        <v>6287.1144</v>
      </c>
      <c r="L746" s="5" t="n">
        <f aca="false">K746-(G746*I746)</f>
        <v>3661.2744</v>
      </c>
    </row>
    <row r="747" customFormat="false" ht="16.4" hidden="false" customHeight="false" outlineLevel="0" collapsed="false">
      <c r="A747" s="4" t="s">
        <v>2216</v>
      </c>
      <c r="B747" s="6" t="n">
        <v>45440</v>
      </c>
      <c r="C747" s="4" t="s">
        <v>879</v>
      </c>
      <c r="D747" s="4" t="s">
        <v>52</v>
      </c>
      <c r="E747" s="4" t="s">
        <v>6</v>
      </c>
      <c r="F747" s="4" t="s">
        <v>25</v>
      </c>
      <c r="G747" s="4" t="n">
        <v>16</v>
      </c>
      <c r="H747" s="5" t="n">
        <v>145.1</v>
      </c>
      <c r="I747" s="5" t="n">
        <v>72.84</v>
      </c>
      <c r="J747" s="9" t="n">
        <v>0.15</v>
      </c>
      <c r="K747" s="5" t="n">
        <f aca="false">G747*H747*(1-J747)</f>
        <v>1973.36</v>
      </c>
      <c r="L747" s="5" t="n">
        <f aca="false">K747-(G747*I747)</f>
        <v>807.92</v>
      </c>
    </row>
    <row r="748" customFormat="false" ht="16.4" hidden="false" customHeight="false" outlineLevel="0" collapsed="false">
      <c r="A748" s="4" t="s">
        <v>2217</v>
      </c>
      <c r="B748" s="6" t="n">
        <v>45851</v>
      </c>
      <c r="C748" s="4" t="s">
        <v>623</v>
      </c>
      <c r="D748" s="4" t="s">
        <v>202</v>
      </c>
      <c r="E748" s="4" t="s">
        <v>6</v>
      </c>
      <c r="F748" s="4" t="s">
        <v>19</v>
      </c>
      <c r="G748" s="4" t="n">
        <v>1</v>
      </c>
      <c r="H748" s="5" t="n">
        <v>437.6</v>
      </c>
      <c r="I748" s="5" t="n">
        <v>242.33</v>
      </c>
      <c r="J748" s="9" t="n">
        <v>0.1</v>
      </c>
      <c r="K748" s="5" t="n">
        <f aca="false">G748*H748*(1-J748)</f>
        <v>393.84</v>
      </c>
      <c r="L748" s="5" t="n">
        <f aca="false">K748-(G748*I748)</f>
        <v>151.51</v>
      </c>
    </row>
    <row r="749" customFormat="false" ht="16.4" hidden="false" customHeight="false" outlineLevel="0" collapsed="false">
      <c r="A749" s="4" t="s">
        <v>2218</v>
      </c>
      <c r="B749" s="6" t="n">
        <v>45588</v>
      </c>
      <c r="C749" s="4" t="s">
        <v>1187</v>
      </c>
      <c r="D749" s="4" t="s">
        <v>370</v>
      </c>
      <c r="E749" s="4" t="s">
        <v>6</v>
      </c>
      <c r="F749" s="4" t="s">
        <v>13</v>
      </c>
      <c r="G749" s="4" t="n">
        <v>10</v>
      </c>
      <c r="H749" s="5" t="n">
        <v>888.08</v>
      </c>
      <c r="I749" s="5" t="n">
        <v>525.29</v>
      </c>
      <c r="J749" s="9" t="n">
        <v>0.05</v>
      </c>
      <c r="K749" s="5" t="n">
        <f aca="false">G749*H749*(1-J749)</f>
        <v>8436.76</v>
      </c>
      <c r="L749" s="5" t="n">
        <f aca="false">K749-(G749*I749)</f>
        <v>3183.86</v>
      </c>
    </row>
    <row r="750" customFormat="false" ht="16.4" hidden="false" customHeight="false" outlineLevel="0" collapsed="false">
      <c r="A750" s="4" t="s">
        <v>2219</v>
      </c>
      <c r="B750" s="6" t="n">
        <v>45997</v>
      </c>
      <c r="C750" s="4" t="s">
        <v>1211</v>
      </c>
      <c r="D750" s="4" t="s">
        <v>328</v>
      </c>
      <c r="E750" s="4" t="s">
        <v>24</v>
      </c>
      <c r="F750" s="4" t="s">
        <v>7</v>
      </c>
      <c r="G750" s="4" t="n">
        <v>15</v>
      </c>
      <c r="H750" s="5" t="n">
        <v>165.48</v>
      </c>
      <c r="I750" s="5" t="n">
        <v>93.39</v>
      </c>
      <c r="J750" s="9" t="n">
        <v>0.02</v>
      </c>
      <c r="K750" s="5" t="n">
        <f aca="false">G750*H750*(1-J750)</f>
        <v>2432.556</v>
      </c>
      <c r="L750" s="5" t="n">
        <f aca="false">K750-(G750*I750)</f>
        <v>1031.706</v>
      </c>
    </row>
    <row r="751" customFormat="false" ht="16.4" hidden="false" customHeight="false" outlineLevel="0" collapsed="false">
      <c r="A751" s="4" t="s">
        <v>2220</v>
      </c>
      <c r="B751" s="6" t="n">
        <v>45986</v>
      </c>
      <c r="C751" s="4" t="s">
        <v>955</v>
      </c>
      <c r="D751" s="4" t="s">
        <v>414</v>
      </c>
      <c r="E751" s="4" t="s">
        <v>30</v>
      </c>
      <c r="F751" s="4" t="s">
        <v>7</v>
      </c>
      <c r="G751" s="4" t="n">
        <v>2</v>
      </c>
      <c r="H751" s="5" t="n">
        <v>474.99</v>
      </c>
      <c r="I751" s="5" t="n">
        <v>328.89</v>
      </c>
      <c r="J751" s="9" t="n">
        <v>0</v>
      </c>
      <c r="K751" s="5" t="n">
        <f aca="false">G751*H751*(1-J751)</f>
        <v>949.98</v>
      </c>
      <c r="L751" s="5" t="n">
        <f aca="false">K751-(G751*I751)</f>
        <v>292.2</v>
      </c>
    </row>
    <row r="752" customFormat="false" ht="16.4" hidden="false" customHeight="false" outlineLevel="0" collapsed="false">
      <c r="A752" s="4" t="s">
        <v>2221</v>
      </c>
      <c r="B752" s="6" t="n">
        <v>46153</v>
      </c>
      <c r="C752" s="4" t="s">
        <v>483</v>
      </c>
      <c r="D752" s="4" t="s">
        <v>196</v>
      </c>
      <c r="E752" s="4" t="s">
        <v>18</v>
      </c>
      <c r="F752" s="4" t="s">
        <v>13</v>
      </c>
      <c r="G752" s="4" t="n">
        <v>13</v>
      </c>
      <c r="H752" s="5" t="n">
        <v>1033.85</v>
      </c>
      <c r="I752" s="5" t="n">
        <v>453.83</v>
      </c>
      <c r="J752" s="9" t="n">
        <v>0.08</v>
      </c>
      <c r="K752" s="5" t="n">
        <f aca="false">G752*H752*(1-J752)</f>
        <v>12364.846</v>
      </c>
      <c r="L752" s="5" t="n">
        <f aca="false">K752-(G752*I752)</f>
        <v>6465.056</v>
      </c>
    </row>
    <row r="753" customFormat="false" ht="16.4" hidden="false" customHeight="false" outlineLevel="0" collapsed="false">
      <c r="A753" s="4" t="s">
        <v>2222</v>
      </c>
      <c r="B753" s="6" t="n">
        <v>45348</v>
      </c>
      <c r="C753" s="4" t="s">
        <v>829</v>
      </c>
      <c r="D753" s="4" t="s">
        <v>268</v>
      </c>
      <c r="E753" s="4" t="s">
        <v>18</v>
      </c>
      <c r="F753" s="4" t="s">
        <v>13</v>
      </c>
      <c r="G753" s="4" t="n">
        <v>3</v>
      </c>
      <c r="H753" s="5" t="n">
        <v>1105.46</v>
      </c>
      <c r="I753" s="5" t="n">
        <v>820.57</v>
      </c>
      <c r="J753" s="9" t="n">
        <v>0.02</v>
      </c>
      <c r="K753" s="5" t="n">
        <f aca="false">G753*H753*(1-J753)</f>
        <v>3250.0524</v>
      </c>
      <c r="L753" s="5" t="n">
        <f aca="false">K753-(G753*I753)</f>
        <v>788.3424</v>
      </c>
    </row>
    <row r="754" customFormat="false" ht="16.4" hidden="false" customHeight="false" outlineLevel="0" collapsed="false">
      <c r="A754" s="4" t="s">
        <v>2223</v>
      </c>
      <c r="B754" s="6" t="n">
        <v>46077</v>
      </c>
      <c r="C754" s="4" t="s">
        <v>1003</v>
      </c>
      <c r="D754" s="4" t="s">
        <v>338</v>
      </c>
      <c r="E754" s="4" t="s">
        <v>30</v>
      </c>
      <c r="F754" s="4" t="s">
        <v>19</v>
      </c>
      <c r="G754" s="4" t="n">
        <v>8</v>
      </c>
      <c r="H754" s="5" t="n">
        <v>1050.45</v>
      </c>
      <c r="I754" s="5" t="n">
        <v>608.87</v>
      </c>
      <c r="J754" s="9" t="n">
        <v>0.15</v>
      </c>
      <c r="K754" s="5" t="n">
        <f aca="false">G754*H754*(1-J754)</f>
        <v>7143.06</v>
      </c>
      <c r="L754" s="5" t="n">
        <f aca="false">K754-(G754*I754)</f>
        <v>2272.1</v>
      </c>
    </row>
    <row r="755" customFormat="false" ht="16.4" hidden="false" customHeight="false" outlineLevel="0" collapsed="false">
      <c r="A755" s="4" t="s">
        <v>2224</v>
      </c>
      <c r="B755" s="6" t="n">
        <v>46161</v>
      </c>
      <c r="C755" s="4" t="s">
        <v>481</v>
      </c>
      <c r="D755" s="4" t="s">
        <v>140</v>
      </c>
      <c r="E755" s="4" t="s">
        <v>30</v>
      </c>
      <c r="F755" s="4" t="s">
        <v>25</v>
      </c>
      <c r="G755" s="4" t="n">
        <v>3</v>
      </c>
      <c r="H755" s="5" t="n">
        <v>522.03</v>
      </c>
      <c r="I755" s="5" t="n">
        <v>382.61</v>
      </c>
      <c r="J755" s="9" t="n">
        <v>0.08</v>
      </c>
      <c r="K755" s="5" t="n">
        <f aca="false">G755*H755*(1-J755)</f>
        <v>1440.8028</v>
      </c>
      <c r="L755" s="5" t="n">
        <f aca="false">K755-(G755*I755)</f>
        <v>292.9728</v>
      </c>
    </row>
    <row r="756" customFormat="false" ht="16.4" hidden="false" customHeight="false" outlineLevel="0" collapsed="false">
      <c r="A756" s="4" t="s">
        <v>2225</v>
      </c>
      <c r="B756" s="6" t="n">
        <v>45695</v>
      </c>
      <c r="C756" s="4" t="s">
        <v>1151</v>
      </c>
      <c r="D756" s="4" t="s">
        <v>386</v>
      </c>
      <c r="E756" s="4" t="s">
        <v>24</v>
      </c>
      <c r="F756" s="4" t="s">
        <v>13</v>
      </c>
      <c r="G756" s="4" t="n">
        <v>3</v>
      </c>
      <c r="H756" s="5" t="n">
        <v>994.29</v>
      </c>
      <c r="I756" s="5" t="n">
        <v>348.46</v>
      </c>
      <c r="J756" s="9" t="n">
        <v>0.08</v>
      </c>
      <c r="K756" s="5" t="n">
        <f aca="false">G756*H756*(1-J756)</f>
        <v>2744.2404</v>
      </c>
      <c r="L756" s="5" t="n">
        <f aca="false">K756-(G756*I756)</f>
        <v>1698.8604</v>
      </c>
    </row>
    <row r="757" customFormat="false" ht="16.4" hidden="false" customHeight="false" outlineLevel="0" collapsed="false">
      <c r="A757" s="4" t="s">
        <v>2226</v>
      </c>
      <c r="B757" s="6" t="n">
        <v>45815</v>
      </c>
      <c r="C757" s="4" t="s">
        <v>789</v>
      </c>
      <c r="D757" s="4" t="s">
        <v>290</v>
      </c>
      <c r="E757" s="4" t="s">
        <v>18</v>
      </c>
      <c r="F757" s="4" t="s">
        <v>7</v>
      </c>
      <c r="G757" s="4" t="n">
        <v>20</v>
      </c>
      <c r="H757" s="5" t="n">
        <v>820.88</v>
      </c>
      <c r="I757" s="5" t="n">
        <v>601.93</v>
      </c>
      <c r="J757" s="9" t="n">
        <v>0.08</v>
      </c>
      <c r="K757" s="5" t="n">
        <f aca="false">G757*H757*(1-J757)</f>
        <v>15104.192</v>
      </c>
      <c r="L757" s="5" t="n">
        <f aca="false">K757-(G757*I757)</f>
        <v>3065.592</v>
      </c>
    </row>
    <row r="758" customFormat="false" ht="16.4" hidden="false" customHeight="false" outlineLevel="0" collapsed="false">
      <c r="A758" s="4" t="s">
        <v>2227</v>
      </c>
      <c r="B758" s="6" t="n">
        <v>46025</v>
      </c>
      <c r="C758" s="4" t="s">
        <v>833</v>
      </c>
      <c r="D758" s="4" t="s">
        <v>380</v>
      </c>
      <c r="E758" s="4" t="s">
        <v>30</v>
      </c>
      <c r="F758" s="4" t="s">
        <v>25</v>
      </c>
      <c r="G758" s="4" t="n">
        <v>13</v>
      </c>
      <c r="H758" s="5" t="n">
        <v>812.41</v>
      </c>
      <c r="I758" s="5" t="n">
        <v>563.08</v>
      </c>
      <c r="J758" s="9" t="n">
        <v>0</v>
      </c>
      <c r="K758" s="5" t="n">
        <f aca="false">G758*H758*(1-J758)</f>
        <v>10561.33</v>
      </c>
      <c r="L758" s="5" t="n">
        <f aca="false">K758-(G758*I758)</f>
        <v>3241.29</v>
      </c>
    </row>
    <row r="759" customFormat="false" ht="16.4" hidden="false" customHeight="false" outlineLevel="0" collapsed="false">
      <c r="A759" s="4" t="s">
        <v>2228</v>
      </c>
      <c r="B759" s="6" t="n">
        <v>45583</v>
      </c>
      <c r="C759" s="4" t="s">
        <v>859</v>
      </c>
      <c r="D759" s="4" t="s">
        <v>228</v>
      </c>
      <c r="E759" s="4" t="s">
        <v>18</v>
      </c>
      <c r="F759" s="4" t="s">
        <v>19</v>
      </c>
      <c r="G759" s="4" t="n">
        <v>12</v>
      </c>
      <c r="H759" s="5" t="n">
        <v>986.65</v>
      </c>
      <c r="I759" s="5" t="n">
        <v>641.77</v>
      </c>
      <c r="J759" s="9" t="n">
        <v>0</v>
      </c>
      <c r="K759" s="5" t="n">
        <f aca="false">G759*H759*(1-J759)</f>
        <v>11839.8</v>
      </c>
      <c r="L759" s="5" t="n">
        <f aca="false">K759-(G759*I759)</f>
        <v>4138.56</v>
      </c>
    </row>
    <row r="760" customFormat="false" ht="16.4" hidden="false" customHeight="false" outlineLevel="0" collapsed="false">
      <c r="A760" s="4" t="s">
        <v>2229</v>
      </c>
      <c r="B760" s="6" t="n">
        <v>45866</v>
      </c>
      <c r="C760" s="4" t="s">
        <v>779</v>
      </c>
      <c r="D760" s="4" t="s">
        <v>218</v>
      </c>
      <c r="E760" s="4" t="s">
        <v>24</v>
      </c>
      <c r="F760" s="4" t="s">
        <v>7</v>
      </c>
      <c r="G760" s="4" t="n">
        <v>15</v>
      </c>
      <c r="H760" s="5" t="n">
        <v>806.29</v>
      </c>
      <c r="I760" s="5" t="n">
        <v>404.48</v>
      </c>
      <c r="J760" s="9" t="n">
        <v>0.15</v>
      </c>
      <c r="K760" s="5" t="n">
        <f aca="false">G760*H760*(1-J760)</f>
        <v>10280.1975</v>
      </c>
      <c r="L760" s="5" t="n">
        <f aca="false">K760-(G760*I760)</f>
        <v>4212.9975</v>
      </c>
    </row>
    <row r="761" customFormat="false" ht="16.4" hidden="false" customHeight="false" outlineLevel="0" collapsed="false">
      <c r="A761" s="4" t="s">
        <v>2230</v>
      </c>
      <c r="B761" s="6" t="n">
        <v>45717</v>
      </c>
      <c r="C761" s="4" t="s">
        <v>1209</v>
      </c>
      <c r="D761" s="4" t="s">
        <v>150</v>
      </c>
      <c r="E761" s="4" t="s">
        <v>30</v>
      </c>
      <c r="F761" s="4" t="s">
        <v>25</v>
      </c>
      <c r="G761" s="4" t="n">
        <v>15</v>
      </c>
      <c r="H761" s="5" t="n">
        <v>314.3</v>
      </c>
      <c r="I761" s="5" t="n">
        <v>184.75</v>
      </c>
      <c r="J761" s="9" t="n">
        <v>0.1</v>
      </c>
      <c r="K761" s="5" t="n">
        <f aca="false">G761*H761*(1-J761)</f>
        <v>4243.05</v>
      </c>
      <c r="L761" s="5" t="n">
        <f aca="false">K761-(G761*I761)</f>
        <v>1471.8</v>
      </c>
    </row>
    <row r="762" customFormat="false" ht="16.4" hidden="false" customHeight="false" outlineLevel="0" collapsed="false">
      <c r="A762" s="4" t="s">
        <v>2231</v>
      </c>
      <c r="B762" s="6" t="n">
        <v>46038</v>
      </c>
      <c r="C762" s="4" t="s">
        <v>631</v>
      </c>
      <c r="D762" s="4" t="s">
        <v>186</v>
      </c>
      <c r="E762" s="4" t="s">
        <v>12</v>
      </c>
      <c r="F762" s="4" t="s">
        <v>25</v>
      </c>
      <c r="G762" s="4" t="n">
        <v>24</v>
      </c>
      <c r="H762" s="5" t="n">
        <v>271.84</v>
      </c>
      <c r="I762" s="5" t="n">
        <v>122.28</v>
      </c>
      <c r="J762" s="9" t="n">
        <v>0.05</v>
      </c>
      <c r="K762" s="5" t="n">
        <f aca="false">G762*H762*(1-J762)</f>
        <v>6197.952</v>
      </c>
      <c r="L762" s="5" t="n">
        <f aca="false">K762-(G762*I762)</f>
        <v>3263.232</v>
      </c>
    </row>
    <row r="763" customFormat="false" ht="16.4" hidden="false" customHeight="false" outlineLevel="0" collapsed="false">
      <c r="A763" s="4" t="s">
        <v>2232</v>
      </c>
      <c r="B763" s="6" t="n">
        <v>45380</v>
      </c>
      <c r="C763" s="4" t="s">
        <v>1319</v>
      </c>
      <c r="D763" s="4" t="s">
        <v>110</v>
      </c>
      <c r="E763" s="4" t="s">
        <v>12</v>
      </c>
      <c r="F763" s="4" t="s">
        <v>13</v>
      </c>
      <c r="G763" s="4" t="n">
        <v>19</v>
      </c>
      <c r="H763" s="5" t="n">
        <v>555.5</v>
      </c>
      <c r="I763" s="5" t="n">
        <v>249.51</v>
      </c>
      <c r="J763" s="9" t="n">
        <v>0.08</v>
      </c>
      <c r="K763" s="5" t="n">
        <f aca="false">G763*H763*(1-J763)</f>
        <v>9710.14</v>
      </c>
      <c r="L763" s="5" t="n">
        <f aca="false">K763-(G763*I763)</f>
        <v>4969.45</v>
      </c>
    </row>
    <row r="764" customFormat="false" ht="16.4" hidden="false" customHeight="false" outlineLevel="0" collapsed="false">
      <c r="A764" s="4" t="s">
        <v>2233</v>
      </c>
      <c r="B764" s="6" t="n">
        <v>45829</v>
      </c>
      <c r="C764" s="4" t="s">
        <v>775</v>
      </c>
      <c r="D764" s="4" t="s">
        <v>146</v>
      </c>
      <c r="E764" s="4" t="s">
        <v>6</v>
      </c>
      <c r="F764" s="4" t="s">
        <v>19</v>
      </c>
      <c r="G764" s="4" t="n">
        <v>16</v>
      </c>
      <c r="H764" s="5" t="n">
        <v>1153.92</v>
      </c>
      <c r="I764" s="5" t="n">
        <v>440.85</v>
      </c>
      <c r="J764" s="9" t="n">
        <v>0.15</v>
      </c>
      <c r="K764" s="5" t="n">
        <f aca="false">G764*H764*(1-J764)</f>
        <v>15693.312</v>
      </c>
      <c r="L764" s="5" t="n">
        <f aca="false">K764-(G764*I764)</f>
        <v>8639.712</v>
      </c>
    </row>
    <row r="765" customFormat="false" ht="16.4" hidden="false" customHeight="false" outlineLevel="0" collapsed="false">
      <c r="A765" s="4" t="s">
        <v>2234</v>
      </c>
      <c r="B765" s="6" t="n">
        <v>45676</v>
      </c>
      <c r="C765" s="4" t="s">
        <v>1419</v>
      </c>
      <c r="D765" s="4" t="s">
        <v>72</v>
      </c>
      <c r="E765" s="4" t="s">
        <v>12</v>
      </c>
      <c r="F765" s="4" t="s">
        <v>7</v>
      </c>
      <c r="G765" s="4" t="n">
        <v>19</v>
      </c>
      <c r="H765" s="5" t="n">
        <v>496.37</v>
      </c>
      <c r="I765" s="5" t="n">
        <v>186.87</v>
      </c>
      <c r="J765" s="9" t="n">
        <v>0.15</v>
      </c>
      <c r="K765" s="5" t="n">
        <f aca="false">G765*H765*(1-J765)</f>
        <v>8016.3755</v>
      </c>
      <c r="L765" s="5" t="n">
        <f aca="false">K765-(G765*I765)</f>
        <v>4465.8455</v>
      </c>
    </row>
    <row r="766" customFormat="false" ht="16.4" hidden="false" customHeight="false" outlineLevel="0" collapsed="false">
      <c r="A766" s="4" t="s">
        <v>2235</v>
      </c>
      <c r="B766" s="6" t="n">
        <v>45716</v>
      </c>
      <c r="C766" s="4" t="s">
        <v>883</v>
      </c>
      <c r="D766" s="4" t="s">
        <v>42</v>
      </c>
      <c r="E766" s="4" t="s">
        <v>30</v>
      </c>
      <c r="F766" s="4" t="s">
        <v>13</v>
      </c>
      <c r="G766" s="4" t="n">
        <v>21</v>
      </c>
      <c r="H766" s="5" t="n">
        <v>820.12</v>
      </c>
      <c r="I766" s="5" t="n">
        <v>579.72</v>
      </c>
      <c r="J766" s="9" t="n">
        <v>0.02</v>
      </c>
      <c r="K766" s="5" t="n">
        <f aca="false">G766*H766*(1-J766)</f>
        <v>16878.0696</v>
      </c>
      <c r="L766" s="5" t="n">
        <f aca="false">K766-(G766*I766)</f>
        <v>4703.9496</v>
      </c>
    </row>
    <row r="767" customFormat="false" ht="16.4" hidden="false" customHeight="false" outlineLevel="0" collapsed="false">
      <c r="A767" s="4" t="s">
        <v>2236</v>
      </c>
      <c r="B767" s="6" t="n">
        <v>46065</v>
      </c>
      <c r="C767" s="4" t="s">
        <v>937</v>
      </c>
      <c r="D767" s="4" t="s">
        <v>324</v>
      </c>
      <c r="E767" s="4" t="s">
        <v>6</v>
      </c>
      <c r="F767" s="4" t="s">
        <v>13</v>
      </c>
      <c r="G767" s="4" t="n">
        <v>23</v>
      </c>
      <c r="H767" s="5" t="n">
        <v>1196.04</v>
      </c>
      <c r="I767" s="5" t="n">
        <v>681.93</v>
      </c>
      <c r="J767" s="9" t="n">
        <v>0.08</v>
      </c>
      <c r="K767" s="5" t="n">
        <f aca="false">G767*H767*(1-J767)</f>
        <v>25308.2064</v>
      </c>
      <c r="L767" s="5" t="n">
        <f aca="false">K767-(G767*I767)</f>
        <v>9623.8164</v>
      </c>
    </row>
    <row r="768" customFormat="false" ht="16.4" hidden="false" customHeight="false" outlineLevel="0" collapsed="false">
      <c r="A768" s="4" t="s">
        <v>2237</v>
      </c>
      <c r="B768" s="6" t="n">
        <v>45859</v>
      </c>
      <c r="C768" s="4" t="s">
        <v>655</v>
      </c>
      <c r="D768" s="4" t="s">
        <v>142</v>
      </c>
      <c r="E768" s="4" t="s">
        <v>12</v>
      </c>
      <c r="F768" s="4" t="s">
        <v>25</v>
      </c>
      <c r="G768" s="4" t="n">
        <v>13</v>
      </c>
      <c r="H768" s="5" t="n">
        <v>248.13</v>
      </c>
      <c r="I768" s="5" t="n">
        <v>108.45</v>
      </c>
      <c r="J768" s="9" t="n">
        <v>0.02</v>
      </c>
      <c r="K768" s="5" t="n">
        <f aca="false">G768*H768*(1-J768)</f>
        <v>3161.1762</v>
      </c>
      <c r="L768" s="5" t="n">
        <f aca="false">K768-(G768*I768)</f>
        <v>1751.3262</v>
      </c>
    </row>
    <row r="769" customFormat="false" ht="16.4" hidden="false" customHeight="false" outlineLevel="0" collapsed="false">
      <c r="A769" s="4" t="s">
        <v>2238</v>
      </c>
      <c r="B769" s="6" t="n">
        <v>45891</v>
      </c>
      <c r="C769" s="4" t="s">
        <v>1307</v>
      </c>
      <c r="D769" s="4" t="s">
        <v>60</v>
      </c>
      <c r="E769" s="4" t="s">
        <v>18</v>
      </c>
      <c r="F769" s="4" t="s">
        <v>19</v>
      </c>
      <c r="G769" s="4" t="n">
        <v>10</v>
      </c>
      <c r="H769" s="5" t="n">
        <v>1182.64</v>
      </c>
      <c r="I769" s="5" t="n">
        <v>818.54</v>
      </c>
      <c r="J769" s="9" t="n">
        <v>0.15</v>
      </c>
      <c r="K769" s="5" t="n">
        <f aca="false">G769*H769*(1-J769)</f>
        <v>10052.44</v>
      </c>
      <c r="L769" s="5" t="n">
        <f aca="false">K769-(G769*I769)</f>
        <v>1867.04</v>
      </c>
    </row>
    <row r="770" customFormat="false" ht="16.4" hidden="false" customHeight="false" outlineLevel="0" collapsed="false">
      <c r="A770" s="4" t="s">
        <v>2239</v>
      </c>
      <c r="B770" s="6" t="n">
        <v>45521</v>
      </c>
      <c r="C770" s="4" t="s">
        <v>1037</v>
      </c>
      <c r="D770" s="4" t="s">
        <v>292</v>
      </c>
      <c r="E770" s="4" t="s">
        <v>24</v>
      </c>
      <c r="F770" s="4" t="s">
        <v>7</v>
      </c>
      <c r="G770" s="4" t="n">
        <v>24</v>
      </c>
      <c r="H770" s="5" t="n">
        <v>720.71</v>
      </c>
      <c r="I770" s="5" t="n">
        <v>491.69</v>
      </c>
      <c r="J770" s="9" t="n">
        <v>0.05</v>
      </c>
      <c r="K770" s="5" t="n">
        <f aca="false">G770*H770*(1-J770)</f>
        <v>16432.188</v>
      </c>
      <c r="L770" s="5" t="n">
        <f aca="false">K770-(G770*I770)</f>
        <v>4631.628</v>
      </c>
    </row>
    <row r="771" customFormat="false" ht="16.4" hidden="false" customHeight="false" outlineLevel="0" collapsed="false">
      <c r="A771" s="4" t="s">
        <v>2240</v>
      </c>
      <c r="B771" s="6" t="n">
        <v>45947</v>
      </c>
      <c r="C771" s="4" t="s">
        <v>621</v>
      </c>
      <c r="D771" s="4" t="s">
        <v>40</v>
      </c>
      <c r="E771" s="4" t="s">
        <v>12</v>
      </c>
      <c r="F771" s="4" t="s">
        <v>25</v>
      </c>
      <c r="G771" s="4" t="n">
        <v>9</v>
      </c>
      <c r="H771" s="5" t="n">
        <v>54.39</v>
      </c>
      <c r="I771" s="5" t="n">
        <v>25.02</v>
      </c>
      <c r="J771" s="9" t="n">
        <v>0.02</v>
      </c>
      <c r="K771" s="5" t="n">
        <f aca="false">G771*H771*(1-J771)</f>
        <v>479.7198</v>
      </c>
      <c r="L771" s="5" t="n">
        <f aca="false">K771-(G771*I771)</f>
        <v>254.5398</v>
      </c>
    </row>
    <row r="772" customFormat="false" ht="16.4" hidden="false" customHeight="false" outlineLevel="0" collapsed="false">
      <c r="A772" s="4" t="s">
        <v>2241</v>
      </c>
      <c r="B772" s="6" t="n">
        <v>45719</v>
      </c>
      <c r="C772" s="4" t="s">
        <v>1133</v>
      </c>
      <c r="D772" s="4" t="s">
        <v>102</v>
      </c>
      <c r="E772" s="4" t="s">
        <v>30</v>
      </c>
      <c r="F772" s="4" t="s">
        <v>13</v>
      </c>
      <c r="G772" s="4" t="n">
        <v>22</v>
      </c>
      <c r="H772" s="5" t="n">
        <v>983.83</v>
      </c>
      <c r="I772" s="5" t="n">
        <v>729.21</v>
      </c>
      <c r="J772" s="9" t="n">
        <v>0.02</v>
      </c>
      <c r="K772" s="5" t="n">
        <f aca="false">G772*H772*(1-J772)</f>
        <v>21211.3748</v>
      </c>
      <c r="L772" s="5" t="n">
        <f aca="false">K772-(G772*I772)</f>
        <v>5168.7548</v>
      </c>
    </row>
    <row r="773" customFormat="false" ht="16.4" hidden="false" customHeight="false" outlineLevel="0" collapsed="false">
      <c r="A773" s="4" t="s">
        <v>2242</v>
      </c>
      <c r="B773" s="6" t="n">
        <v>45542</v>
      </c>
      <c r="C773" s="4" t="s">
        <v>1393</v>
      </c>
      <c r="D773" s="4" t="s">
        <v>290</v>
      </c>
      <c r="E773" s="4" t="s">
        <v>6</v>
      </c>
      <c r="F773" s="4" t="s">
        <v>7</v>
      </c>
      <c r="G773" s="4" t="n">
        <v>23</v>
      </c>
      <c r="H773" s="5" t="n">
        <v>820.88</v>
      </c>
      <c r="I773" s="5" t="n">
        <v>601.93</v>
      </c>
      <c r="J773" s="9" t="n">
        <v>0.1</v>
      </c>
      <c r="K773" s="5" t="n">
        <f aca="false">G773*H773*(1-J773)</f>
        <v>16992.216</v>
      </c>
      <c r="L773" s="5" t="n">
        <f aca="false">K773-(G773*I773)</f>
        <v>3147.826</v>
      </c>
    </row>
    <row r="774" customFormat="false" ht="16.4" hidden="false" customHeight="false" outlineLevel="0" collapsed="false">
      <c r="A774" s="4" t="s">
        <v>2243</v>
      </c>
      <c r="B774" s="6" t="n">
        <v>45360</v>
      </c>
      <c r="C774" s="4" t="s">
        <v>1247</v>
      </c>
      <c r="D774" s="4" t="s">
        <v>100</v>
      </c>
      <c r="E774" s="4" t="s">
        <v>6</v>
      </c>
      <c r="F774" s="4" t="s">
        <v>19</v>
      </c>
      <c r="G774" s="4" t="n">
        <v>9</v>
      </c>
      <c r="H774" s="5" t="n">
        <v>93.06</v>
      </c>
      <c r="I774" s="5" t="n">
        <v>65.25</v>
      </c>
      <c r="J774" s="9" t="n">
        <v>0.05</v>
      </c>
      <c r="K774" s="5" t="n">
        <f aca="false">G774*H774*(1-J774)</f>
        <v>795.663</v>
      </c>
      <c r="L774" s="5" t="n">
        <f aca="false">K774-(G774*I774)</f>
        <v>208.413</v>
      </c>
    </row>
    <row r="775" customFormat="false" ht="16.4" hidden="false" customHeight="false" outlineLevel="0" collapsed="false">
      <c r="A775" s="4" t="s">
        <v>2244</v>
      </c>
      <c r="B775" s="6" t="n">
        <v>46181</v>
      </c>
      <c r="C775" s="4" t="s">
        <v>957</v>
      </c>
      <c r="D775" s="4" t="s">
        <v>336</v>
      </c>
      <c r="E775" s="4" t="s">
        <v>6</v>
      </c>
      <c r="F775" s="4" t="s">
        <v>19</v>
      </c>
      <c r="G775" s="4" t="n">
        <v>19</v>
      </c>
      <c r="H775" s="5" t="n">
        <v>675.2</v>
      </c>
      <c r="I775" s="5" t="n">
        <v>424.68</v>
      </c>
      <c r="J775" s="9" t="n">
        <v>0.05</v>
      </c>
      <c r="K775" s="5" t="n">
        <f aca="false">G775*H775*(1-J775)</f>
        <v>12187.36</v>
      </c>
      <c r="L775" s="5" t="n">
        <f aca="false">K775-(G775*I775)</f>
        <v>4118.44</v>
      </c>
    </row>
    <row r="776" customFormat="false" ht="16.4" hidden="false" customHeight="false" outlineLevel="0" collapsed="false">
      <c r="A776" s="4" t="s">
        <v>2245</v>
      </c>
      <c r="B776" s="6" t="n">
        <v>46129</v>
      </c>
      <c r="C776" s="4" t="s">
        <v>1167</v>
      </c>
      <c r="D776" s="4" t="s">
        <v>360</v>
      </c>
      <c r="E776" s="4" t="s">
        <v>18</v>
      </c>
      <c r="F776" s="4" t="s">
        <v>7</v>
      </c>
      <c r="G776" s="4" t="n">
        <v>16</v>
      </c>
      <c r="H776" s="5" t="n">
        <v>1110.6</v>
      </c>
      <c r="I776" s="5" t="n">
        <v>738.69</v>
      </c>
      <c r="J776" s="9" t="n">
        <v>0.1</v>
      </c>
      <c r="K776" s="5" t="n">
        <f aca="false">G776*H776*(1-J776)</f>
        <v>15992.64</v>
      </c>
      <c r="L776" s="5" t="n">
        <f aca="false">K776-(G776*I776)</f>
        <v>4173.6</v>
      </c>
    </row>
    <row r="777" customFormat="false" ht="16.4" hidden="false" customHeight="false" outlineLevel="0" collapsed="false">
      <c r="A777" s="4" t="s">
        <v>2246</v>
      </c>
      <c r="B777" s="6" t="n">
        <v>45309</v>
      </c>
      <c r="C777" s="4" t="s">
        <v>989</v>
      </c>
      <c r="D777" s="4" t="s">
        <v>230</v>
      </c>
      <c r="E777" s="4" t="s">
        <v>30</v>
      </c>
      <c r="F777" s="4" t="s">
        <v>19</v>
      </c>
      <c r="G777" s="4" t="n">
        <v>24</v>
      </c>
      <c r="H777" s="5" t="n">
        <v>972.71</v>
      </c>
      <c r="I777" s="5" t="n">
        <v>397.78</v>
      </c>
      <c r="J777" s="9" t="n">
        <v>0.08</v>
      </c>
      <c r="K777" s="5" t="n">
        <f aca="false">G777*H777*(1-J777)</f>
        <v>21477.4368</v>
      </c>
      <c r="L777" s="5" t="n">
        <f aca="false">K777-(G777*I777)</f>
        <v>11930.7168</v>
      </c>
    </row>
    <row r="778" customFormat="false" ht="16.4" hidden="false" customHeight="false" outlineLevel="0" collapsed="false">
      <c r="A778" s="4" t="s">
        <v>2247</v>
      </c>
      <c r="B778" s="6" t="n">
        <v>45619</v>
      </c>
      <c r="C778" s="4" t="s">
        <v>1059</v>
      </c>
      <c r="D778" s="4" t="s">
        <v>122</v>
      </c>
      <c r="E778" s="4" t="s">
        <v>24</v>
      </c>
      <c r="F778" s="4" t="s">
        <v>25</v>
      </c>
      <c r="G778" s="4" t="n">
        <v>2</v>
      </c>
      <c r="H778" s="5" t="n">
        <v>799.3</v>
      </c>
      <c r="I778" s="5" t="n">
        <v>393.03</v>
      </c>
      <c r="J778" s="9" t="n">
        <v>0</v>
      </c>
      <c r="K778" s="5" t="n">
        <f aca="false">G778*H778*(1-J778)</f>
        <v>1598.6</v>
      </c>
      <c r="L778" s="5" t="n">
        <f aca="false">K778-(G778*I778)</f>
        <v>812.54</v>
      </c>
    </row>
    <row r="779" customFormat="false" ht="16.4" hidden="false" customHeight="false" outlineLevel="0" collapsed="false">
      <c r="A779" s="4" t="s">
        <v>2248</v>
      </c>
      <c r="B779" s="6" t="n">
        <v>45346</v>
      </c>
      <c r="C779" s="4" t="s">
        <v>603</v>
      </c>
      <c r="D779" s="4" t="s">
        <v>394</v>
      </c>
      <c r="E779" s="4" t="s">
        <v>30</v>
      </c>
      <c r="F779" s="4" t="s">
        <v>19</v>
      </c>
      <c r="G779" s="4" t="n">
        <v>12</v>
      </c>
      <c r="H779" s="5" t="n">
        <v>964.19</v>
      </c>
      <c r="I779" s="5" t="n">
        <v>611.21</v>
      </c>
      <c r="J779" s="9" t="n">
        <v>0</v>
      </c>
      <c r="K779" s="5" t="n">
        <f aca="false">G779*H779*(1-J779)</f>
        <v>11570.28</v>
      </c>
      <c r="L779" s="5" t="n">
        <f aca="false">K779-(G779*I779)</f>
        <v>4235.76</v>
      </c>
    </row>
    <row r="780" customFormat="false" ht="16.4" hidden="false" customHeight="false" outlineLevel="0" collapsed="false">
      <c r="A780" s="4" t="s">
        <v>2249</v>
      </c>
      <c r="B780" s="6" t="n">
        <v>45341</v>
      </c>
      <c r="C780" s="4" t="s">
        <v>893</v>
      </c>
      <c r="D780" s="4" t="s">
        <v>224</v>
      </c>
      <c r="E780" s="4" t="s">
        <v>12</v>
      </c>
      <c r="F780" s="4" t="s">
        <v>19</v>
      </c>
      <c r="G780" s="4" t="n">
        <v>21</v>
      </c>
      <c r="H780" s="5" t="n">
        <v>544.1</v>
      </c>
      <c r="I780" s="5" t="n">
        <v>337.48</v>
      </c>
      <c r="J780" s="9" t="n">
        <v>0.02</v>
      </c>
      <c r="K780" s="5" t="n">
        <f aca="false">G780*H780*(1-J780)</f>
        <v>11197.578</v>
      </c>
      <c r="L780" s="5" t="n">
        <f aca="false">K780-(G780*I780)</f>
        <v>4110.498</v>
      </c>
    </row>
    <row r="781" customFormat="false" ht="16.4" hidden="false" customHeight="false" outlineLevel="0" collapsed="false">
      <c r="A781" s="4" t="s">
        <v>2250</v>
      </c>
      <c r="B781" s="6" t="n">
        <v>45818</v>
      </c>
      <c r="C781" s="4" t="s">
        <v>1007</v>
      </c>
      <c r="D781" s="4" t="s">
        <v>188</v>
      </c>
      <c r="E781" s="4" t="s">
        <v>30</v>
      </c>
      <c r="F781" s="4" t="s">
        <v>13</v>
      </c>
      <c r="G781" s="4" t="n">
        <v>21</v>
      </c>
      <c r="H781" s="5" t="n">
        <v>1063.86</v>
      </c>
      <c r="I781" s="5" t="n">
        <v>545.28</v>
      </c>
      <c r="J781" s="9" t="n">
        <v>0</v>
      </c>
      <c r="K781" s="5" t="n">
        <f aca="false">G781*H781*(1-J781)</f>
        <v>22341.06</v>
      </c>
      <c r="L781" s="5" t="n">
        <f aca="false">K781-(G781*I781)</f>
        <v>10890.18</v>
      </c>
    </row>
    <row r="782" customFormat="false" ht="16.4" hidden="false" customHeight="false" outlineLevel="0" collapsed="false">
      <c r="A782" s="4" t="s">
        <v>2251</v>
      </c>
      <c r="B782" s="6" t="n">
        <v>45388</v>
      </c>
      <c r="C782" s="4" t="s">
        <v>1107</v>
      </c>
      <c r="D782" s="4" t="s">
        <v>432</v>
      </c>
      <c r="E782" s="4" t="s">
        <v>12</v>
      </c>
      <c r="F782" s="4" t="s">
        <v>13</v>
      </c>
      <c r="G782" s="4" t="n">
        <v>6</v>
      </c>
      <c r="H782" s="5" t="n">
        <v>105.39</v>
      </c>
      <c r="I782" s="5" t="n">
        <v>63.49</v>
      </c>
      <c r="J782" s="9" t="n">
        <v>0.15</v>
      </c>
      <c r="K782" s="5" t="n">
        <f aca="false">G782*H782*(1-J782)</f>
        <v>537.489</v>
      </c>
      <c r="L782" s="5" t="n">
        <f aca="false">K782-(G782*I782)</f>
        <v>156.549</v>
      </c>
    </row>
    <row r="783" customFormat="false" ht="16.4" hidden="false" customHeight="false" outlineLevel="0" collapsed="false">
      <c r="A783" s="4" t="s">
        <v>2252</v>
      </c>
      <c r="B783" s="6" t="n">
        <v>46157</v>
      </c>
      <c r="C783" s="4" t="s">
        <v>795</v>
      </c>
      <c r="D783" s="4" t="s">
        <v>318</v>
      </c>
      <c r="E783" s="4" t="s">
        <v>24</v>
      </c>
      <c r="F783" s="4" t="s">
        <v>19</v>
      </c>
      <c r="G783" s="4" t="n">
        <v>11</v>
      </c>
      <c r="H783" s="5" t="n">
        <v>677.33</v>
      </c>
      <c r="I783" s="5" t="n">
        <v>302.18</v>
      </c>
      <c r="J783" s="9" t="n">
        <v>0.15</v>
      </c>
      <c r="K783" s="5" t="n">
        <f aca="false">G783*H783*(1-J783)</f>
        <v>6333.0355</v>
      </c>
      <c r="L783" s="5" t="n">
        <f aca="false">K783-(G783*I783)</f>
        <v>3009.0555</v>
      </c>
    </row>
    <row r="784" customFormat="false" ht="16.4" hidden="false" customHeight="false" outlineLevel="0" collapsed="false">
      <c r="A784" s="4" t="s">
        <v>2253</v>
      </c>
      <c r="B784" s="6" t="n">
        <v>45663</v>
      </c>
      <c r="C784" s="4" t="s">
        <v>1165</v>
      </c>
      <c r="D784" s="4" t="s">
        <v>178</v>
      </c>
      <c r="E784" s="4" t="s">
        <v>30</v>
      </c>
      <c r="F784" s="4" t="s">
        <v>7</v>
      </c>
      <c r="G784" s="4" t="n">
        <v>23</v>
      </c>
      <c r="H784" s="5" t="n">
        <v>673.22</v>
      </c>
      <c r="I784" s="5" t="n">
        <v>350.8</v>
      </c>
      <c r="J784" s="9" t="n">
        <v>0.1</v>
      </c>
      <c r="K784" s="5" t="n">
        <f aca="false">G784*H784*(1-J784)</f>
        <v>13935.654</v>
      </c>
      <c r="L784" s="5" t="n">
        <f aca="false">K784-(G784*I784)</f>
        <v>5867.254</v>
      </c>
    </row>
    <row r="785" customFormat="false" ht="16.4" hidden="false" customHeight="false" outlineLevel="0" collapsed="false">
      <c r="A785" s="4" t="s">
        <v>2254</v>
      </c>
      <c r="B785" s="6" t="n">
        <v>45439</v>
      </c>
      <c r="C785" s="4" t="s">
        <v>1057</v>
      </c>
      <c r="D785" s="4" t="s">
        <v>312</v>
      </c>
      <c r="E785" s="4" t="s">
        <v>12</v>
      </c>
      <c r="F785" s="4" t="s">
        <v>7</v>
      </c>
      <c r="G785" s="4" t="n">
        <v>12</v>
      </c>
      <c r="H785" s="5" t="n">
        <v>238.66</v>
      </c>
      <c r="I785" s="5" t="n">
        <v>103.78</v>
      </c>
      <c r="J785" s="9" t="n">
        <v>0.15</v>
      </c>
      <c r="K785" s="5" t="n">
        <f aca="false">G785*H785*(1-J785)</f>
        <v>2434.332</v>
      </c>
      <c r="L785" s="5" t="n">
        <f aca="false">K785-(G785*I785)</f>
        <v>1188.972</v>
      </c>
    </row>
    <row r="786" customFormat="false" ht="16.4" hidden="false" customHeight="false" outlineLevel="0" collapsed="false">
      <c r="A786" s="4" t="s">
        <v>2255</v>
      </c>
      <c r="B786" s="6" t="n">
        <v>46089</v>
      </c>
      <c r="C786" s="4" t="s">
        <v>995</v>
      </c>
      <c r="D786" s="4" t="s">
        <v>110</v>
      </c>
      <c r="E786" s="4" t="s">
        <v>6</v>
      </c>
      <c r="F786" s="4" t="s">
        <v>25</v>
      </c>
      <c r="G786" s="4" t="n">
        <v>10</v>
      </c>
      <c r="H786" s="5" t="n">
        <v>555.5</v>
      </c>
      <c r="I786" s="5" t="n">
        <v>249.51</v>
      </c>
      <c r="J786" s="9" t="n">
        <v>0.02</v>
      </c>
      <c r="K786" s="5" t="n">
        <f aca="false">G786*H786*(1-J786)</f>
        <v>5443.9</v>
      </c>
      <c r="L786" s="5" t="n">
        <f aca="false">K786-(G786*I786)</f>
        <v>2948.8</v>
      </c>
    </row>
    <row r="787" customFormat="false" ht="16.4" hidden="false" customHeight="false" outlineLevel="0" collapsed="false">
      <c r="A787" s="4" t="s">
        <v>2256</v>
      </c>
      <c r="B787" s="6" t="n">
        <v>45515</v>
      </c>
      <c r="C787" s="4" t="s">
        <v>813</v>
      </c>
      <c r="D787" s="4" t="s">
        <v>250</v>
      </c>
      <c r="E787" s="4" t="s">
        <v>30</v>
      </c>
      <c r="F787" s="4" t="s">
        <v>13</v>
      </c>
      <c r="G787" s="4" t="n">
        <v>6</v>
      </c>
      <c r="H787" s="5" t="n">
        <v>594.4</v>
      </c>
      <c r="I787" s="5" t="n">
        <v>264.92</v>
      </c>
      <c r="J787" s="9" t="n">
        <v>0</v>
      </c>
      <c r="K787" s="5" t="n">
        <f aca="false">G787*H787*(1-J787)</f>
        <v>3566.4</v>
      </c>
      <c r="L787" s="5" t="n">
        <f aca="false">K787-(G787*I787)</f>
        <v>1976.88</v>
      </c>
    </row>
    <row r="788" customFormat="false" ht="16.4" hidden="false" customHeight="false" outlineLevel="0" collapsed="false">
      <c r="A788" s="4" t="s">
        <v>2257</v>
      </c>
      <c r="B788" s="6" t="n">
        <v>45864</v>
      </c>
      <c r="C788" s="4" t="s">
        <v>691</v>
      </c>
      <c r="D788" s="4" t="s">
        <v>296</v>
      </c>
      <c r="E788" s="4" t="s">
        <v>24</v>
      </c>
      <c r="F788" s="4" t="s">
        <v>7</v>
      </c>
      <c r="G788" s="4" t="n">
        <v>7</v>
      </c>
      <c r="H788" s="5" t="n">
        <v>650.98</v>
      </c>
      <c r="I788" s="5" t="n">
        <v>400.1</v>
      </c>
      <c r="J788" s="9" t="n">
        <v>0.15</v>
      </c>
      <c r="K788" s="5" t="n">
        <f aca="false">G788*H788*(1-J788)</f>
        <v>3873.331</v>
      </c>
      <c r="L788" s="5" t="n">
        <f aca="false">K788-(G788*I788)</f>
        <v>1072.631</v>
      </c>
    </row>
    <row r="789" customFormat="false" ht="16.4" hidden="false" customHeight="false" outlineLevel="0" collapsed="false">
      <c r="A789" s="4" t="s">
        <v>2258</v>
      </c>
      <c r="B789" s="6" t="n">
        <v>46130</v>
      </c>
      <c r="C789" s="4" t="s">
        <v>935</v>
      </c>
      <c r="D789" s="4" t="s">
        <v>252</v>
      </c>
      <c r="E789" s="4" t="s">
        <v>24</v>
      </c>
      <c r="F789" s="4" t="s">
        <v>13</v>
      </c>
      <c r="G789" s="4" t="n">
        <v>3</v>
      </c>
      <c r="H789" s="5" t="n">
        <v>300.53</v>
      </c>
      <c r="I789" s="5" t="n">
        <v>145.56</v>
      </c>
      <c r="J789" s="9" t="n">
        <v>0</v>
      </c>
      <c r="K789" s="5" t="n">
        <f aca="false">G789*H789*(1-J789)</f>
        <v>901.59</v>
      </c>
      <c r="L789" s="5" t="n">
        <f aca="false">K789-(G789*I789)</f>
        <v>464.91</v>
      </c>
    </row>
    <row r="790" customFormat="false" ht="16.4" hidden="false" customHeight="false" outlineLevel="0" collapsed="false">
      <c r="A790" s="4" t="s">
        <v>2259</v>
      </c>
      <c r="B790" s="6" t="n">
        <v>45999</v>
      </c>
      <c r="C790" s="4" t="s">
        <v>955</v>
      </c>
      <c r="D790" s="4" t="s">
        <v>48</v>
      </c>
      <c r="E790" s="4" t="s">
        <v>30</v>
      </c>
      <c r="F790" s="4" t="s">
        <v>19</v>
      </c>
      <c r="G790" s="4" t="n">
        <v>12</v>
      </c>
      <c r="H790" s="5" t="n">
        <v>552.82</v>
      </c>
      <c r="I790" s="5" t="n">
        <v>255</v>
      </c>
      <c r="J790" s="9" t="n">
        <v>0.02</v>
      </c>
      <c r="K790" s="5" t="n">
        <f aca="false">G790*H790*(1-J790)</f>
        <v>6501.1632</v>
      </c>
      <c r="L790" s="5" t="n">
        <f aca="false">K790-(G790*I790)</f>
        <v>3441.1632</v>
      </c>
    </row>
    <row r="791" customFormat="false" ht="16.4" hidden="false" customHeight="false" outlineLevel="0" collapsed="false">
      <c r="A791" s="4" t="s">
        <v>2260</v>
      </c>
      <c r="B791" s="6" t="n">
        <v>45827</v>
      </c>
      <c r="C791" s="4" t="s">
        <v>1301</v>
      </c>
      <c r="D791" s="4" t="s">
        <v>110</v>
      </c>
      <c r="E791" s="4" t="s">
        <v>18</v>
      </c>
      <c r="F791" s="4" t="s">
        <v>19</v>
      </c>
      <c r="G791" s="4" t="n">
        <v>15</v>
      </c>
      <c r="H791" s="5" t="n">
        <v>555.5</v>
      </c>
      <c r="I791" s="5" t="n">
        <v>249.51</v>
      </c>
      <c r="J791" s="9" t="n">
        <v>0.08</v>
      </c>
      <c r="K791" s="5" t="n">
        <f aca="false">G791*H791*(1-J791)</f>
        <v>7665.9</v>
      </c>
      <c r="L791" s="5" t="n">
        <f aca="false">K791-(G791*I791)</f>
        <v>3923.25</v>
      </c>
    </row>
    <row r="792" customFormat="false" ht="16.4" hidden="false" customHeight="false" outlineLevel="0" collapsed="false">
      <c r="A792" s="4" t="s">
        <v>2261</v>
      </c>
      <c r="B792" s="6" t="n">
        <v>46054</v>
      </c>
      <c r="C792" s="4" t="s">
        <v>1191</v>
      </c>
      <c r="D792" s="4" t="s">
        <v>128</v>
      </c>
      <c r="E792" s="4" t="s">
        <v>24</v>
      </c>
      <c r="F792" s="4" t="s">
        <v>7</v>
      </c>
      <c r="G792" s="4" t="n">
        <v>10</v>
      </c>
      <c r="H792" s="5" t="n">
        <v>248.5</v>
      </c>
      <c r="I792" s="5" t="n">
        <v>131.57</v>
      </c>
      <c r="J792" s="9" t="n">
        <v>0</v>
      </c>
      <c r="K792" s="5" t="n">
        <f aca="false">G792*H792*(1-J792)</f>
        <v>2485</v>
      </c>
      <c r="L792" s="5" t="n">
        <f aca="false">K792-(G792*I792)</f>
        <v>1169.3</v>
      </c>
    </row>
    <row r="793" customFormat="false" ht="16.4" hidden="false" customHeight="false" outlineLevel="0" collapsed="false">
      <c r="A793" s="4" t="s">
        <v>2262</v>
      </c>
      <c r="B793" s="6" t="n">
        <v>45996</v>
      </c>
      <c r="C793" s="4" t="s">
        <v>595</v>
      </c>
      <c r="D793" s="4" t="s">
        <v>152</v>
      </c>
      <c r="E793" s="4" t="s">
        <v>18</v>
      </c>
      <c r="F793" s="4" t="s">
        <v>13</v>
      </c>
      <c r="G793" s="4" t="n">
        <v>23</v>
      </c>
      <c r="H793" s="5" t="n">
        <v>797.41</v>
      </c>
      <c r="I793" s="5" t="n">
        <v>459.38</v>
      </c>
      <c r="J793" s="9" t="n">
        <v>0</v>
      </c>
      <c r="K793" s="5" t="n">
        <f aca="false">G793*H793*(1-J793)</f>
        <v>18340.43</v>
      </c>
      <c r="L793" s="5" t="n">
        <f aca="false">K793-(G793*I793)</f>
        <v>7774.69</v>
      </c>
    </row>
    <row r="794" customFormat="false" ht="16.4" hidden="false" customHeight="false" outlineLevel="0" collapsed="false">
      <c r="A794" s="4" t="s">
        <v>2263</v>
      </c>
      <c r="B794" s="6" t="n">
        <v>45372</v>
      </c>
      <c r="C794" s="4" t="s">
        <v>593</v>
      </c>
      <c r="D794" s="4" t="s">
        <v>196</v>
      </c>
      <c r="E794" s="4" t="s">
        <v>24</v>
      </c>
      <c r="F794" s="4" t="s">
        <v>25</v>
      </c>
      <c r="G794" s="4" t="n">
        <v>7</v>
      </c>
      <c r="H794" s="5" t="n">
        <v>1033.85</v>
      </c>
      <c r="I794" s="5" t="n">
        <v>453.83</v>
      </c>
      <c r="J794" s="9" t="n">
        <v>0</v>
      </c>
      <c r="K794" s="5" t="n">
        <f aca="false">G794*H794*(1-J794)</f>
        <v>7236.95</v>
      </c>
      <c r="L794" s="5" t="n">
        <f aca="false">K794-(G794*I794)</f>
        <v>4060.14</v>
      </c>
    </row>
    <row r="795" customFormat="false" ht="16.4" hidden="false" customHeight="false" outlineLevel="0" collapsed="false">
      <c r="A795" s="4" t="s">
        <v>2264</v>
      </c>
      <c r="B795" s="6" t="n">
        <v>45311</v>
      </c>
      <c r="C795" s="4" t="s">
        <v>1245</v>
      </c>
      <c r="D795" s="4" t="s">
        <v>392</v>
      </c>
      <c r="E795" s="4" t="s">
        <v>18</v>
      </c>
      <c r="F795" s="4" t="s">
        <v>25</v>
      </c>
      <c r="G795" s="4" t="n">
        <v>4</v>
      </c>
      <c r="H795" s="5" t="n">
        <v>539.79</v>
      </c>
      <c r="I795" s="5" t="n">
        <v>339.69</v>
      </c>
      <c r="J795" s="9" t="n">
        <v>0</v>
      </c>
      <c r="K795" s="5" t="n">
        <f aca="false">G795*H795*(1-J795)</f>
        <v>2159.16</v>
      </c>
      <c r="L795" s="5" t="n">
        <f aca="false">K795-(G795*I795)</f>
        <v>800.4</v>
      </c>
    </row>
    <row r="796" customFormat="false" ht="16.4" hidden="false" customHeight="false" outlineLevel="0" collapsed="false">
      <c r="A796" s="4" t="s">
        <v>2265</v>
      </c>
      <c r="B796" s="6" t="n">
        <v>45402</v>
      </c>
      <c r="C796" s="4" t="s">
        <v>905</v>
      </c>
      <c r="D796" s="4" t="s">
        <v>426</v>
      </c>
      <c r="E796" s="4" t="s">
        <v>30</v>
      </c>
      <c r="F796" s="4" t="s">
        <v>7</v>
      </c>
      <c r="G796" s="4" t="n">
        <v>2</v>
      </c>
      <c r="H796" s="5" t="n">
        <v>576.65</v>
      </c>
      <c r="I796" s="5" t="n">
        <v>425.38</v>
      </c>
      <c r="J796" s="9" t="n">
        <v>0</v>
      </c>
      <c r="K796" s="5" t="n">
        <f aca="false">G796*H796*(1-J796)</f>
        <v>1153.3</v>
      </c>
      <c r="L796" s="5" t="n">
        <f aca="false">K796-(G796*I796)</f>
        <v>302.54</v>
      </c>
    </row>
    <row r="797" customFormat="false" ht="16.4" hidden="false" customHeight="false" outlineLevel="0" collapsed="false">
      <c r="A797" s="4" t="s">
        <v>2266</v>
      </c>
      <c r="B797" s="6" t="n">
        <v>45772</v>
      </c>
      <c r="C797" s="4" t="s">
        <v>989</v>
      </c>
      <c r="D797" s="4" t="s">
        <v>376</v>
      </c>
      <c r="E797" s="4" t="s">
        <v>30</v>
      </c>
      <c r="F797" s="4" t="s">
        <v>7</v>
      </c>
      <c r="G797" s="4" t="n">
        <v>19</v>
      </c>
      <c r="H797" s="5" t="n">
        <v>790.52</v>
      </c>
      <c r="I797" s="5" t="n">
        <v>566.35</v>
      </c>
      <c r="J797" s="9" t="n">
        <v>0</v>
      </c>
      <c r="K797" s="5" t="n">
        <f aca="false">G797*H797*(1-J797)</f>
        <v>15019.88</v>
      </c>
      <c r="L797" s="5" t="n">
        <f aca="false">K797-(G797*I797)</f>
        <v>4259.23</v>
      </c>
    </row>
    <row r="798" customFormat="false" ht="16.4" hidden="false" customHeight="false" outlineLevel="0" collapsed="false">
      <c r="A798" s="4" t="s">
        <v>2267</v>
      </c>
      <c r="B798" s="6" t="n">
        <v>45975</v>
      </c>
      <c r="C798" s="4" t="s">
        <v>506</v>
      </c>
      <c r="D798" s="4" t="s">
        <v>168</v>
      </c>
      <c r="E798" s="4" t="s">
        <v>24</v>
      </c>
      <c r="F798" s="4" t="s">
        <v>7</v>
      </c>
      <c r="G798" s="4" t="n">
        <v>3</v>
      </c>
      <c r="H798" s="5" t="n">
        <v>160.63</v>
      </c>
      <c r="I798" s="5" t="n">
        <v>63.1</v>
      </c>
      <c r="J798" s="9" t="n">
        <v>0.02</v>
      </c>
      <c r="K798" s="5" t="n">
        <f aca="false">G798*H798*(1-J798)</f>
        <v>472.2522</v>
      </c>
      <c r="L798" s="5" t="n">
        <f aca="false">K798-(G798*I798)</f>
        <v>282.9522</v>
      </c>
    </row>
    <row r="799" customFormat="false" ht="16.4" hidden="false" customHeight="false" outlineLevel="0" collapsed="false">
      <c r="A799" s="4" t="s">
        <v>2268</v>
      </c>
      <c r="B799" s="6" t="n">
        <v>45502</v>
      </c>
      <c r="C799" s="4" t="s">
        <v>563</v>
      </c>
      <c r="D799" s="4" t="s">
        <v>426</v>
      </c>
      <c r="E799" s="4" t="s">
        <v>30</v>
      </c>
      <c r="F799" s="4" t="s">
        <v>13</v>
      </c>
      <c r="G799" s="4" t="n">
        <v>4</v>
      </c>
      <c r="H799" s="5" t="n">
        <v>576.65</v>
      </c>
      <c r="I799" s="5" t="n">
        <v>425.38</v>
      </c>
      <c r="J799" s="9" t="n">
        <v>0.08</v>
      </c>
      <c r="K799" s="5" t="n">
        <f aca="false">G799*H799*(1-J799)</f>
        <v>2122.072</v>
      </c>
      <c r="L799" s="5" t="n">
        <f aca="false">K799-(G799*I799)</f>
        <v>420.552</v>
      </c>
    </row>
    <row r="800" customFormat="false" ht="16.4" hidden="false" customHeight="false" outlineLevel="0" collapsed="false">
      <c r="A800" s="4" t="s">
        <v>2269</v>
      </c>
      <c r="B800" s="6" t="n">
        <v>45384</v>
      </c>
      <c r="C800" s="4" t="s">
        <v>1151</v>
      </c>
      <c r="D800" s="4" t="s">
        <v>134</v>
      </c>
      <c r="E800" s="4" t="s">
        <v>24</v>
      </c>
      <c r="F800" s="4" t="s">
        <v>13</v>
      </c>
      <c r="G800" s="4" t="n">
        <v>12</v>
      </c>
      <c r="H800" s="5" t="n">
        <v>1113.48</v>
      </c>
      <c r="I800" s="5" t="n">
        <v>767.72</v>
      </c>
      <c r="J800" s="9" t="n">
        <v>0</v>
      </c>
      <c r="K800" s="5" t="n">
        <f aca="false">G800*H800*(1-J800)</f>
        <v>13361.76</v>
      </c>
      <c r="L800" s="5" t="n">
        <f aca="false">K800-(G800*I800)</f>
        <v>4149.12</v>
      </c>
    </row>
    <row r="801" customFormat="false" ht="16.4" hidden="false" customHeight="false" outlineLevel="0" collapsed="false">
      <c r="A801" s="4" t="s">
        <v>2270</v>
      </c>
      <c r="B801" s="6" t="n">
        <v>45648</v>
      </c>
      <c r="C801" s="4" t="s">
        <v>1429</v>
      </c>
      <c r="D801" s="4" t="s">
        <v>422</v>
      </c>
      <c r="E801" s="4" t="s">
        <v>18</v>
      </c>
      <c r="F801" s="4" t="s">
        <v>19</v>
      </c>
      <c r="G801" s="4" t="n">
        <v>9</v>
      </c>
      <c r="H801" s="5" t="n">
        <v>1052.17</v>
      </c>
      <c r="I801" s="5" t="n">
        <v>553.57</v>
      </c>
      <c r="J801" s="9" t="n">
        <v>0.08</v>
      </c>
      <c r="K801" s="5" t="n">
        <f aca="false">G801*H801*(1-J801)</f>
        <v>8711.9676</v>
      </c>
      <c r="L801" s="5" t="n">
        <f aca="false">K801-(G801*I801)</f>
        <v>3729.8376</v>
      </c>
    </row>
    <row r="802" customFormat="false" ht="16.4" hidden="false" customHeight="false" outlineLevel="0" collapsed="false">
      <c r="A802" s="4" t="s">
        <v>2271</v>
      </c>
      <c r="B802" s="6" t="n">
        <v>46038</v>
      </c>
      <c r="C802" s="4" t="s">
        <v>1339</v>
      </c>
      <c r="D802" s="4" t="s">
        <v>122</v>
      </c>
      <c r="E802" s="4" t="s">
        <v>6</v>
      </c>
      <c r="F802" s="4" t="s">
        <v>13</v>
      </c>
      <c r="G802" s="4" t="n">
        <v>17</v>
      </c>
      <c r="H802" s="5" t="n">
        <v>799.3</v>
      </c>
      <c r="I802" s="5" t="n">
        <v>393.03</v>
      </c>
      <c r="J802" s="9" t="n">
        <v>0.15</v>
      </c>
      <c r="K802" s="5" t="n">
        <f aca="false">G802*H802*(1-J802)</f>
        <v>11549.885</v>
      </c>
      <c r="L802" s="5" t="n">
        <f aca="false">K802-(G802*I802)</f>
        <v>4868.375</v>
      </c>
    </row>
    <row r="803" customFormat="false" ht="16.4" hidden="false" customHeight="false" outlineLevel="0" collapsed="false">
      <c r="A803" s="4" t="s">
        <v>2272</v>
      </c>
      <c r="B803" s="6" t="n">
        <v>46131</v>
      </c>
      <c r="C803" s="4" t="s">
        <v>1047</v>
      </c>
      <c r="D803" s="4" t="s">
        <v>298</v>
      </c>
      <c r="E803" s="4" t="s">
        <v>18</v>
      </c>
      <c r="F803" s="4" t="s">
        <v>7</v>
      </c>
      <c r="G803" s="4" t="n">
        <v>3</v>
      </c>
      <c r="H803" s="5" t="n">
        <v>1023.25</v>
      </c>
      <c r="I803" s="5" t="n">
        <v>694.72</v>
      </c>
      <c r="J803" s="9" t="n">
        <v>0</v>
      </c>
      <c r="K803" s="5" t="n">
        <f aca="false">G803*H803*(1-J803)</f>
        <v>3069.75</v>
      </c>
      <c r="L803" s="5" t="n">
        <f aca="false">K803-(G803*I803)</f>
        <v>985.59</v>
      </c>
    </row>
    <row r="804" customFormat="false" ht="16.4" hidden="false" customHeight="false" outlineLevel="0" collapsed="false">
      <c r="A804" s="4" t="s">
        <v>2273</v>
      </c>
      <c r="B804" s="6" t="n">
        <v>45580</v>
      </c>
      <c r="C804" s="4" t="s">
        <v>687</v>
      </c>
      <c r="D804" s="4" t="s">
        <v>310</v>
      </c>
      <c r="E804" s="4" t="s">
        <v>24</v>
      </c>
      <c r="F804" s="4" t="s">
        <v>13</v>
      </c>
      <c r="G804" s="4" t="n">
        <v>23</v>
      </c>
      <c r="H804" s="5" t="n">
        <v>742.14</v>
      </c>
      <c r="I804" s="5" t="n">
        <v>372.25</v>
      </c>
      <c r="J804" s="9" t="n">
        <v>0</v>
      </c>
      <c r="K804" s="5" t="n">
        <f aca="false">G804*H804*(1-J804)</f>
        <v>17069.22</v>
      </c>
      <c r="L804" s="5" t="n">
        <f aca="false">K804-(G804*I804)</f>
        <v>8507.47</v>
      </c>
    </row>
    <row r="805" customFormat="false" ht="16.4" hidden="false" customHeight="false" outlineLevel="0" collapsed="false">
      <c r="A805" s="4" t="s">
        <v>2274</v>
      </c>
      <c r="B805" s="6" t="n">
        <v>45393</v>
      </c>
      <c r="C805" s="4" t="s">
        <v>1015</v>
      </c>
      <c r="D805" s="4" t="s">
        <v>426</v>
      </c>
      <c r="E805" s="4" t="s">
        <v>12</v>
      </c>
      <c r="F805" s="4" t="s">
        <v>13</v>
      </c>
      <c r="G805" s="4" t="n">
        <v>1</v>
      </c>
      <c r="H805" s="5" t="n">
        <v>576.65</v>
      </c>
      <c r="I805" s="5" t="n">
        <v>425.38</v>
      </c>
      <c r="J805" s="9" t="n">
        <v>0.1</v>
      </c>
      <c r="K805" s="5" t="n">
        <f aca="false">G805*H805*(1-J805)</f>
        <v>518.985</v>
      </c>
      <c r="L805" s="5" t="n">
        <f aca="false">K805-(G805*I805)</f>
        <v>93.605</v>
      </c>
    </row>
    <row r="806" customFormat="false" ht="16.4" hidden="false" customHeight="false" outlineLevel="0" collapsed="false">
      <c r="A806" s="4" t="s">
        <v>2275</v>
      </c>
      <c r="B806" s="6" t="n">
        <v>45667</v>
      </c>
      <c r="C806" s="4" t="s">
        <v>1335</v>
      </c>
      <c r="D806" s="4" t="s">
        <v>298</v>
      </c>
      <c r="E806" s="4" t="s">
        <v>24</v>
      </c>
      <c r="F806" s="4" t="s">
        <v>13</v>
      </c>
      <c r="G806" s="4" t="n">
        <v>23</v>
      </c>
      <c r="H806" s="5" t="n">
        <v>1023.25</v>
      </c>
      <c r="I806" s="5" t="n">
        <v>694.72</v>
      </c>
      <c r="J806" s="9" t="n">
        <v>0.05</v>
      </c>
      <c r="K806" s="5" t="n">
        <f aca="false">G806*H806*(1-J806)</f>
        <v>22358.0125</v>
      </c>
      <c r="L806" s="5" t="n">
        <f aca="false">K806-(G806*I806)</f>
        <v>6379.4525</v>
      </c>
    </row>
    <row r="807" customFormat="false" ht="16.4" hidden="false" customHeight="false" outlineLevel="0" collapsed="false">
      <c r="A807" s="4" t="s">
        <v>2276</v>
      </c>
      <c r="B807" s="6" t="n">
        <v>46146</v>
      </c>
      <c r="C807" s="4" t="s">
        <v>1153</v>
      </c>
      <c r="D807" s="4" t="s">
        <v>264</v>
      </c>
      <c r="E807" s="4" t="s">
        <v>24</v>
      </c>
      <c r="F807" s="4" t="s">
        <v>19</v>
      </c>
      <c r="G807" s="4" t="n">
        <v>4</v>
      </c>
      <c r="H807" s="5" t="n">
        <v>282.82</v>
      </c>
      <c r="I807" s="5" t="n">
        <v>148.29</v>
      </c>
      <c r="J807" s="9" t="n">
        <v>0</v>
      </c>
      <c r="K807" s="5" t="n">
        <f aca="false">G807*H807*(1-J807)</f>
        <v>1131.28</v>
      </c>
      <c r="L807" s="5" t="n">
        <f aca="false">K807-(G807*I807)</f>
        <v>538.12</v>
      </c>
    </row>
    <row r="808" customFormat="false" ht="16.4" hidden="false" customHeight="false" outlineLevel="0" collapsed="false">
      <c r="A808" s="4" t="s">
        <v>2277</v>
      </c>
      <c r="B808" s="6" t="n">
        <v>45525</v>
      </c>
      <c r="C808" s="4" t="s">
        <v>899</v>
      </c>
      <c r="D808" s="4" t="s">
        <v>234</v>
      </c>
      <c r="E808" s="4" t="s">
        <v>18</v>
      </c>
      <c r="F808" s="4" t="s">
        <v>25</v>
      </c>
      <c r="G808" s="4" t="n">
        <v>7</v>
      </c>
      <c r="H808" s="5" t="n">
        <v>253.46</v>
      </c>
      <c r="I808" s="5" t="n">
        <v>159.31</v>
      </c>
      <c r="J808" s="9" t="n">
        <v>0.08</v>
      </c>
      <c r="K808" s="5" t="n">
        <f aca="false">G808*H808*(1-J808)</f>
        <v>1632.2824</v>
      </c>
      <c r="L808" s="5" t="n">
        <f aca="false">K808-(G808*I808)</f>
        <v>517.1124</v>
      </c>
    </row>
    <row r="809" customFormat="false" ht="16.4" hidden="false" customHeight="false" outlineLevel="0" collapsed="false">
      <c r="A809" s="4" t="s">
        <v>2278</v>
      </c>
      <c r="B809" s="6" t="n">
        <v>45769</v>
      </c>
      <c r="C809" s="4" t="s">
        <v>1243</v>
      </c>
      <c r="D809" s="4" t="s">
        <v>96</v>
      </c>
      <c r="E809" s="4" t="s">
        <v>6</v>
      </c>
      <c r="F809" s="4" t="s">
        <v>7</v>
      </c>
      <c r="G809" s="4" t="n">
        <v>11</v>
      </c>
      <c r="H809" s="5" t="n">
        <v>1145.36</v>
      </c>
      <c r="I809" s="5" t="n">
        <v>823.48</v>
      </c>
      <c r="J809" s="9" t="n">
        <v>0</v>
      </c>
      <c r="K809" s="5" t="n">
        <f aca="false">G809*H809*(1-J809)</f>
        <v>12598.96</v>
      </c>
      <c r="L809" s="5" t="n">
        <f aca="false">K809-(G809*I809)</f>
        <v>3540.68</v>
      </c>
    </row>
    <row r="810" customFormat="false" ht="16.4" hidden="false" customHeight="false" outlineLevel="0" collapsed="false">
      <c r="A810" s="4" t="s">
        <v>2279</v>
      </c>
      <c r="B810" s="6" t="n">
        <v>45661</v>
      </c>
      <c r="C810" s="4" t="s">
        <v>603</v>
      </c>
      <c r="D810" s="4" t="s">
        <v>306</v>
      </c>
      <c r="E810" s="4" t="s">
        <v>30</v>
      </c>
      <c r="F810" s="4" t="s">
        <v>19</v>
      </c>
      <c r="G810" s="4" t="n">
        <v>16</v>
      </c>
      <c r="H810" s="5" t="n">
        <v>995.24</v>
      </c>
      <c r="I810" s="5" t="n">
        <v>584.2</v>
      </c>
      <c r="J810" s="9" t="n">
        <v>0.15</v>
      </c>
      <c r="K810" s="5" t="n">
        <f aca="false">G810*H810*(1-J810)</f>
        <v>13535.264</v>
      </c>
      <c r="L810" s="5" t="n">
        <f aca="false">K810-(G810*I810)</f>
        <v>4188.064</v>
      </c>
    </row>
    <row r="811" customFormat="false" ht="16.4" hidden="false" customHeight="false" outlineLevel="0" collapsed="false">
      <c r="A811" s="4" t="s">
        <v>2280</v>
      </c>
      <c r="B811" s="6" t="n">
        <v>45627</v>
      </c>
      <c r="C811" s="4" t="s">
        <v>1203</v>
      </c>
      <c r="D811" s="4" t="s">
        <v>324</v>
      </c>
      <c r="E811" s="4" t="s">
        <v>12</v>
      </c>
      <c r="F811" s="4" t="s">
        <v>25</v>
      </c>
      <c r="G811" s="4" t="n">
        <v>2</v>
      </c>
      <c r="H811" s="5" t="n">
        <v>1196.04</v>
      </c>
      <c r="I811" s="5" t="n">
        <v>681.93</v>
      </c>
      <c r="J811" s="9" t="n">
        <v>0</v>
      </c>
      <c r="K811" s="5" t="n">
        <f aca="false">G811*H811*(1-J811)</f>
        <v>2392.08</v>
      </c>
      <c r="L811" s="5" t="n">
        <f aca="false">K811-(G811*I811)</f>
        <v>1028.22</v>
      </c>
    </row>
    <row r="812" customFormat="false" ht="16.4" hidden="false" customHeight="false" outlineLevel="0" collapsed="false">
      <c r="A812" s="4" t="s">
        <v>2281</v>
      </c>
      <c r="B812" s="6" t="n">
        <v>45906</v>
      </c>
      <c r="C812" s="4" t="s">
        <v>859</v>
      </c>
      <c r="D812" s="4" t="s">
        <v>98</v>
      </c>
      <c r="E812" s="4" t="s">
        <v>18</v>
      </c>
      <c r="F812" s="4" t="s">
        <v>19</v>
      </c>
      <c r="G812" s="4" t="n">
        <v>10</v>
      </c>
      <c r="H812" s="5" t="n">
        <v>47.89</v>
      </c>
      <c r="I812" s="5" t="n">
        <v>34.56</v>
      </c>
      <c r="J812" s="9" t="n">
        <v>0.05</v>
      </c>
      <c r="K812" s="5" t="n">
        <f aca="false">G812*H812*(1-J812)</f>
        <v>454.955</v>
      </c>
      <c r="L812" s="5" t="n">
        <f aca="false">K812-(G812*I812)</f>
        <v>109.355</v>
      </c>
    </row>
    <row r="813" customFormat="false" ht="16.4" hidden="false" customHeight="false" outlineLevel="0" collapsed="false">
      <c r="A813" s="4" t="s">
        <v>2282</v>
      </c>
      <c r="B813" s="6" t="n">
        <v>45859</v>
      </c>
      <c r="C813" s="4" t="s">
        <v>1463</v>
      </c>
      <c r="D813" s="4" t="s">
        <v>390</v>
      </c>
      <c r="E813" s="4" t="s">
        <v>12</v>
      </c>
      <c r="F813" s="4" t="s">
        <v>25</v>
      </c>
      <c r="G813" s="4" t="n">
        <v>15</v>
      </c>
      <c r="H813" s="5" t="n">
        <v>917.99</v>
      </c>
      <c r="I813" s="5" t="n">
        <v>396.04</v>
      </c>
      <c r="J813" s="9" t="n">
        <v>0</v>
      </c>
      <c r="K813" s="5" t="n">
        <f aca="false">G813*H813*(1-J813)</f>
        <v>13769.85</v>
      </c>
      <c r="L813" s="5" t="n">
        <f aca="false">K813-(G813*I813)</f>
        <v>7829.25</v>
      </c>
    </row>
    <row r="814" customFormat="false" ht="16.4" hidden="false" customHeight="false" outlineLevel="0" collapsed="false">
      <c r="A814" s="4" t="s">
        <v>2283</v>
      </c>
      <c r="B814" s="6" t="n">
        <v>46169</v>
      </c>
      <c r="C814" s="4" t="s">
        <v>1339</v>
      </c>
      <c r="D814" s="4" t="s">
        <v>188</v>
      </c>
      <c r="E814" s="4" t="s">
        <v>6</v>
      </c>
      <c r="F814" s="4" t="s">
        <v>7</v>
      </c>
      <c r="G814" s="4" t="n">
        <v>14</v>
      </c>
      <c r="H814" s="5" t="n">
        <v>1063.86</v>
      </c>
      <c r="I814" s="5" t="n">
        <v>545.28</v>
      </c>
      <c r="J814" s="9" t="n">
        <v>0</v>
      </c>
      <c r="K814" s="5" t="n">
        <f aca="false">G814*H814*(1-J814)</f>
        <v>14894.04</v>
      </c>
      <c r="L814" s="5" t="n">
        <f aca="false">K814-(G814*I814)</f>
        <v>7260.12</v>
      </c>
    </row>
    <row r="815" customFormat="false" ht="16.4" hidden="false" customHeight="false" outlineLevel="0" collapsed="false">
      <c r="A815" s="4" t="s">
        <v>2284</v>
      </c>
      <c r="B815" s="6" t="n">
        <v>45475</v>
      </c>
      <c r="C815" s="4" t="s">
        <v>1425</v>
      </c>
      <c r="D815" s="4" t="s">
        <v>282</v>
      </c>
      <c r="E815" s="4" t="s">
        <v>18</v>
      </c>
      <c r="F815" s="4" t="s">
        <v>7</v>
      </c>
      <c r="G815" s="4" t="n">
        <v>22</v>
      </c>
      <c r="H815" s="5" t="n">
        <v>259.25</v>
      </c>
      <c r="I815" s="5" t="n">
        <v>92.85</v>
      </c>
      <c r="J815" s="9" t="n">
        <v>0.02</v>
      </c>
      <c r="K815" s="5" t="n">
        <f aca="false">G815*H815*(1-J815)</f>
        <v>5589.43</v>
      </c>
      <c r="L815" s="5" t="n">
        <f aca="false">K815-(G815*I815)</f>
        <v>3546.73</v>
      </c>
    </row>
    <row r="816" customFormat="false" ht="16.4" hidden="false" customHeight="false" outlineLevel="0" collapsed="false">
      <c r="A816" s="4" t="s">
        <v>2285</v>
      </c>
      <c r="B816" s="6" t="n">
        <v>45697</v>
      </c>
      <c r="C816" s="4" t="s">
        <v>967</v>
      </c>
      <c r="D816" s="4" t="s">
        <v>384</v>
      </c>
      <c r="E816" s="4" t="s">
        <v>6</v>
      </c>
      <c r="F816" s="4" t="s">
        <v>25</v>
      </c>
      <c r="G816" s="4" t="n">
        <v>22</v>
      </c>
      <c r="H816" s="5" t="n">
        <v>128.47</v>
      </c>
      <c r="I816" s="5" t="n">
        <v>57.93</v>
      </c>
      <c r="J816" s="9" t="n">
        <v>0</v>
      </c>
      <c r="K816" s="5" t="n">
        <f aca="false">G816*H816*(1-J816)</f>
        <v>2826.34</v>
      </c>
      <c r="L816" s="5" t="n">
        <f aca="false">K816-(G816*I816)</f>
        <v>1551.88</v>
      </c>
    </row>
    <row r="817" customFormat="false" ht="16.4" hidden="false" customHeight="false" outlineLevel="0" collapsed="false">
      <c r="A817" s="4" t="s">
        <v>2286</v>
      </c>
      <c r="B817" s="6" t="n">
        <v>45414</v>
      </c>
      <c r="C817" s="4" t="s">
        <v>1139</v>
      </c>
      <c r="D817" s="4" t="s">
        <v>306</v>
      </c>
      <c r="E817" s="4" t="s">
        <v>18</v>
      </c>
      <c r="F817" s="4" t="s">
        <v>13</v>
      </c>
      <c r="G817" s="4" t="n">
        <v>22</v>
      </c>
      <c r="H817" s="5" t="n">
        <v>995.24</v>
      </c>
      <c r="I817" s="5" t="n">
        <v>584.2</v>
      </c>
      <c r="J817" s="9" t="n">
        <v>0</v>
      </c>
      <c r="K817" s="5" t="n">
        <f aca="false">G817*H817*(1-J817)</f>
        <v>21895.28</v>
      </c>
      <c r="L817" s="5" t="n">
        <f aca="false">K817-(G817*I817)</f>
        <v>9042.88</v>
      </c>
    </row>
    <row r="818" customFormat="false" ht="16.4" hidden="false" customHeight="false" outlineLevel="0" collapsed="false">
      <c r="A818" s="4" t="s">
        <v>2287</v>
      </c>
      <c r="B818" s="6" t="n">
        <v>45396</v>
      </c>
      <c r="C818" s="4" t="s">
        <v>875</v>
      </c>
      <c r="D818" s="4" t="s">
        <v>242</v>
      </c>
      <c r="E818" s="4" t="s">
        <v>30</v>
      </c>
      <c r="F818" s="4" t="s">
        <v>13</v>
      </c>
      <c r="G818" s="4" t="n">
        <v>23</v>
      </c>
      <c r="H818" s="5" t="n">
        <v>966.66</v>
      </c>
      <c r="I818" s="5" t="n">
        <v>596.46</v>
      </c>
      <c r="J818" s="9" t="n">
        <v>0.08</v>
      </c>
      <c r="K818" s="5" t="n">
        <f aca="false">G818*H818*(1-J818)</f>
        <v>20454.5256</v>
      </c>
      <c r="L818" s="5" t="n">
        <f aca="false">K818-(G818*I818)</f>
        <v>6735.9456</v>
      </c>
    </row>
    <row r="819" customFormat="false" ht="16.4" hidden="false" customHeight="false" outlineLevel="0" collapsed="false">
      <c r="A819" s="4" t="s">
        <v>2288</v>
      </c>
      <c r="B819" s="6" t="n">
        <v>45497</v>
      </c>
      <c r="C819" s="4" t="s">
        <v>837</v>
      </c>
      <c r="D819" s="4" t="s">
        <v>72</v>
      </c>
      <c r="E819" s="4" t="s">
        <v>18</v>
      </c>
      <c r="F819" s="4" t="s">
        <v>25</v>
      </c>
      <c r="G819" s="4" t="n">
        <v>7</v>
      </c>
      <c r="H819" s="5" t="n">
        <v>496.37</v>
      </c>
      <c r="I819" s="5" t="n">
        <v>186.87</v>
      </c>
      <c r="J819" s="9" t="n">
        <v>0.02</v>
      </c>
      <c r="K819" s="5" t="n">
        <f aca="false">G819*H819*(1-J819)</f>
        <v>3405.0982</v>
      </c>
      <c r="L819" s="5" t="n">
        <f aca="false">K819-(G819*I819)</f>
        <v>2097.0082</v>
      </c>
    </row>
    <row r="820" customFormat="false" ht="16.4" hidden="false" customHeight="false" outlineLevel="0" collapsed="false">
      <c r="A820" s="4" t="s">
        <v>2289</v>
      </c>
      <c r="B820" s="6" t="n">
        <v>45803</v>
      </c>
      <c r="C820" s="4" t="s">
        <v>703</v>
      </c>
      <c r="D820" s="4" t="s">
        <v>102</v>
      </c>
      <c r="E820" s="4" t="s">
        <v>24</v>
      </c>
      <c r="F820" s="4" t="s">
        <v>19</v>
      </c>
      <c r="G820" s="4" t="n">
        <v>14</v>
      </c>
      <c r="H820" s="5" t="n">
        <v>983.83</v>
      </c>
      <c r="I820" s="5" t="n">
        <v>729.21</v>
      </c>
      <c r="J820" s="9" t="n">
        <v>0.1</v>
      </c>
      <c r="K820" s="5" t="n">
        <f aca="false">G820*H820*(1-J820)</f>
        <v>12396.258</v>
      </c>
      <c r="L820" s="5" t="n">
        <f aca="false">K820-(G820*I820)</f>
        <v>2187.318</v>
      </c>
    </row>
    <row r="821" customFormat="false" ht="16.4" hidden="false" customHeight="false" outlineLevel="0" collapsed="false">
      <c r="A821" s="4" t="s">
        <v>2290</v>
      </c>
      <c r="B821" s="6" t="n">
        <v>45899</v>
      </c>
      <c r="C821" s="4" t="s">
        <v>1195</v>
      </c>
      <c r="D821" s="4" t="s">
        <v>430</v>
      </c>
      <c r="E821" s="4" t="s">
        <v>12</v>
      </c>
      <c r="F821" s="4" t="s">
        <v>19</v>
      </c>
      <c r="G821" s="4" t="n">
        <v>25</v>
      </c>
      <c r="H821" s="5" t="n">
        <v>761.49</v>
      </c>
      <c r="I821" s="5" t="n">
        <v>536.83</v>
      </c>
      <c r="J821" s="9" t="n">
        <v>0.08</v>
      </c>
      <c r="K821" s="5" t="n">
        <f aca="false">G821*H821*(1-J821)</f>
        <v>17514.27</v>
      </c>
      <c r="L821" s="5" t="n">
        <f aca="false">K821-(G821*I821)</f>
        <v>4093.52</v>
      </c>
    </row>
    <row r="822" customFormat="false" ht="16.4" hidden="false" customHeight="false" outlineLevel="0" collapsed="false">
      <c r="A822" s="4" t="s">
        <v>2291</v>
      </c>
      <c r="B822" s="6" t="n">
        <v>45656</v>
      </c>
      <c r="C822" s="4" t="s">
        <v>1273</v>
      </c>
      <c r="D822" s="4" t="s">
        <v>426</v>
      </c>
      <c r="E822" s="4" t="s">
        <v>6</v>
      </c>
      <c r="F822" s="4" t="s">
        <v>25</v>
      </c>
      <c r="G822" s="4" t="n">
        <v>21</v>
      </c>
      <c r="H822" s="5" t="n">
        <v>576.65</v>
      </c>
      <c r="I822" s="5" t="n">
        <v>425.38</v>
      </c>
      <c r="J822" s="9" t="n">
        <v>0.05</v>
      </c>
      <c r="K822" s="5" t="n">
        <f aca="false">G822*H822*(1-J822)</f>
        <v>11504.1675</v>
      </c>
      <c r="L822" s="5" t="n">
        <f aca="false">K822-(G822*I822)</f>
        <v>2571.1875</v>
      </c>
    </row>
    <row r="823" customFormat="false" ht="16.4" hidden="false" customHeight="false" outlineLevel="0" collapsed="false">
      <c r="A823" s="4" t="s">
        <v>2292</v>
      </c>
      <c r="B823" s="6" t="n">
        <v>45815</v>
      </c>
      <c r="C823" s="4" t="s">
        <v>1081</v>
      </c>
      <c r="D823" s="4" t="s">
        <v>380</v>
      </c>
      <c r="E823" s="4" t="s">
        <v>18</v>
      </c>
      <c r="F823" s="4" t="s">
        <v>19</v>
      </c>
      <c r="G823" s="4" t="n">
        <v>13</v>
      </c>
      <c r="H823" s="5" t="n">
        <v>812.41</v>
      </c>
      <c r="I823" s="5" t="n">
        <v>563.08</v>
      </c>
      <c r="J823" s="9" t="n">
        <v>0.05</v>
      </c>
      <c r="K823" s="5" t="n">
        <f aca="false">G823*H823*(1-J823)</f>
        <v>10033.2635</v>
      </c>
      <c r="L823" s="5" t="n">
        <f aca="false">K823-(G823*I823)</f>
        <v>2713.2235</v>
      </c>
    </row>
    <row r="824" customFormat="false" ht="16.4" hidden="false" customHeight="false" outlineLevel="0" collapsed="false">
      <c r="A824" s="4" t="s">
        <v>2293</v>
      </c>
      <c r="B824" s="6" t="n">
        <v>45417</v>
      </c>
      <c r="C824" s="4" t="s">
        <v>1251</v>
      </c>
      <c r="D824" s="4" t="s">
        <v>114</v>
      </c>
      <c r="E824" s="4" t="s">
        <v>24</v>
      </c>
      <c r="F824" s="4" t="s">
        <v>19</v>
      </c>
      <c r="G824" s="4" t="n">
        <v>15</v>
      </c>
      <c r="H824" s="5" t="n">
        <v>856.71</v>
      </c>
      <c r="I824" s="5" t="n">
        <v>320.02</v>
      </c>
      <c r="J824" s="9" t="n">
        <v>0</v>
      </c>
      <c r="K824" s="5" t="n">
        <f aca="false">G824*H824*(1-J824)</f>
        <v>12850.65</v>
      </c>
      <c r="L824" s="5" t="n">
        <f aca="false">K824-(G824*I824)</f>
        <v>8050.35</v>
      </c>
    </row>
    <row r="825" customFormat="false" ht="16.4" hidden="false" customHeight="false" outlineLevel="0" collapsed="false">
      <c r="A825" s="4" t="s">
        <v>2294</v>
      </c>
      <c r="B825" s="6" t="n">
        <v>45429</v>
      </c>
      <c r="C825" s="4" t="s">
        <v>973</v>
      </c>
      <c r="D825" s="4" t="s">
        <v>290</v>
      </c>
      <c r="E825" s="4" t="s">
        <v>12</v>
      </c>
      <c r="F825" s="4" t="s">
        <v>7</v>
      </c>
      <c r="G825" s="4" t="n">
        <v>8</v>
      </c>
      <c r="H825" s="5" t="n">
        <v>820.88</v>
      </c>
      <c r="I825" s="5" t="n">
        <v>601.93</v>
      </c>
      <c r="J825" s="9" t="n">
        <v>0.1</v>
      </c>
      <c r="K825" s="5" t="n">
        <f aca="false">G825*H825*(1-J825)</f>
        <v>5910.336</v>
      </c>
      <c r="L825" s="5" t="n">
        <f aca="false">K825-(G825*I825)</f>
        <v>1094.896</v>
      </c>
    </row>
    <row r="826" customFormat="false" ht="16.4" hidden="false" customHeight="false" outlineLevel="0" collapsed="false">
      <c r="A826" s="4" t="s">
        <v>2295</v>
      </c>
      <c r="B826" s="6" t="n">
        <v>45361</v>
      </c>
      <c r="C826" s="4" t="s">
        <v>1219</v>
      </c>
      <c r="D826" s="4" t="s">
        <v>90</v>
      </c>
      <c r="E826" s="4" t="s">
        <v>18</v>
      </c>
      <c r="F826" s="4" t="s">
        <v>25</v>
      </c>
      <c r="G826" s="4" t="n">
        <v>2</v>
      </c>
      <c r="H826" s="5" t="n">
        <v>535.85</v>
      </c>
      <c r="I826" s="5" t="n">
        <v>284.8</v>
      </c>
      <c r="J826" s="9" t="n">
        <v>0.15</v>
      </c>
      <c r="K826" s="5" t="n">
        <f aca="false">G826*H826*(1-J826)</f>
        <v>910.945</v>
      </c>
      <c r="L826" s="5" t="n">
        <f aca="false">K826-(G826*I826)</f>
        <v>341.345</v>
      </c>
    </row>
    <row r="827" customFormat="false" ht="16.4" hidden="false" customHeight="false" outlineLevel="0" collapsed="false">
      <c r="A827" s="4" t="s">
        <v>2296</v>
      </c>
      <c r="B827" s="6" t="n">
        <v>45911</v>
      </c>
      <c r="C827" s="4" t="s">
        <v>485</v>
      </c>
      <c r="D827" s="4" t="s">
        <v>386</v>
      </c>
      <c r="E827" s="4" t="s">
        <v>6</v>
      </c>
      <c r="F827" s="4" t="s">
        <v>19</v>
      </c>
      <c r="G827" s="4" t="n">
        <v>6</v>
      </c>
      <c r="H827" s="5" t="n">
        <v>994.29</v>
      </c>
      <c r="I827" s="5" t="n">
        <v>348.46</v>
      </c>
      <c r="J827" s="9" t="n">
        <v>0.05</v>
      </c>
      <c r="K827" s="5" t="n">
        <f aca="false">G827*H827*(1-J827)</f>
        <v>5667.453</v>
      </c>
      <c r="L827" s="5" t="n">
        <f aca="false">K827-(G827*I827)</f>
        <v>3576.693</v>
      </c>
    </row>
    <row r="828" customFormat="false" ht="16.4" hidden="false" customHeight="false" outlineLevel="0" collapsed="false">
      <c r="A828" s="4" t="s">
        <v>2297</v>
      </c>
      <c r="B828" s="6" t="n">
        <v>45390</v>
      </c>
      <c r="C828" s="4" t="s">
        <v>775</v>
      </c>
      <c r="D828" s="4" t="s">
        <v>118</v>
      </c>
      <c r="E828" s="4" t="s">
        <v>6</v>
      </c>
      <c r="F828" s="4" t="s">
        <v>7</v>
      </c>
      <c r="G828" s="4" t="n">
        <v>20</v>
      </c>
      <c r="H828" s="5" t="n">
        <v>658.6</v>
      </c>
      <c r="I828" s="5" t="n">
        <v>421.07</v>
      </c>
      <c r="J828" s="9" t="n">
        <v>0.08</v>
      </c>
      <c r="K828" s="5" t="n">
        <f aca="false">G828*H828*(1-J828)</f>
        <v>12118.24</v>
      </c>
      <c r="L828" s="5" t="n">
        <f aca="false">K828-(G828*I828)</f>
        <v>3696.84</v>
      </c>
    </row>
    <row r="829" customFormat="false" ht="16.4" hidden="false" customHeight="false" outlineLevel="0" collapsed="false">
      <c r="A829" s="4" t="s">
        <v>2298</v>
      </c>
      <c r="B829" s="6" t="n">
        <v>45796</v>
      </c>
      <c r="C829" s="4" t="s">
        <v>1233</v>
      </c>
      <c r="D829" s="4" t="s">
        <v>378</v>
      </c>
      <c r="E829" s="4" t="s">
        <v>30</v>
      </c>
      <c r="F829" s="4" t="s">
        <v>25</v>
      </c>
      <c r="G829" s="4" t="n">
        <v>17</v>
      </c>
      <c r="H829" s="5" t="n">
        <v>1163.64</v>
      </c>
      <c r="I829" s="5" t="n">
        <v>626.04</v>
      </c>
      <c r="J829" s="9" t="n">
        <v>0.15</v>
      </c>
      <c r="K829" s="5" t="n">
        <f aca="false">G829*H829*(1-J829)</f>
        <v>16814.598</v>
      </c>
      <c r="L829" s="5" t="n">
        <f aca="false">K829-(G829*I829)</f>
        <v>6171.918</v>
      </c>
    </row>
    <row r="830" customFormat="false" ht="16.4" hidden="false" customHeight="false" outlineLevel="0" collapsed="false">
      <c r="A830" s="4" t="s">
        <v>2299</v>
      </c>
      <c r="B830" s="6" t="n">
        <v>45794</v>
      </c>
      <c r="C830" s="4" t="s">
        <v>765</v>
      </c>
      <c r="D830" s="4" t="s">
        <v>142</v>
      </c>
      <c r="E830" s="4" t="s">
        <v>6</v>
      </c>
      <c r="F830" s="4" t="s">
        <v>19</v>
      </c>
      <c r="G830" s="4" t="n">
        <v>22</v>
      </c>
      <c r="H830" s="5" t="n">
        <v>248.13</v>
      </c>
      <c r="I830" s="5" t="n">
        <v>108.45</v>
      </c>
      <c r="J830" s="9" t="n">
        <v>0.05</v>
      </c>
      <c r="K830" s="5" t="n">
        <f aca="false">G830*H830*(1-J830)</f>
        <v>5185.917</v>
      </c>
      <c r="L830" s="5" t="n">
        <f aca="false">K830-(G830*I830)</f>
        <v>2800.017</v>
      </c>
    </row>
    <row r="831" customFormat="false" ht="16.4" hidden="false" customHeight="false" outlineLevel="0" collapsed="false">
      <c r="A831" s="4" t="s">
        <v>2300</v>
      </c>
      <c r="B831" s="6" t="n">
        <v>45310</v>
      </c>
      <c r="C831" s="4" t="s">
        <v>815</v>
      </c>
      <c r="D831" s="4" t="s">
        <v>316</v>
      </c>
      <c r="E831" s="4" t="s">
        <v>30</v>
      </c>
      <c r="F831" s="4" t="s">
        <v>7</v>
      </c>
      <c r="G831" s="4" t="n">
        <v>18</v>
      </c>
      <c r="H831" s="5" t="n">
        <v>1138.97</v>
      </c>
      <c r="I831" s="5" t="n">
        <v>437.64</v>
      </c>
      <c r="J831" s="9" t="n">
        <v>0.08</v>
      </c>
      <c r="K831" s="5" t="n">
        <f aca="false">G831*H831*(1-J831)</f>
        <v>18861.3432</v>
      </c>
      <c r="L831" s="5" t="n">
        <f aca="false">K831-(G831*I831)</f>
        <v>10983.8232</v>
      </c>
    </row>
    <row r="832" customFormat="false" ht="16.4" hidden="false" customHeight="false" outlineLevel="0" collapsed="false">
      <c r="A832" s="4" t="s">
        <v>2301</v>
      </c>
      <c r="B832" s="6" t="n">
        <v>45752</v>
      </c>
      <c r="C832" s="4" t="s">
        <v>1365</v>
      </c>
      <c r="D832" s="4" t="s">
        <v>260</v>
      </c>
      <c r="E832" s="4" t="s">
        <v>12</v>
      </c>
      <c r="F832" s="4" t="s">
        <v>19</v>
      </c>
      <c r="G832" s="4" t="n">
        <v>4</v>
      </c>
      <c r="H832" s="5" t="n">
        <v>471.95</v>
      </c>
      <c r="I832" s="5" t="n">
        <v>166.3</v>
      </c>
      <c r="J832" s="9" t="n">
        <v>0.05</v>
      </c>
      <c r="K832" s="5" t="n">
        <f aca="false">G832*H832*(1-J832)</f>
        <v>1793.41</v>
      </c>
      <c r="L832" s="5" t="n">
        <f aca="false">K832-(G832*I832)</f>
        <v>1128.21</v>
      </c>
    </row>
    <row r="833" customFormat="false" ht="16.4" hidden="false" customHeight="false" outlineLevel="0" collapsed="false">
      <c r="A833" s="4" t="s">
        <v>2302</v>
      </c>
      <c r="B833" s="6" t="n">
        <v>45325</v>
      </c>
      <c r="C833" s="4" t="s">
        <v>917</v>
      </c>
      <c r="D833" s="4" t="s">
        <v>232</v>
      </c>
      <c r="E833" s="4" t="s">
        <v>30</v>
      </c>
      <c r="F833" s="4" t="s">
        <v>13</v>
      </c>
      <c r="G833" s="4" t="n">
        <v>15</v>
      </c>
      <c r="H833" s="5" t="n">
        <v>743.25</v>
      </c>
      <c r="I833" s="5" t="n">
        <v>488.61</v>
      </c>
      <c r="J833" s="9" t="n">
        <v>0</v>
      </c>
      <c r="K833" s="5" t="n">
        <f aca="false">G833*H833*(1-J833)</f>
        <v>11148.75</v>
      </c>
      <c r="L833" s="5" t="n">
        <f aca="false">K833-(G833*I833)</f>
        <v>3819.6</v>
      </c>
    </row>
    <row r="834" customFormat="false" ht="16.4" hidden="false" customHeight="false" outlineLevel="0" collapsed="false">
      <c r="A834" s="4" t="s">
        <v>2303</v>
      </c>
      <c r="B834" s="6" t="n">
        <v>46197</v>
      </c>
      <c r="C834" s="4" t="s">
        <v>1139</v>
      </c>
      <c r="D834" s="4" t="s">
        <v>324</v>
      </c>
      <c r="E834" s="4" t="s">
        <v>18</v>
      </c>
      <c r="F834" s="4" t="s">
        <v>13</v>
      </c>
      <c r="G834" s="4" t="n">
        <v>25</v>
      </c>
      <c r="H834" s="5" t="n">
        <v>1196.04</v>
      </c>
      <c r="I834" s="5" t="n">
        <v>681.93</v>
      </c>
      <c r="J834" s="9" t="n">
        <v>0.02</v>
      </c>
      <c r="K834" s="5" t="n">
        <f aca="false">G834*H834*(1-J834)</f>
        <v>29302.98</v>
      </c>
      <c r="L834" s="5" t="n">
        <f aca="false">K834-(G834*I834)</f>
        <v>12254.73</v>
      </c>
    </row>
    <row r="835" customFormat="false" ht="16.4" hidden="false" customHeight="false" outlineLevel="0" collapsed="false">
      <c r="A835" s="4" t="s">
        <v>2304</v>
      </c>
      <c r="B835" s="6" t="n">
        <v>46024</v>
      </c>
      <c r="C835" s="4" t="s">
        <v>905</v>
      </c>
      <c r="D835" s="4" t="s">
        <v>290</v>
      </c>
      <c r="E835" s="4" t="s">
        <v>30</v>
      </c>
      <c r="F835" s="4" t="s">
        <v>25</v>
      </c>
      <c r="G835" s="4" t="n">
        <v>5</v>
      </c>
      <c r="H835" s="5" t="n">
        <v>820.88</v>
      </c>
      <c r="I835" s="5" t="n">
        <v>601.93</v>
      </c>
      <c r="J835" s="9" t="n">
        <v>0.02</v>
      </c>
      <c r="K835" s="5" t="n">
        <f aca="false">G835*H835*(1-J835)</f>
        <v>4022.312</v>
      </c>
      <c r="L835" s="5" t="n">
        <f aca="false">K835-(G835*I835)</f>
        <v>1012.662</v>
      </c>
    </row>
    <row r="836" customFormat="false" ht="16.4" hidden="false" customHeight="false" outlineLevel="0" collapsed="false">
      <c r="A836" s="4" t="s">
        <v>2305</v>
      </c>
      <c r="B836" s="6" t="n">
        <v>45983</v>
      </c>
      <c r="C836" s="4" t="s">
        <v>1247</v>
      </c>
      <c r="D836" s="4" t="s">
        <v>288</v>
      </c>
      <c r="E836" s="4" t="s">
        <v>6</v>
      </c>
      <c r="F836" s="4" t="s">
        <v>25</v>
      </c>
      <c r="G836" s="4" t="n">
        <v>4</v>
      </c>
      <c r="H836" s="5" t="n">
        <v>1158.55</v>
      </c>
      <c r="I836" s="5" t="n">
        <v>455.59</v>
      </c>
      <c r="J836" s="9" t="n">
        <v>0.08</v>
      </c>
      <c r="K836" s="5" t="n">
        <f aca="false">G836*H836*(1-J836)</f>
        <v>4263.464</v>
      </c>
      <c r="L836" s="5" t="n">
        <f aca="false">K836-(G836*I836)</f>
        <v>2441.104</v>
      </c>
    </row>
    <row r="837" customFormat="false" ht="16.4" hidden="false" customHeight="false" outlineLevel="0" collapsed="false">
      <c r="A837" s="4" t="s">
        <v>2306</v>
      </c>
      <c r="B837" s="6" t="n">
        <v>45877</v>
      </c>
      <c r="C837" s="4" t="s">
        <v>1031</v>
      </c>
      <c r="D837" s="4" t="s">
        <v>376</v>
      </c>
      <c r="E837" s="4" t="s">
        <v>12</v>
      </c>
      <c r="F837" s="4" t="s">
        <v>25</v>
      </c>
      <c r="G837" s="4" t="n">
        <v>22</v>
      </c>
      <c r="H837" s="5" t="n">
        <v>790.52</v>
      </c>
      <c r="I837" s="5" t="n">
        <v>566.35</v>
      </c>
      <c r="J837" s="9" t="n">
        <v>0.08</v>
      </c>
      <c r="K837" s="5" t="n">
        <f aca="false">G837*H837*(1-J837)</f>
        <v>16000.1248</v>
      </c>
      <c r="L837" s="5" t="n">
        <f aca="false">K837-(G837*I837)</f>
        <v>3540.4248</v>
      </c>
    </row>
    <row r="838" customFormat="false" ht="16.4" hidden="false" customHeight="false" outlineLevel="0" collapsed="false">
      <c r="A838" s="4" t="s">
        <v>2307</v>
      </c>
      <c r="B838" s="6" t="n">
        <v>45349</v>
      </c>
      <c r="C838" s="4" t="s">
        <v>1039</v>
      </c>
      <c r="D838" s="4" t="s">
        <v>282</v>
      </c>
      <c r="E838" s="4" t="s">
        <v>12</v>
      </c>
      <c r="F838" s="4" t="s">
        <v>25</v>
      </c>
      <c r="G838" s="4" t="n">
        <v>6</v>
      </c>
      <c r="H838" s="5" t="n">
        <v>259.25</v>
      </c>
      <c r="I838" s="5" t="n">
        <v>92.85</v>
      </c>
      <c r="J838" s="9" t="n">
        <v>0.08</v>
      </c>
      <c r="K838" s="5" t="n">
        <f aca="false">G838*H838*(1-J838)</f>
        <v>1431.06</v>
      </c>
      <c r="L838" s="5" t="n">
        <f aca="false">K838-(G838*I838)</f>
        <v>873.96</v>
      </c>
    </row>
    <row r="839" customFormat="false" ht="16.4" hidden="false" customHeight="false" outlineLevel="0" collapsed="false">
      <c r="A839" s="4" t="s">
        <v>2308</v>
      </c>
      <c r="B839" s="6" t="n">
        <v>45923</v>
      </c>
      <c r="C839" s="4" t="s">
        <v>971</v>
      </c>
      <c r="D839" s="4" t="s">
        <v>174</v>
      </c>
      <c r="E839" s="4" t="s">
        <v>18</v>
      </c>
      <c r="F839" s="4" t="s">
        <v>19</v>
      </c>
      <c r="G839" s="4" t="n">
        <v>19</v>
      </c>
      <c r="H839" s="5" t="n">
        <v>770.28</v>
      </c>
      <c r="I839" s="5" t="n">
        <v>525.13</v>
      </c>
      <c r="J839" s="9" t="n">
        <v>0.05</v>
      </c>
      <c r="K839" s="5" t="n">
        <f aca="false">G839*H839*(1-J839)</f>
        <v>13903.554</v>
      </c>
      <c r="L839" s="5" t="n">
        <f aca="false">K839-(G839*I839)</f>
        <v>3926.084</v>
      </c>
    </row>
    <row r="840" customFormat="false" ht="16.4" hidden="false" customHeight="false" outlineLevel="0" collapsed="false">
      <c r="A840" s="4" t="s">
        <v>2309</v>
      </c>
      <c r="B840" s="6" t="n">
        <v>45320</v>
      </c>
      <c r="C840" s="4" t="s">
        <v>755</v>
      </c>
      <c r="D840" s="4" t="s">
        <v>432</v>
      </c>
      <c r="E840" s="4" t="s">
        <v>18</v>
      </c>
      <c r="F840" s="4" t="s">
        <v>7</v>
      </c>
      <c r="G840" s="4" t="n">
        <v>11</v>
      </c>
      <c r="H840" s="5" t="n">
        <v>105.39</v>
      </c>
      <c r="I840" s="5" t="n">
        <v>63.49</v>
      </c>
      <c r="J840" s="9" t="n">
        <v>0</v>
      </c>
      <c r="K840" s="5" t="n">
        <f aca="false">G840*H840*(1-J840)</f>
        <v>1159.29</v>
      </c>
      <c r="L840" s="5" t="n">
        <f aca="false">K840-(G840*I840)</f>
        <v>460.9</v>
      </c>
    </row>
    <row r="841" customFormat="false" ht="16.4" hidden="false" customHeight="false" outlineLevel="0" collapsed="false">
      <c r="A841" s="4" t="s">
        <v>2310</v>
      </c>
      <c r="B841" s="6" t="n">
        <v>46120</v>
      </c>
      <c r="C841" s="4" t="s">
        <v>1321</v>
      </c>
      <c r="D841" s="4" t="s">
        <v>104</v>
      </c>
      <c r="E841" s="4" t="s">
        <v>6</v>
      </c>
      <c r="F841" s="4" t="s">
        <v>7</v>
      </c>
      <c r="G841" s="4" t="n">
        <v>12</v>
      </c>
      <c r="H841" s="5" t="n">
        <v>800.21</v>
      </c>
      <c r="I841" s="5" t="n">
        <v>583.14</v>
      </c>
      <c r="J841" s="9" t="n">
        <v>0.02</v>
      </c>
      <c r="K841" s="5" t="n">
        <f aca="false">G841*H841*(1-J841)</f>
        <v>9410.4696</v>
      </c>
      <c r="L841" s="5" t="n">
        <f aca="false">K841-(G841*I841)</f>
        <v>2412.7896</v>
      </c>
    </row>
    <row r="842" customFormat="false" ht="16.4" hidden="false" customHeight="false" outlineLevel="0" collapsed="false">
      <c r="A842" s="4" t="s">
        <v>2311</v>
      </c>
      <c r="B842" s="6" t="n">
        <v>45681</v>
      </c>
      <c r="C842" s="4" t="s">
        <v>1377</v>
      </c>
      <c r="D842" s="4" t="s">
        <v>430</v>
      </c>
      <c r="E842" s="4" t="s">
        <v>24</v>
      </c>
      <c r="F842" s="4" t="s">
        <v>7</v>
      </c>
      <c r="G842" s="4" t="n">
        <v>21</v>
      </c>
      <c r="H842" s="5" t="n">
        <v>761.49</v>
      </c>
      <c r="I842" s="5" t="n">
        <v>536.83</v>
      </c>
      <c r="J842" s="9" t="n">
        <v>0.02</v>
      </c>
      <c r="K842" s="5" t="n">
        <f aca="false">G842*H842*(1-J842)</f>
        <v>15671.4642</v>
      </c>
      <c r="L842" s="5" t="n">
        <f aca="false">K842-(G842*I842)</f>
        <v>4398.0342</v>
      </c>
    </row>
    <row r="843" customFormat="false" ht="16.4" hidden="false" customHeight="false" outlineLevel="0" collapsed="false">
      <c r="A843" s="4" t="s">
        <v>2312</v>
      </c>
      <c r="B843" s="6" t="n">
        <v>45651</v>
      </c>
      <c r="C843" s="4" t="s">
        <v>817</v>
      </c>
      <c r="D843" s="4" t="s">
        <v>258</v>
      </c>
      <c r="E843" s="4" t="s">
        <v>30</v>
      </c>
      <c r="F843" s="4" t="s">
        <v>7</v>
      </c>
      <c r="G843" s="4" t="n">
        <v>12</v>
      </c>
      <c r="H843" s="5" t="n">
        <v>268.03</v>
      </c>
      <c r="I843" s="5" t="n">
        <v>138.85</v>
      </c>
      <c r="J843" s="9" t="n">
        <v>0.05</v>
      </c>
      <c r="K843" s="5" t="n">
        <f aca="false">G843*H843*(1-J843)</f>
        <v>3055.542</v>
      </c>
      <c r="L843" s="5" t="n">
        <f aca="false">K843-(G843*I843)</f>
        <v>1389.342</v>
      </c>
    </row>
    <row r="844" customFormat="false" ht="16.4" hidden="false" customHeight="false" outlineLevel="0" collapsed="false">
      <c r="A844" s="4" t="s">
        <v>2313</v>
      </c>
      <c r="B844" s="6" t="n">
        <v>45955</v>
      </c>
      <c r="C844" s="4" t="s">
        <v>715</v>
      </c>
      <c r="D844" s="4" t="s">
        <v>378</v>
      </c>
      <c r="E844" s="4" t="s">
        <v>30</v>
      </c>
      <c r="F844" s="4" t="s">
        <v>19</v>
      </c>
      <c r="G844" s="4" t="n">
        <v>8</v>
      </c>
      <c r="H844" s="5" t="n">
        <v>1163.64</v>
      </c>
      <c r="I844" s="5" t="n">
        <v>626.04</v>
      </c>
      <c r="J844" s="9" t="n">
        <v>0</v>
      </c>
      <c r="K844" s="5" t="n">
        <f aca="false">G844*H844*(1-J844)</f>
        <v>9309.12</v>
      </c>
      <c r="L844" s="5" t="n">
        <f aca="false">K844-(G844*I844)</f>
        <v>4300.8</v>
      </c>
    </row>
    <row r="845" customFormat="false" ht="16.4" hidden="false" customHeight="false" outlineLevel="0" collapsed="false">
      <c r="A845" s="4" t="s">
        <v>2314</v>
      </c>
      <c r="B845" s="6" t="n">
        <v>46181</v>
      </c>
      <c r="C845" s="4" t="s">
        <v>551</v>
      </c>
      <c r="D845" s="4" t="s">
        <v>342</v>
      </c>
      <c r="E845" s="4" t="s">
        <v>30</v>
      </c>
      <c r="F845" s="4" t="s">
        <v>19</v>
      </c>
      <c r="G845" s="4" t="n">
        <v>23</v>
      </c>
      <c r="H845" s="5" t="n">
        <v>990.99</v>
      </c>
      <c r="I845" s="5" t="n">
        <v>505.69</v>
      </c>
      <c r="J845" s="9" t="n">
        <v>0</v>
      </c>
      <c r="K845" s="5" t="n">
        <f aca="false">G845*H845*(1-J845)</f>
        <v>22792.77</v>
      </c>
      <c r="L845" s="5" t="n">
        <f aca="false">K845-(G845*I845)</f>
        <v>11161.9</v>
      </c>
    </row>
    <row r="846" customFormat="false" ht="16.4" hidden="false" customHeight="false" outlineLevel="0" collapsed="false">
      <c r="A846" s="4" t="s">
        <v>2315</v>
      </c>
      <c r="B846" s="6" t="n">
        <v>45843</v>
      </c>
      <c r="C846" s="4" t="s">
        <v>809</v>
      </c>
      <c r="D846" s="4" t="s">
        <v>98</v>
      </c>
      <c r="E846" s="4" t="s">
        <v>30</v>
      </c>
      <c r="F846" s="4" t="s">
        <v>19</v>
      </c>
      <c r="G846" s="4" t="n">
        <v>6</v>
      </c>
      <c r="H846" s="5" t="n">
        <v>47.89</v>
      </c>
      <c r="I846" s="5" t="n">
        <v>34.56</v>
      </c>
      <c r="J846" s="9" t="n">
        <v>0</v>
      </c>
      <c r="K846" s="5" t="n">
        <f aca="false">G846*H846*(1-J846)</f>
        <v>287.34</v>
      </c>
      <c r="L846" s="5" t="n">
        <f aca="false">K846-(G846*I846)</f>
        <v>79.98</v>
      </c>
    </row>
    <row r="847" customFormat="false" ht="16.4" hidden="false" customHeight="false" outlineLevel="0" collapsed="false">
      <c r="A847" s="4" t="s">
        <v>2316</v>
      </c>
      <c r="B847" s="6" t="n">
        <v>45724</v>
      </c>
      <c r="C847" s="4" t="s">
        <v>935</v>
      </c>
      <c r="D847" s="4" t="s">
        <v>58</v>
      </c>
      <c r="E847" s="4" t="s">
        <v>24</v>
      </c>
      <c r="F847" s="4" t="s">
        <v>25</v>
      </c>
      <c r="G847" s="4" t="n">
        <v>22</v>
      </c>
      <c r="H847" s="5" t="n">
        <v>250.94</v>
      </c>
      <c r="I847" s="5" t="n">
        <v>94.81</v>
      </c>
      <c r="J847" s="9" t="n">
        <v>0.15</v>
      </c>
      <c r="K847" s="5" t="n">
        <f aca="false">G847*H847*(1-J847)</f>
        <v>4692.578</v>
      </c>
      <c r="L847" s="5" t="n">
        <f aca="false">K847-(G847*I847)</f>
        <v>2606.758</v>
      </c>
    </row>
    <row r="848" customFormat="false" ht="16.4" hidden="false" customHeight="false" outlineLevel="0" collapsed="false">
      <c r="A848" s="4" t="s">
        <v>2317</v>
      </c>
      <c r="B848" s="6" t="n">
        <v>45894</v>
      </c>
      <c r="C848" s="4" t="s">
        <v>478</v>
      </c>
      <c r="D848" s="4" t="s">
        <v>176</v>
      </c>
      <c r="E848" s="4" t="s">
        <v>6</v>
      </c>
      <c r="F848" s="4" t="s">
        <v>7</v>
      </c>
      <c r="G848" s="4" t="n">
        <v>23</v>
      </c>
      <c r="H848" s="5" t="n">
        <v>931.07</v>
      </c>
      <c r="I848" s="5" t="n">
        <v>563.15</v>
      </c>
      <c r="J848" s="9" t="n">
        <v>0.05</v>
      </c>
      <c r="K848" s="5" t="n">
        <f aca="false">G848*H848*(1-J848)</f>
        <v>20343.8795</v>
      </c>
      <c r="L848" s="5" t="n">
        <f aca="false">K848-(G848*I848)</f>
        <v>7391.4295</v>
      </c>
    </row>
    <row r="849" customFormat="false" ht="16.4" hidden="false" customHeight="false" outlineLevel="0" collapsed="false">
      <c r="A849" s="4" t="s">
        <v>2318</v>
      </c>
      <c r="B849" s="6" t="n">
        <v>45622</v>
      </c>
      <c r="C849" s="4" t="s">
        <v>851</v>
      </c>
      <c r="D849" s="4" t="s">
        <v>202</v>
      </c>
      <c r="E849" s="4" t="s">
        <v>18</v>
      </c>
      <c r="F849" s="4" t="s">
        <v>7</v>
      </c>
      <c r="G849" s="4" t="n">
        <v>19</v>
      </c>
      <c r="H849" s="5" t="n">
        <v>437.6</v>
      </c>
      <c r="I849" s="5" t="n">
        <v>242.33</v>
      </c>
      <c r="J849" s="9" t="n">
        <v>0.05</v>
      </c>
      <c r="K849" s="5" t="n">
        <f aca="false">G849*H849*(1-J849)</f>
        <v>7898.68</v>
      </c>
      <c r="L849" s="5" t="n">
        <f aca="false">K849-(G849*I849)</f>
        <v>3294.41</v>
      </c>
    </row>
    <row r="850" customFormat="false" ht="16.4" hidden="false" customHeight="false" outlineLevel="0" collapsed="false">
      <c r="A850" s="4" t="s">
        <v>2319</v>
      </c>
      <c r="B850" s="6" t="n">
        <v>45502</v>
      </c>
      <c r="C850" s="4" t="s">
        <v>567</v>
      </c>
      <c r="D850" s="4" t="s">
        <v>290</v>
      </c>
      <c r="E850" s="4" t="s">
        <v>6</v>
      </c>
      <c r="F850" s="4" t="s">
        <v>19</v>
      </c>
      <c r="G850" s="4" t="n">
        <v>23</v>
      </c>
      <c r="H850" s="5" t="n">
        <v>820.88</v>
      </c>
      <c r="I850" s="5" t="n">
        <v>601.93</v>
      </c>
      <c r="J850" s="9" t="n">
        <v>0.1</v>
      </c>
      <c r="K850" s="5" t="n">
        <f aca="false">G850*H850*(1-J850)</f>
        <v>16992.216</v>
      </c>
      <c r="L850" s="5" t="n">
        <f aca="false">K850-(G850*I850)</f>
        <v>3147.826</v>
      </c>
    </row>
    <row r="851" customFormat="false" ht="16.4" hidden="false" customHeight="false" outlineLevel="0" collapsed="false">
      <c r="A851" s="4" t="s">
        <v>2320</v>
      </c>
      <c r="B851" s="6" t="n">
        <v>45639</v>
      </c>
      <c r="C851" s="4" t="s">
        <v>979</v>
      </c>
      <c r="D851" s="4" t="s">
        <v>294</v>
      </c>
      <c r="E851" s="4" t="s">
        <v>24</v>
      </c>
      <c r="F851" s="4" t="s">
        <v>13</v>
      </c>
      <c r="G851" s="4" t="n">
        <v>25</v>
      </c>
      <c r="H851" s="5" t="n">
        <v>1024.09</v>
      </c>
      <c r="I851" s="5" t="n">
        <v>604.38</v>
      </c>
      <c r="J851" s="9" t="n">
        <v>0.1</v>
      </c>
      <c r="K851" s="5" t="n">
        <f aca="false">G851*H851*(1-J851)</f>
        <v>23042.025</v>
      </c>
      <c r="L851" s="5" t="n">
        <f aca="false">K851-(G851*I851)</f>
        <v>7932.525</v>
      </c>
    </row>
    <row r="852" customFormat="false" ht="16.4" hidden="false" customHeight="false" outlineLevel="0" collapsed="false">
      <c r="A852" s="4" t="s">
        <v>2321</v>
      </c>
      <c r="B852" s="6" t="n">
        <v>45498</v>
      </c>
      <c r="C852" s="4" t="s">
        <v>771</v>
      </c>
      <c r="D852" s="4" t="s">
        <v>354</v>
      </c>
      <c r="E852" s="4" t="s">
        <v>18</v>
      </c>
      <c r="F852" s="4" t="s">
        <v>25</v>
      </c>
      <c r="G852" s="4" t="n">
        <v>12</v>
      </c>
      <c r="H852" s="5" t="n">
        <v>229.23</v>
      </c>
      <c r="I852" s="5" t="n">
        <v>87.11</v>
      </c>
      <c r="J852" s="9" t="n">
        <v>0.05</v>
      </c>
      <c r="K852" s="5" t="n">
        <f aca="false">G852*H852*(1-J852)</f>
        <v>2613.222</v>
      </c>
      <c r="L852" s="5" t="n">
        <f aca="false">K852-(G852*I852)</f>
        <v>1567.902</v>
      </c>
    </row>
    <row r="853" customFormat="false" ht="16.4" hidden="false" customHeight="false" outlineLevel="0" collapsed="false">
      <c r="A853" s="4" t="s">
        <v>2322</v>
      </c>
      <c r="B853" s="6" t="n">
        <v>46162</v>
      </c>
      <c r="C853" s="4" t="s">
        <v>1331</v>
      </c>
      <c r="D853" s="4" t="s">
        <v>364</v>
      </c>
      <c r="E853" s="4" t="s">
        <v>18</v>
      </c>
      <c r="F853" s="4" t="s">
        <v>13</v>
      </c>
      <c r="G853" s="4" t="n">
        <v>3</v>
      </c>
      <c r="H853" s="5" t="n">
        <v>108.91</v>
      </c>
      <c r="I853" s="5" t="n">
        <v>45.35</v>
      </c>
      <c r="J853" s="9" t="n">
        <v>0.15</v>
      </c>
      <c r="K853" s="5" t="n">
        <f aca="false">G853*H853*(1-J853)</f>
        <v>277.7205</v>
      </c>
      <c r="L853" s="5" t="n">
        <f aca="false">K853-(G853*I853)</f>
        <v>141.6705</v>
      </c>
    </row>
    <row r="854" customFormat="false" ht="16.4" hidden="false" customHeight="false" outlineLevel="0" collapsed="false">
      <c r="A854" s="4" t="s">
        <v>2323</v>
      </c>
      <c r="B854" s="6" t="n">
        <v>45879</v>
      </c>
      <c r="C854" s="4" t="s">
        <v>735</v>
      </c>
      <c r="D854" s="4" t="s">
        <v>186</v>
      </c>
      <c r="E854" s="4" t="s">
        <v>6</v>
      </c>
      <c r="F854" s="4" t="s">
        <v>25</v>
      </c>
      <c r="G854" s="4" t="n">
        <v>2</v>
      </c>
      <c r="H854" s="5" t="n">
        <v>271.84</v>
      </c>
      <c r="I854" s="5" t="n">
        <v>122.28</v>
      </c>
      <c r="J854" s="9" t="n">
        <v>0.02</v>
      </c>
      <c r="K854" s="5" t="n">
        <f aca="false">G854*H854*(1-J854)</f>
        <v>532.8064</v>
      </c>
      <c r="L854" s="5" t="n">
        <f aca="false">K854-(G854*I854)</f>
        <v>288.2464</v>
      </c>
    </row>
    <row r="855" customFormat="false" ht="16.4" hidden="false" customHeight="false" outlineLevel="0" collapsed="false">
      <c r="A855" s="4" t="s">
        <v>2324</v>
      </c>
      <c r="B855" s="6" t="n">
        <v>46026</v>
      </c>
      <c r="C855" s="4" t="s">
        <v>1103</v>
      </c>
      <c r="D855" s="4" t="s">
        <v>154</v>
      </c>
      <c r="E855" s="4" t="s">
        <v>24</v>
      </c>
      <c r="F855" s="4" t="s">
        <v>7</v>
      </c>
      <c r="G855" s="4" t="n">
        <v>24</v>
      </c>
      <c r="H855" s="5" t="n">
        <v>811.93</v>
      </c>
      <c r="I855" s="5" t="n">
        <v>386.21</v>
      </c>
      <c r="J855" s="9" t="n">
        <v>0</v>
      </c>
      <c r="K855" s="5" t="n">
        <f aca="false">G855*H855*(1-J855)</f>
        <v>19486.32</v>
      </c>
      <c r="L855" s="5" t="n">
        <f aca="false">K855-(G855*I855)</f>
        <v>10217.28</v>
      </c>
    </row>
    <row r="856" customFormat="false" ht="16.4" hidden="false" customHeight="false" outlineLevel="0" collapsed="false">
      <c r="A856" s="4" t="s">
        <v>2325</v>
      </c>
      <c r="B856" s="6" t="n">
        <v>45872</v>
      </c>
      <c r="C856" s="4" t="s">
        <v>809</v>
      </c>
      <c r="D856" s="4" t="s">
        <v>342</v>
      </c>
      <c r="E856" s="4" t="s">
        <v>30</v>
      </c>
      <c r="F856" s="4" t="s">
        <v>25</v>
      </c>
      <c r="G856" s="4" t="n">
        <v>9</v>
      </c>
      <c r="H856" s="5" t="n">
        <v>990.99</v>
      </c>
      <c r="I856" s="5" t="n">
        <v>505.69</v>
      </c>
      <c r="J856" s="9" t="n">
        <v>0</v>
      </c>
      <c r="K856" s="5" t="n">
        <f aca="false">G856*H856*(1-J856)</f>
        <v>8918.91</v>
      </c>
      <c r="L856" s="5" t="n">
        <f aca="false">K856-(G856*I856)</f>
        <v>4367.7</v>
      </c>
    </row>
    <row r="857" customFormat="false" ht="16.4" hidden="false" customHeight="false" outlineLevel="0" collapsed="false">
      <c r="A857" s="4" t="s">
        <v>2326</v>
      </c>
      <c r="B857" s="6" t="n">
        <v>45370</v>
      </c>
      <c r="C857" s="4" t="s">
        <v>679</v>
      </c>
      <c r="D857" s="4" t="s">
        <v>258</v>
      </c>
      <c r="E857" s="4" t="s">
        <v>6</v>
      </c>
      <c r="F857" s="4" t="s">
        <v>19</v>
      </c>
      <c r="G857" s="4" t="n">
        <v>12</v>
      </c>
      <c r="H857" s="5" t="n">
        <v>268.03</v>
      </c>
      <c r="I857" s="5" t="n">
        <v>138.85</v>
      </c>
      <c r="J857" s="9" t="n">
        <v>0.15</v>
      </c>
      <c r="K857" s="5" t="n">
        <f aca="false">G857*H857*(1-J857)</f>
        <v>2733.906</v>
      </c>
      <c r="L857" s="5" t="n">
        <f aca="false">K857-(G857*I857)</f>
        <v>1067.706</v>
      </c>
    </row>
    <row r="858" customFormat="false" ht="16.4" hidden="false" customHeight="false" outlineLevel="0" collapsed="false">
      <c r="A858" s="4" t="s">
        <v>2327</v>
      </c>
      <c r="B858" s="6" t="n">
        <v>45971</v>
      </c>
      <c r="C858" s="4" t="s">
        <v>1287</v>
      </c>
      <c r="D858" s="4" t="s">
        <v>298</v>
      </c>
      <c r="E858" s="4" t="s">
        <v>18</v>
      </c>
      <c r="F858" s="4" t="s">
        <v>19</v>
      </c>
      <c r="G858" s="4" t="n">
        <v>10</v>
      </c>
      <c r="H858" s="5" t="n">
        <v>1023.25</v>
      </c>
      <c r="I858" s="5" t="n">
        <v>694.72</v>
      </c>
      <c r="J858" s="9" t="n">
        <v>0.05</v>
      </c>
      <c r="K858" s="5" t="n">
        <f aca="false">G858*H858*(1-J858)</f>
        <v>9720.875</v>
      </c>
      <c r="L858" s="5" t="n">
        <f aca="false">K858-(G858*I858)</f>
        <v>2773.675</v>
      </c>
    </row>
    <row r="859" customFormat="false" ht="16.4" hidden="false" customHeight="false" outlineLevel="0" collapsed="false">
      <c r="A859" s="4" t="s">
        <v>2328</v>
      </c>
      <c r="B859" s="6" t="n">
        <v>45931</v>
      </c>
      <c r="C859" s="4" t="s">
        <v>889</v>
      </c>
      <c r="D859" s="4" t="s">
        <v>142</v>
      </c>
      <c r="E859" s="4" t="s">
        <v>18</v>
      </c>
      <c r="F859" s="4" t="s">
        <v>25</v>
      </c>
      <c r="G859" s="4" t="n">
        <v>13</v>
      </c>
      <c r="H859" s="5" t="n">
        <v>248.13</v>
      </c>
      <c r="I859" s="5" t="n">
        <v>108.45</v>
      </c>
      <c r="J859" s="9" t="n">
        <v>0.02</v>
      </c>
      <c r="K859" s="5" t="n">
        <f aca="false">G859*H859*(1-J859)</f>
        <v>3161.1762</v>
      </c>
      <c r="L859" s="5" t="n">
        <f aca="false">K859-(G859*I859)</f>
        <v>1751.3262</v>
      </c>
    </row>
    <row r="860" customFormat="false" ht="16.4" hidden="false" customHeight="false" outlineLevel="0" collapsed="false">
      <c r="A860" s="4" t="s">
        <v>2329</v>
      </c>
      <c r="B860" s="6" t="n">
        <v>46194</v>
      </c>
      <c r="C860" s="4" t="s">
        <v>1245</v>
      </c>
      <c r="D860" s="4" t="s">
        <v>382</v>
      </c>
      <c r="E860" s="4" t="s">
        <v>18</v>
      </c>
      <c r="F860" s="4" t="s">
        <v>7</v>
      </c>
      <c r="G860" s="4" t="n">
        <v>18</v>
      </c>
      <c r="H860" s="5" t="n">
        <v>363.66</v>
      </c>
      <c r="I860" s="5" t="n">
        <v>264.77</v>
      </c>
      <c r="J860" s="9" t="n">
        <v>0</v>
      </c>
      <c r="K860" s="5" t="n">
        <f aca="false">G860*H860*(1-J860)</f>
        <v>6545.88</v>
      </c>
      <c r="L860" s="5" t="n">
        <f aca="false">K860-(G860*I860)</f>
        <v>1780.02</v>
      </c>
    </row>
    <row r="861" customFormat="false" ht="16.4" hidden="false" customHeight="false" outlineLevel="0" collapsed="false">
      <c r="A861" s="4" t="s">
        <v>2330</v>
      </c>
      <c r="B861" s="6" t="n">
        <v>45483</v>
      </c>
      <c r="C861" s="4" t="s">
        <v>1185</v>
      </c>
      <c r="D861" s="4" t="s">
        <v>360</v>
      </c>
      <c r="E861" s="4" t="s">
        <v>6</v>
      </c>
      <c r="F861" s="4" t="s">
        <v>25</v>
      </c>
      <c r="G861" s="4" t="n">
        <v>17</v>
      </c>
      <c r="H861" s="5" t="n">
        <v>1110.6</v>
      </c>
      <c r="I861" s="5" t="n">
        <v>738.69</v>
      </c>
      <c r="J861" s="9" t="n">
        <v>0.15</v>
      </c>
      <c r="K861" s="5" t="n">
        <f aca="false">G861*H861*(1-J861)</f>
        <v>16048.17</v>
      </c>
      <c r="L861" s="5" t="n">
        <f aca="false">K861-(G861*I861)</f>
        <v>3490.44</v>
      </c>
    </row>
    <row r="862" customFormat="false" ht="16.4" hidden="false" customHeight="false" outlineLevel="0" collapsed="false">
      <c r="A862" s="4" t="s">
        <v>2331</v>
      </c>
      <c r="B862" s="6" t="n">
        <v>45566</v>
      </c>
      <c r="C862" s="4" t="s">
        <v>1141</v>
      </c>
      <c r="D862" s="4" t="s">
        <v>148</v>
      </c>
      <c r="E862" s="4" t="s">
        <v>18</v>
      </c>
      <c r="F862" s="4" t="s">
        <v>25</v>
      </c>
      <c r="G862" s="4" t="n">
        <v>24</v>
      </c>
      <c r="H862" s="5" t="n">
        <v>104.85</v>
      </c>
      <c r="I862" s="5" t="n">
        <v>72.84</v>
      </c>
      <c r="J862" s="9" t="n">
        <v>0.05</v>
      </c>
      <c r="K862" s="5" t="n">
        <f aca="false">G862*H862*(1-J862)</f>
        <v>2390.58</v>
      </c>
      <c r="L862" s="5" t="n">
        <f aca="false">K862-(G862*I862)</f>
        <v>642.419999999999</v>
      </c>
    </row>
    <row r="863" customFormat="false" ht="16.4" hidden="false" customHeight="false" outlineLevel="0" collapsed="false">
      <c r="A863" s="4" t="s">
        <v>2332</v>
      </c>
      <c r="B863" s="6" t="n">
        <v>45826</v>
      </c>
      <c r="C863" s="4" t="s">
        <v>1209</v>
      </c>
      <c r="D863" s="4" t="s">
        <v>328</v>
      </c>
      <c r="E863" s="4" t="s">
        <v>30</v>
      </c>
      <c r="F863" s="4" t="s">
        <v>13</v>
      </c>
      <c r="G863" s="4" t="n">
        <v>21</v>
      </c>
      <c r="H863" s="5" t="n">
        <v>165.48</v>
      </c>
      <c r="I863" s="5" t="n">
        <v>93.39</v>
      </c>
      <c r="J863" s="9" t="n">
        <v>0</v>
      </c>
      <c r="K863" s="5" t="n">
        <f aca="false">G863*H863*(1-J863)</f>
        <v>3475.08</v>
      </c>
      <c r="L863" s="5" t="n">
        <f aca="false">K863-(G863*I863)</f>
        <v>1513.89</v>
      </c>
    </row>
    <row r="864" customFormat="false" ht="16.4" hidden="false" customHeight="false" outlineLevel="0" collapsed="false">
      <c r="A864" s="4" t="s">
        <v>2333</v>
      </c>
      <c r="B864" s="6" t="n">
        <v>45446</v>
      </c>
      <c r="C864" s="4" t="s">
        <v>937</v>
      </c>
      <c r="D864" s="4" t="s">
        <v>226</v>
      </c>
      <c r="E864" s="4" t="s">
        <v>6</v>
      </c>
      <c r="F864" s="4" t="s">
        <v>19</v>
      </c>
      <c r="G864" s="4" t="n">
        <v>5</v>
      </c>
      <c r="H864" s="5" t="n">
        <v>799.15</v>
      </c>
      <c r="I864" s="5" t="n">
        <v>370.42</v>
      </c>
      <c r="J864" s="9" t="n">
        <v>0</v>
      </c>
      <c r="K864" s="5" t="n">
        <f aca="false">G864*H864*(1-J864)</f>
        <v>3995.75</v>
      </c>
      <c r="L864" s="5" t="n">
        <f aca="false">K864-(G864*I864)</f>
        <v>2143.65</v>
      </c>
    </row>
    <row r="865" customFormat="false" ht="16.4" hidden="false" customHeight="false" outlineLevel="0" collapsed="false">
      <c r="A865" s="4" t="s">
        <v>2334</v>
      </c>
      <c r="B865" s="6" t="n">
        <v>46142</v>
      </c>
      <c r="C865" s="4" t="s">
        <v>885</v>
      </c>
      <c r="D865" s="4" t="s">
        <v>262</v>
      </c>
      <c r="E865" s="4" t="s">
        <v>12</v>
      </c>
      <c r="F865" s="4" t="s">
        <v>7</v>
      </c>
      <c r="G865" s="4" t="n">
        <v>11</v>
      </c>
      <c r="H865" s="5" t="n">
        <v>1027.8</v>
      </c>
      <c r="I865" s="5" t="n">
        <v>751.7</v>
      </c>
      <c r="J865" s="9" t="n">
        <v>0.15</v>
      </c>
      <c r="K865" s="5" t="n">
        <f aca="false">G865*H865*(1-J865)</f>
        <v>9609.93</v>
      </c>
      <c r="L865" s="5" t="n">
        <f aca="false">K865-(G865*I865)</f>
        <v>1341.23</v>
      </c>
    </row>
    <row r="866" customFormat="false" ht="16.4" hidden="false" customHeight="false" outlineLevel="0" collapsed="false">
      <c r="A866" s="4" t="s">
        <v>2335</v>
      </c>
      <c r="B866" s="6" t="n">
        <v>46135</v>
      </c>
      <c r="C866" s="4" t="s">
        <v>673</v>
      </c>
      <c r="D866" s="4" t="s">
        <v>364</v>
      </c>
      <c r="E866" s="4" t="s">
        <v>24</v>
      </c>
      <c r="F866" s="4" t="s">
        <v>19</v>
      </c>
      <c r="G866" s="4" t="n">
        <v>14</v>
      </c>
      <c r="H866" s="5" t="n">
        <v>108.91</v>
      </c>
      <c r="I866" s="5" t="n">
        <v>45.35</v>
      </c>
      <c r="J866" s="9" t="n">
        <v>0.02</v>
      </c>
      <c r="K866" s="5" t="n">
        <f aca="false">G866*H866*(1-J866)</f>
        <v>1494.2452</v>
      </c>
      <c r="L866" s="5" t="n">
        <f aca="false">K866-(G866*I866)</f>
        <v>859.3452</v>
      </c>
    </row>
    <row r="867" customFormat="false" ht="16.4" hidden="false" customHeight="false" outlineLevel="0" collapsed="false">
      <c r="A867" s="4" t="s">
        <v>2336</v>
      </c>
      <c r="B867" s="6" t="n">
        <v>45907</v>
      </c>
      <c r="C867" s="4" t="s">
        <v>629</v>
      </c>
      <c r="D867" s="4" t="s">
        <v>370</v>
      </c>
      <c r="E867" s="4" t="s">
        <v>30</v>
      </c>
      <c r="F867" s="4" t="s">
        <v>13</v>
      </c>
      <c r="G867" s="4" t="n">
        <v>9</v>
      </c>
      <c r="H867" s="5" t="n">
        <v>888.08</v>
      </c>
      <c r="I867" s="5" t="n">
        <v>525.29</v>
      </c>
      <c r="J867" s="9" t="n">
        <v>0.1</v>
      </c>
      <c r="K867" s="5" t="n">
        <f aca="false">G867*H867*(1-J867)</f>
        <v>7193.448</v>
      </c>
      <c r="L867" s="5" t="n">
        <f aca="false">K867-(G867*I867)</f>
        <v>2465.838</v>
      </c>
    </row>
    <row r="868" customFormat="false" ht="16.4" hidden="false" customHeight="false" outlineLevel="0" collapsed="false">
      <c r="A868" s="4" t="s">
        <v>2337</v>
      </c>
      <c r="B868" s="6" t="n">
        <v>45488</v>
      </c>
      <c r="C868" s="4" t="s">
        <v>709</v>
      </c>
      <c r="D868" s="4" t="s">
        <v>246</v>
      </c>
      <c r="E868" s="4" t="s">
        <v>18</v>
      </c>
      <c r="F868" s="4" t="s">
        <v>7</v>
      </c>
      <c r="G868" s="4" t="n">
        <v>4</v>
      </c>
      <c r="H868" s="5" t="n">
        <v>548.95</v>
      </c>
      <c r="I868" s="5" t="n">
        <v>227.08</v>
      </c>
      <c r="J868" s="9" t="n">
        <v>0</v>
      </c>
      <c r="K868" s="5" t="n">
        <f aca="false">G868*H868*(1-J868)</f>
        <v>2195.8</v>
      </c>
      <c r="L868" s="5" t="n">
        <f aca="false">K868-(G868*I868)</f>
        <v>1287.48</v>
      </c>
    </row>
    <row r="869" customFormat="false" ht="16.4" hidden="false" customHeight="false" outlineLevel="0" collapsed="false">
      <c r="A869" s="4" t="s">
        <v>2338</v>
      </c>
      <c r="B869" s="6" t="n">
        <v>45789</v>
      </c>
      <c r="C869" s="4" t="s">
        <v>1281</v>
      </c>
      <c r="D869" s="4" t="s">
        <v>164</v>
      </c>
      <c r="E869" s="4" t="s">
        <v>30</v>
      </c>
      <c r="F869" s="4" t="s">
        <v>25</v>
      </c>
      <c r="G869" s="4" t="n">
        <v>10</v>
      </c>
      <c r="H869" s="5" t="n">
        <v>1181.03</v>
      </c>
      <c r="I869" s="5" t="n">
        <v>794.64</v>
      </c>
      <c r="J869" s="9" t="n">
        <v>0.05</v>
      </c>
      <c r="K869" s="5" t="n">
        <f aca="false">G869*H869*(1-J869)</f>
        <v>11219.785</v>
      </c>
      <c r="L869" s="5" t="n">
        <f aca="false">K869-(G869*I869)</f>
        <v>3273.385</v>
      </c>
    </row>
    <row r="870" customFormat="false" ht="16.4" hidden="false" customHeight="false" outlineLevel="0" collapsed="false">
      <c r="A870" s="4" t="s">
        <v>2339</v>
      </c>
      <c r="B870" s="6" t="n">
        <v>45455</v>
      </c>
      <c r="C870" s="4" t="s">
        <v>1127</v>
      </c>
      <c r="D870" s="4" t="s">
        <v>256</v>
      </c>
      <c r="E870" s="4" t="s">
        <v>12</v>
      </c>
      <c r="F870" s="4" t="s">
        <v>19</v>
      </c>
      <c r="G870" s="4" t="n">
        <v>2</v>
      </c>
      <c r="H870" s="5" t="n">
        <v>512.47</v>
      </c>
      <c r="I870" s="5" t="n">
        <v>247.19</v>
      </c>
      <c r="J870" s="9" t="n">
        <v>0</v>
      </c>
      <c r="K870" s="5" t="n">
        <f aca="false">G870*H870*(1-J870)</f>
        <v>1024.94</v>
      </c>
      <c r="L870" s="5" t="n">
        <f aca="false">K870-(G870*I870)</f>
        <v>530.56</v>
      </c>
    </row>
    <row r="871" customFormat="false" ht="16.4" hidden="false" customHeight="false" outlineLevel="0" collapsed="false">
      <c r="A871" s="4" t="s">
        <v>2340</v>
      </c>
      <c r="B871" s="6" t="n">
        <v>46114</v>
      </c>
      <c r="C871" s="4" t="s">
        <v>487</v>
      </c>
      <c r="D871" s="4" t="s">
        <v>108</v>
      </c>
      <c r="E871" s="4" t="s">
        <v>12</v>
      </c>
      <c r="F871" s="4" t="s">
        <v>19</v>
      </c>
      <c r="G871" s="4" t="n">
        <v>9</v>
      </c>
      <c r="H871" s="5" t="n">
        <v>493.82</v>
      </c>
      <c r="I871" s="5" t="n">
        <v>305.51</v>
      </c>
      <c r="J871" s="9" t="n">
        <v>0.15</v>
      </c>
      <c r="K871" s="5" t="n">
        <f aca="false">G871*H871*(1-J871)</f>
        <v>3777.723</v>
      </c>
      <c r="L871" s="5" t="n">
        <f aca="false">K871-(G871*I871)</f>
        <v>1028.133</v>
      </c>
    </row>
    <row r="872" customFormat="false" ht="16.4" hidden="false" customHeight="false" outlineLevel="0" collapsed="false">
      <c r="A872" s="4" t="s">
        <v>2341</v>
      </c>
      <c r="B872" s="6" t="n">
        <v>46164</v>
      </c>
      <c r="C872" s="4" t="s">
        <v>1027</v>
      </c>
      <c r="D872" s="4" t="s">
        <v>376</v>
      </c>
      <c r="E872" s="4" t="s">
        <v>18</v>
      </c>
      <c r="F872" s="4" t="s">
        <v>7</v>
      </c>
      <c r="G872" s="4" t="n">
        <v>6</v>
      </c>
      <c r="H872" s="5" t="n">
        <v>790.52</v>
      </c>
      <c r="I872" s="5" t="n">
        <v>566.35</v>
      </c>
      <c r="J872" s="9" t="n">
        <v>0.1</v>
      </c>
      <c r="K872" s="5" t="n">
        <f aca="false">G872*H872*(1-J872)</f>
        <v>4268.808</v>
      </c>
      <c r="L872" s="5" t="n">
        <f aca="false">K872-(G872*I872)</f>
        <v>870.708</v>
      </c>
    </row>
    <row r="873" customFormat="false" ht="16.4" hidden="false" customHeight="false" outlineLevel="0" collapsed="false">
      <c r="A873" s="4" t="s">
        <v>2342</v>
      </c>
      <c r="B873" s="6" t="n">
        <v>46172</v>
      </c>
      <c r="C873" s="4" t="s">
        <v>961</v>
      </c>
      <c r="D873" s="4" t="s">
        <v>408</v>
      </c>
      <c r="E873" s="4" t="s">
        <v>30</v>
      </c>
      <c r="F873" s="4" t="s">
        <v>7</v>
      </c>
      <c r="G873" s="4" t="n">
        <v>1</v>
      </c>
      <c r="H873" s="5" t="n">
        <v>357.34</v>
      </c>
      <c r="I873" s="5" t="n">
        <v>167.74</v>
      </c>
      <c r="J873" s="9" t="n">
        <v>0</v>
      </c>
      <c r="K873" s="5" t="n">
        <f aca="false">G873*H873*(1-J873)</f>
        <v>357.34</v>
      </c>
      <c r="L873" s="5" t="n">
        <f aca="false">K873-(G873*I873)</f>
        <v>189.6</v>
      </c>
    </row>
    <row r="874" customFormat="false" ht="16.4" hidden="false" customHeight="false" outlineLevel="0" collapsed="false">
      <c r="A874" s="4" t="s">
        <v>2343</v>
      </c>
      <c r="B874" s="6" t="n">
        <v>45357</v>
      </c>
      <c r="C874" s="4" t="s">
        <v>1081</v>
      </c>
      <c r="D874" s="4" t="s">
        <v>200</v>
      </c>
      <c r="E874" s="4" t="s">
        <v>18</v>
      </c>
      <c r="F874" s="4" t="s">
        <v>25</v>
      </c>
      <c r="G874" s="4" t="n">
        <v>10</v>
      </c>
      <c r="H874" s="5" t="n">
        <v>800.54</v>
      </c>
      <c r="I874" s="5" t="n">
        <v>407.78</v>
      </c>
      <c r="J874" s="9" t="n">
        <v>0.15</v>
      </c>
      <c r="K874" s="5" t="n">
        <f aca="false">G874*H874*(1-J874)</f>
        <v>6804.59</v>
      </c>
      <c r="L874" s="5" t="n">
        <f aca="false">K874-(G874*I874)</f>
        <v>2726.79</v>
      </c>
    </row>
    <row r="875" customFormat="false" ht="16.4" hidden="false" customHeight="false" outlineLevel="0" collapsed="false">
      <c r="A875" s="4" t="s">
        <v>2344</v>
      </c>
      <c r="B875" s="6" t="n">
        <v>45698</v>
      </c>
      <c r="C875" s="4" t="s">
        <v>1151</v>
      </c>
      <c r="D875" s="4" t="s">
        <v>226</v>
      </c>
      <c r="E875" s="4" t="s">
        <v>24</v>
      </c>
      <c r="F875" s="4" t="s">
        <v>13</v>
      </c>
      <c r="G875" s="4" t="n">
        <v>22</v>
      </c>
      <c r="H875" s="5" t="n">
        <v>799.15</v>
      </c>
      <c r="I875" s="5" t="n">
        <v>370.42</v>
      </c>
      <c r="J875" s="9" t="n">
        <v>0</v>
      </c>
      <c r="K875" s="5" t="n">
        <f aca="false">G875*H875*(1-J875)</f>
        <v>17581.3</v>
      </c>
      <c r="L875" s="5" t="n">
        <f aca="false">K875-(G875*I875)</f>
        <v>9432.06</v>
      </c>
    </row>
    <row r="876" customFormat="false" ht="16.4" hidden="false" customHeight="false" outlineLevel="0" collapsed="false">
      <c r="A876" s="4" t="s">
        <v>2345</v>
      </c>
      <c r="B876" s="6" t="n">
        <v>45804</v>
      </c>
      <c r="C876" s="4" t="s">
        <v>579</v>
      </c>
      <c r="D876" s="4" t="s">
        <v>160</v>
      </c>
      <c r="E876" s="4" t="s">
        <v>6</v>
      </c>
      <c r="F876" s="4" t="s">
        <v>7</v>
      </c>
      <c r="G876" s="4" t="n">
        <v>19</v>
      </c>
      <c r="H876" s="5" t="n">
        <v>275.46</v>
      </c>
      <c r="I876" s="5" t="n">
        <v>125.63</v>
      </c>
      <c r="J876" s="9" t="n">
        <v>0.1</v>
      </c>
      <c r="K876" s="5" t="n">
        <f aca="false">G876*H876*(1-J876)</f>
        <v>4710.366</v>
      </c>
      <c r="L876" s="5" t="n">
        <f aca="false">K876-(G876*I876)</f>
        <v>2323.396</v>
      </c>
    </row>
    <row r="877" customFormat="false" ht="16.4" hidden="false" customHeight="false" outlineLevel="0" collapsed="false">
      <c r="A877" s="4" t="s">
        <v>2346</v>
      </c>
      <c r="B877" s="6" t="n">
        <v>45829</v>
      </c>
      <c r="C877" s="4" t="s">
        <v>1145</v>
      </c>
      <c r="D877" s="4" t="s">
        <v>306</v>
      </c>
      <c r="E877" s="4" t="s">
        <v>18</v>
      </c>
      <c r="F877" s="4" t="s">
        <v>19</v>
      </c>
      <c r="G877" s="4" t="n">
        <v>19</v>
      </c>
      <c r="H877" s="5" t="n">
        <v>995.24</v>
      </c>
      <c r="I877" s="5" t="n">
        <v>584.2</v>
      </c>
      <c r="J877" s="9" t="n">
        <v>0.15</v>
      </c>
      <c r="K877" s="5" t="n">
        <f aca="false">G877*H877*(1-J877)</f>
        <v>16073.126</v>
      </c>
      <c r="L877" s="5" t="n">
        <f aca="false">K877-(G877*I877)</f>
        <v>4973.326</v>
      </c>
    </row>
    <row r="878" customFormat="false" ht="16.4" hidden="false" customHeight="false" outlineLevel="0" collapsed="false">
      <c r="A878" s="4" t="s">
        <v>2347</v>
      </c>
      <c r="B878" s="6" t="n">
        <v>45906</v>
      </c>
      <c r="C878" s="4" t="s">
        <v>1369</v>
      </c>
      <c r="D878" s="4" t="s">
        <v>294</v>
      </c>
      <c r="E878" s="4" t="s">
        <v>30</v>
      </c>
      <c r="F878" s="4" t="s">
        <v>7</v>
      </c>
      <c r="G878" s="4" t="n">
        <v>3</v>
      </c>
      <c r="H878" s="5" t="n">
        <v>1024.09</v>
      </c>
      <c r="I878" s="5" t="n">
        <v>604.38</v>
      </c>
      <c r="J878" s="9" t="n">
        <v>0</v>
      </c>
      <c r="K878" s="5" t="n">
        <f aca="false">G878*H878*(1-J878)</f>
        <v>3072.27</v>
      </c>
      <c r="L878" s="5" t="n">
        <f aca="false">K878-(G878*I878)</f>
        <v>1259.13</v>
      </c>
    </row>
    <row r="879" customFormat="false" ht="16.4" hidden="false" customHeight="false" outlineLevel="0" collapsed="false">
      <c r="A879" s="4" t="s">
        <v>2348</v>
      </c>
      <c r="B879" s="6" t="n">
        <v>46144</v>
      </c>
      <c r="C879" s="4" t="s">
        <v>1291</v>
      </c>
      <c r="D879" s="4" t="s">
        <v>434</v>
      </c>
      <c r="E879" s="4" t="s">
        <v>30</v>
      </c>
      <c r="F879" s="4" t="s">
        <v>25</v>
      </c>
      <c r="G879" s="4" t="n">
        <v>11</v>
      </c>
      <c r="H879" s="5" t="n">
        <v>534.92</v>
      </c>
      <c r="I879" s="5" t="n">
        <v>208.29</v>
      </c>
      <c r="J879" s="9" t="n">
        <v>0.02</v>
      </c>
      <c r="K879" s="5" t="n">
        <f aca="false">G879*H879*(1-J879)</f>
        <v>5766.4376</v>
      </c>
      <c r="L879" s="5" t="n">
        <f aca="false">K879-(G879*I879)</f>
        <v>3475.2476</v>
      </c>
    </row>
    <row r="880" customFormat="false" ht="16.4" hidden="false" customHeight="false" outlineLevel="0" collapsed="false">
      <c r="A880" s="4" t="s">
        <v>2349</v>
      </c>
      <c r="B880" s="6" t="n">
        <v>45515</v>
      </c>
      <c r="C880" s="4" t="s">
        <v>1225</v>
      </c>
      <c r="D880" s="4" t="s">
        <v>422</v>
      </c>
      <c r="E880" s="4" t="s">
        <v>6</v>
      </c>
      <c r="F880" s="4" t="s">
        <v>13</v>
      </c>
      <c r="G880" s="4" t="n">
        <v>8</v>
      </c>
      <c r="H880" s="5" t="n">
        <v>1052.17</v>
      </c>
      <c r="I880" s="5" t="n">
        <v>553.57</v>
      </c>
      <c r="J880" s="9" t="n">
        <v>0.05</v>
      </c>
      <c r="K880" s="5" t="n">
        <f aca="false">G880*H880*(1-J880)</f>
        <v>7996.492</v>
      </c>
      <c r="L880" s="5" t="n">
        <f aca="false">K880-(G880*I880)</f>
        <v>3567.932</v>
      </c>
    </row>
    <row r="881" customFormat="false" ht="16.4" hidden="false" customHeight="false" outlineLevel="0" collapsed="false">
      <c r="A881" s="4" t="s">
        <v>2350</v>
      </c>
      <c r="B881" s="6" t="n">
        <v>45742</v>
      </c>
      <c r="C881" s="4" t="s">
        <v>643</v>
      </c>
      <c r="D881" s="4" t="s">
        <v>94</v>
      </c>
      <c r="E881" s="4" t="s">
        <v>24</v>
      </c>
      <c r="F881" s="4" t="s">
        <v>25</v>
      </c>
      <c r="G881" s="4" t="n">
        <v>7</v>
      </c>
      <c r="H881" s="5" t="n">
        <v>740.54</v>
      </c>
      <c r="I881" s="5" t="n">
        <v>304.46</v>
      </c>
      <c r="J881" s="9" t="n">
        <v>0.02</v>
      </c>
      <c r="K881" s="5" t="n">
        <f aca="false">G881*H881*(1-J881)</f>
        <v>5080.1044</v>
      </c>
      <c r="L881" s="5" t="n">
        <f aca="false">K881-(G881*I881)</f>
        <v>2948.8844</v>
      </c>
    </row>
    <row r="882" customFormat="false" ht="16.4" hidden="false" customHeight="false" outlineLevel="0" collapsed="false">
      <c r="A882" s="4" t="s">
        <v>2351</v>
      </c>
      <c r="B882" s="6" t="n">
        <v>45794</v>
      </c>
      <c r="C882" s="4" t="s">
        <v>1347</v>
      </c>
      <c r="D882" s="4" t="s">
        <v>170</v>
      </c>
      <c r="E882" s="4" t="s">
        <v>30</v>
      </c>
      <c r="F882" s="4" t="s">
        <v>19</v>
      </c>
      <c r="G882" s="4" t="n">
        <v>19</v>
      </c>
      <c r="H882" s="5" t="n">
        <v>356.06</v>
      </c>
      <c r="I882" s="5" t="n">
        <v>154.62</v>
      </c>
      <c r="J882" s="9" t="n">
        <v>0</v>
      </c>
      <c r="K882" s="5" t="n">
        <f aca="false">G882*H882*(1-J882)</f>
        <v>6765.14</v>
      </c>
      <c r="L882" s="5" t="n">
        <f aca="false">K882-(G882*I882)</f>
        <v>3827.36</v>
      </c>
    </row>
    <row r="883" customFormat="false" ht="16.4" hidden="false" customHeight="false" outlineLevel="0" collapsed="false">
      <c r="A883" s="4" t="s">
        <v>2352</v>
      </c>
      <c r="B883" s="6" t="n">
        <v>45850</v>
      </c>
      <c r="C883" s="4" t="s">
        <v>1435</v>
      </c>
      <c r="D883" s="4" t="s">
        <v>398</v>
      </c>
      <c r="E883" s="4" t="s">
        <v>6</v>
      </c>
      <c r="F883" s="4" t="s">
        <v>25</v>
      </c>
      <c r="G883" s="4" t="n">
        <v>4</v>
      </c>
      <c r="H883" s="5" t="n">
        <v>1137.8</v>
      </c>
      <c r="I883" s="5" t="n">
        <v>693.02</v>
      </c>
      <c r="J883" s="9" t="n">
        <v>0.02</v>
      </c>
      <c r="K883" s="5" t="n">
        <f aca="false">G883*H883*(1-J883)</f>
        <v>4460.176</v>
      </c>
      <c r="L883" s="5" t="n">
        <f aca="false">K883-(G883*I883)</f>
        <v>1688.096</v>
      </c>
    </row>
    <row r="884" customFormat="false" ht="16.4" hidden="false" customHeight="false" outlineLevel="0" collapsed="false">
      <c r="A884" s="4" t="s">
        <v>2353</v>
      </c>
      <c r="B884" s="6" t="n">
        <v>46192</v>
      </c>
      <c r="C884" s="4" t="s">
        <v>1163</v>
      </c>
      <c r="D884" s="4" t="s">
        <v>282</v>
      </c>
      <c r="E884" s="4" t="s">
        <v>30</v>
      </c>
      <c r="F884" s="4" t="s">
        <v>13</v>
      </c>
      <c r="G884" s="4" t="n">
        <v>8</v>
      </c>
      <c r="H884" s="5" t="n">
        <v>259.25</v>
      </c>
      <c r="I884" s="5" t="n">
        <v>92.85</v>
      </c>
      <c r="J884" s="9" t="n">
        <v>0.02</v>
      </c>
      <c r="K884" s="5" t="n">
        <f aca="false">G884*H884*(1-J884)</f>
        <v>2032.52</v>
      </c>
      <c r="L884" s="5" t="n">
        <f aca="false">K884-(G884*I884)</f>
        <v>1289.72</v>
      </c>
    </row>
    <row r="885" customFormat="false" ht="16.4" hidden="false" customHeight="false" outlineLevel="0" collapsed="false">
      <c r="A885" s="4" t="s">
        <v>2354</v>
      </c>
      <c r="B885" s="6" t="n">
        <v>46133</v>
      </c>
      <c r="C885" s="4" t="s">
        <v>951</v>
      </c>
      <c r="D885" s="4" t="s">
        <v>224</v>
      </c>
      <c r="E885" s="4" t="s">
        <v>24</v>
      </c>
      <c r="F885" s="4" t="s">
        <v>19</v>
      </c>
      <c r="G885" s="4" t="n">
        <v>23</v>
      </c>
      <c r="H885" s="5" t="n">
        <v>544.1</v>
      </c>
      <c r="I885" s="5" t="n">
        <v>337.48</v>
      </c>
      <c r="J885" s="9" t="n">
        <v>0.02</v>
      </c>
      <c r="K885" s="5" t="n">
        <f aca="false">G885*H885*(1-J885)</f>
        <v>12264.014</v>
      </c>
      <c r="L885" s="5" t="n">
        <f aca="false">K885-(G885*I885)</f>
        <v>4501.974</v>
      </c>
    </row>
    <row r="886" customFormat="false" ht="16.4" hidden="false" customHeight="false" outlineLevel="0" collapsed="false">
      <c r="A886" s="4" t="s">
        <v>2355</v>
      </c>
      <c r="B886" s="6" t="n">
        <v>46153</v>
      </c>
      <c r="C886" s="4" t="s">
        <v>1125</v>
      </c>
      <c r="D886" s="4" t="s">
        <v>50</v>
      </c>
      <c r="E886" s="4" t="s">
        <v>18</v>
      </c>
      <c r="F886" s="4" t="s">
        <v>7</v>
      </c>
      <c r="G886" s="4" t="n">
        <v>20</v>
      </c>
      <c r="H886" s="5" t="n">
        <v>845.31</v>
      </c>
      <c r="I886" s="5" t="n">
        <v>410.91</v>
      </c>
      <c r="J886" s="9" t="n">
        <v>0</v>
      </c>
      <c r="K886" s="5" t="n">
        <f aca="false">G886*H886*(1-J886)</f>
        <v>16906.2</v>
      </c>
      <c r="L886" s="5" t="n">
        <f aca="false">K886-(G886*I886)</f>
        <v>8688</v>
      </c>
    </row>
    <row r="887" customFormat="false" ht="16.4" hidden="false" customHeight="false" outlineLevel="0" collapsed="false">
      <c r="A887" s="4" t="s">
        <v>2356</v>
      </c>
      <c r="B887" s="6" t="n">
        <v>45551</v>
      </c>
      <c r="C887" s="4" t="s">
        <v>1403</v>
      </c>
      <c r="D887" s="4" t="s">
        <v>392</v>
      </c>
      <c r="E887" s="4" t="s">
        <v>6</v>
      </c>
      <c r="F887" s="4" t="s">
        <v>25</v>
      </c>
      <c r="G887" s="4" t="n">
        <v>22</v>
      </c>
      <c r="H887" s="5" t="n">
        <v>539.79</v>
      </c>
      <c r="I887" s="5" t="n">
        <v>339.69</v>
      </c>
      <c r="J887" s="9" t="n">
        <v>0</v>
      </c>
      <c r="K887" s="5" t="n">
        <f aca="false">G887*H887*(1-J887)</f>
        <v>11875.38</v>
      </c>
      <c r="L887" s="5" t="n">
        <f aca="false">K887-(G887*I887)</f>
        <v>4402.2</v>
      </c>
    </row>
    <row r="888" customFormat="false" ht="16.4" hidden="false" customHeight="false" outlineLevel="0" collapsed="false">
      <c r="A888" s="4" t="s">
        <v>2357</v>
      </c>
      <c r="B888" s="6" t="n">
        <v>46123</v>
      </c>
      <c r="C888" s="4" t="s">
        <v>1119</v>
      </c>
      <c r="D888" s="4" t="s">
        <v>198</v>
      </c>
      <c r="E888" s="4" t="s">
        <v>30</v>
      </c>
      <c r="F888" s="4" t="s">
        <v>7</v>
      </c>
      <c r="G888" s="4" t="n">
        <v>23</v>
      </c>
      <c r="H888" s="5" t="n">
        <v>383.6</v>
      </c>
      <c r="I888" s="5" t="n">
        <v>256.3</v>
      </c>
      <c r="J888" s="9" t="n">
        <v>0.02</v>
      </c>
      <c r="K888" s="5" t="n">
        <f aca="false">G888*H888*(1-J888)</f>
        <v>8646.344</v>
      </c>
      <c r="L888" s="5" t="n">
        <f aca="false">K888-(G888*I888)</f>
        <v>2751.444</v>
      </c>
    </row>
    <row r="889" customFormat="false" ht="16.4" hidden="false" customHeight="false" outlineLevel="0" collapsed="false">
      <c r="A889" s="4" t="s">
        <v>2358</v>
      </c>
      <c r="B889" s="6" t="n">
        <v>45745</v>
      </c>
      <c r="C889" s="4" t="s">
        <v>1351</v>
      </c>
      <c r="D889" s="4" t="s">
        <v>312</v>
      </c>
      <c r="E889" s="4" t="s">
        <v>18</v>
      </c>
      <c r="F889" s="4" t="s">
        <v>25</v>
      </c>
      <c r="G889" s="4" t="n">
        <v>8</v>
      </c>
      <c r="H889" s="5" t="n">
        <v>238.66</v>
      </c>
      <c r="I889" s="5" t="n">
        <v>103.78</v>
      </c>
      <c r="J889" s="9" t="n">
        <v>0.15</v>
      </c>
      <c r="K889" s="5" t="n">
        <f aca="false">G889*H889*(1-J889)</f>
        <v>1622.888</v>
      </c>
      <c r="L889" s="5" t="n">
        <f aca="false">K889-(G889*I889)</f>
        <v>792.648</v>
      </c>
    </row>
    <row r="890" customFormat="false" ht="16.4" hidden="false" customHeight="false" outlineLevel="0" collapsed="false">
      <c r="A890" s="4" t="s">
        <v>2359</v>
      </c>
      <c r="B890" s="6" t="n">
        <v>45600</v>
      </c>
      <c r="C890" s="4" t="s">
        <v>1395</v>
      </c>
      <c r="D890" s="4" t="s">
        <v>44</v>
      </c>
      <c r="E890" s="4" t="s">
        <v>6</v>
      </c>
      <c r="F890" s="4" t="s">
        <v>7</v>
      </c>
      <c r="G890" s="4" t="n">
        <v>13</v>
      </c>
      <c r="H890" s="5" t="n">
        <v>60.01</v>
      </c>
      <c r="I890" s="5" t="n">
        <v>26.25</v>
      </c>
      <c r="J890" s="9" t="n">
        <v>0.02</v>
      </c>
      <c r="K890" s="5" t="n">
        <f aca="false">G890*H890*(1-J890)</f>
        <v>764.5274</v>
      </c>
      <c r="L890" s="5" t="n">
        <f aca="false">K890-(G890*I890)</f>
        <v>423.2774</v>
      </c>
    </row>
    <row r="891" customFormat="false" ht="16.4" hidden="false" customHeight="false" outlineLevel="0" collapsed="false">
      <c r="A891" s="4" t="s">
        <v>2360</v>
      </c>
      <c r="B891" s="6" t="n">
        <v>46172</v>
      </c>
      <c r="C891" s="4" t="s">
        <v>705</v>
      </c>
      <c r="D891" s="4" t="s">
        <v>426</v>
      </c>
      <c r="E891" s="4" t="s">
        <v>30</v>
      </c>
      <c r="F891" s="4" t="s">
        <v>13</v>
      </c>
      <c r="G891" s="4" t="n">
        <v>10</v>
      </c>
      <c r="H891" s="5" t="n">
        <v>576.65</v>
      </c>
      <c r="I891" s="5" t="n">
        <v>425.38</v>
      </c>
      <c r="J891" s="9" t="n">
        <v>0</v>
      </c>
      <c r="K891" s="5" t="n">
        <f aca="false">G891*H891*(1-J891)</f>
        <v>5766.5</v>
      </c>
      <c r="L891" s="5" t="n">
        <f aca="false">K891-(G891*I891)</f>
        <v>1512.7</v>
      </c>
    </row>
    <row r="892" customFormat="false" ht="16.4" hidden="false" customHeight="false" outlineLevel="0" collapsed="false">
      <c r="A892" s="4" t="s">
        <v>2361</v>
      </c>
      <c r="B892" s="6" t="n">
        <v>46077</v>
      </c>
      <c r="C892" s="4" t="s">
        <v>1111</v>
      </c>
      <c r="D892" s="4" t="s">
        <v>264</v>
      </c>
      <c r="E892" s="4" t="s">
        <v>6</v>
      </c>
      <c r="F892" s="4" t="s">
        <v>25</v>
      </c>
      <c r="G892" s="4" t="n">
        <v>11</v>
      </c>
      <c r="H892" s="5" t="n">
        <v>282.82</v>
      </c>
      <c r="I892" s="5" t="n">
        <v>148.29</v>
      </c>
      <c r="J892" s="9" t="n">
        <v>0.15</v>
      </c>
      <c r="K892" s="5" t="n">
        <f aca="false">G892*H892*(1-J892)</f>
        <v>2644.367</v>
      </c>
      <c r="L892" s="5" t="n">
        <f aca="false">K892-(G892*I892)</f>
        <v>1013.177</v>
      </c>
    </row>
    <row r="893" customFormat="false" ht="16.4" hidden="false" customHeight="false" outlineLevel="0" collapsed="false">
      <c r="A893" s="4" t="s">
        <v>2362</v>
      </c>
      <c r="B893" s="6" t="n">
        <v>46090</v>
      </c>
      <c r="C893" s="4" t="s">
        <v>745</v>
      </c>
      <c r="D893" s="4" t="s">
        <v>56</v>
      </c>
      <c r="E893" s="4" t="s">
        <v>24</v>
      </c>
      <c r="F893" s="4" t="s">
        <v>25</v>
      </c>
      <c r="G893" s="4" t="n">
        <v>3</v>
      </c>
      <c r="H893" s="5" t="n">
        <v>117.59</v>
      </c>
      <c r="I893" s="5" t="n">
        <v>54.95</v>
      </c>
      <c r="J893" s="9" t="n">
        <v>0.15</v>
      </c>
      <c r="K893" s="5" t="n">
        <f aca="false">G893*H893*(1-J893)</f>
        <v>299.8545</v>
      </c>
      <c r="L893" s="5" t="n">
        <f aca="false">K893-(G893*I893)</f>
        <v>135.0045</v>
      </c>
    </row>
    <row r="894" customFormat="false" ht="16.4" hidden="false" customHeight="false" outlineLevel="0" collapsed="false">
      <c r="A894" s="4" t="s">
        <v>2363</v>
      </c>
      <c r="B894" s="6" t="n">
        <v>45632</v>
      </c>
      <c r="C894" s="4" t="s">
        <v>1219</v>
      </c>
      <c r="D894" s="4" t="s">
        <v>280</v>
      </c>
      <c r="E894" s="4" t="s">
        <v>18</v>
      </c>
      <c r="F894" s="4" t="s">
        <v>25</v>
      </c>
      <c r="G894" s="4" t="n">
        <v>14</v>
      </c>
      <c r="H894" s="5" t="n">
        <v>942.95</v>
      </c>
      <c r="I894" s="5" t="n">
        <v>575.86</v>
      </c>
      <c r="J894" s="9" t="n">
        <v>0.15</v>
      </c>
      <c r="K894" s="5" t="n">
        <f aca="false">G894*H894*(1-J894)</f>
        <v>11221.105</v>
      </c>
      <c r="L894" s="5" t="n">
        <f aca="false">K894-(G894*I894)</f>
        <v>3159.065</v>
      </c>
    </row>
    <row r="895" customFormat="false" ht="16.4" hidden="false" customHeight="false" outlineLevel="0" collapsed="false">
      <c r="A895" s="4" t="s">
        <v>2364</v>
      </c>
      <c r="B895" s="6" t="n">
        <v>45559</v>
      </c>
      <c r="C895" s="4" t="s">
        <v>1309</v>
      </c>
      <c r="D895" s="4" t="s">
        <v>90</v>
      </c>
      <c r="E895" s="4" t="s">
        <v>24</v>
      </c>
      <c r="F895" s="4" t="s">
        <v>7</v>
      </c>
      <c r="G895" s="4" t="n">
        <v>6</v>
      </c>
      <c r="H895" s="5" t="n">
        <v>535.85</v>
      </c>
      <c r="I895" s="5" t="n">
        <v>284.8</v>
      </c>
      <c r="J895" s="9" t="n">
        <v>0.1</v>
      </c>
      <c r="K895" s="5" t="n">
        <f aca="false">G895*H895*(1-J895)</f>
        <v>2893.59</v>
      </c>
      <c r="L895" s="5" t="n">
        <f aca="false">K895-(G895*I895)</f>
        <v>1184.79</v>
      </c>
    </row>
    <row r="896" customFormat="false" ht="16.4" hidden="false" customHeight="false" outlineLevel="0" collapsed="false">
      <c r="A896" s="4" t="s">
        <v>2365</v>
      </c>
      <c r="B896" s="6" t="n">
        <v>46124</v>
      </c>
      <c r="C896" s="4" t="s">
        <v>895</v>
      </c>
      <c r="D896" s="4" t="s">
        <v>220</v>
      </c>
      <c r="E896" s="4" t="s">
        <v>18</v>
      </c>
      <c r="F896" s="4" t="s">
        <v>19</v>
      </c>
      <c r="G896" s="4" t="n">
        <v>20</v>
      </c>
      <c r="H896" s="5" t="n">
        <v>693.7</v>
      </c>
      <c r="I896" s="5" t="n">
        <v>355.47</v>
      </c>
      <c r="J896" s="9" t="n">
        <v>0.1</v>
      </c>
      <c r="K896" s="5" t="n">
        <f aca="false">G896*H896*(1-J896)</f>
        <v>12486.6</v>
      </c>
      <c r="L896" s="5" t="n">
        <f aca="false">K896-(G896*I896)</f>
        <v>5377.2</v>
      </c>
    </row>
    <row r="897" customFormat="false" ht="16.4" hidden="false" customHeight="false" outlineLevel="0" collapsed="false">
      <c r="A897" s="4" t="s">
        <v>2366</v>
      </c>
      <c r="B897" s="6" t="n">
        <v>45345</v>
      </c>
      <c r="C897" s="4" t="s">
        <v>1175</v>
      </c>
      <c r="D897" s="4" t="s">
        <v>272</v>
      </c>
      <c r="E897" s="4" t="s">
        <v>6</v>
      </c>
      <c r="F897" s="4" t="s">
        <v>13</v>
      </c>
      <c r="G897" s="4" t="n">
        <v>1</v>
      </c>
      <c r="H897" s="5" t="n">
        <v>1043.55</v>
      </c>
      <c r="I897" s="5" t="n">
        <v>441.1</v>
      </c>
      <c r="J897" s="9" t="n">
        <v>0.15</v>
      </c>
      <c r="K897" s="5" t="n">
        <f aca="false">G897*H897*(1-J897)</f>
        <v>887.0175</v>
      </c>
      <c r="L897" s="5" t="n">
        <f aca="false">K897-(G897*I897)</f>
        <v>445.9175</v>
      </c>
    </row>
    <row r="898" customFormat="false" ht="16.4" hidden="false" customHeight="false" outlineLevel="0" collapsed="false">
      <c r="A898" s="4" t="s">
        <v>2367</v>
      </c>
      <c r="B898" s="6" t="n">
        <v>45295</v>
      </c>
      <c r="C898" s="4" t="s">
        <v>919</v>
      </c>
      <c r="D898" s="4" t="s">
        <v>362</v>
      </c>
      <c r="E898" s="4" t="s">
        <v>6</v>
      </c>
      <c r="F898" s="4" t="s">
        <v>25</v>
      </c>
      <c r="G898" s="4" t="n">
        <v>21</v>
      </c>
      <c r="H898" s="5" t="n">
        <v>159.86</v>
      </c>
      <c r="I898" s="5" t="n">
        <v>70.33</v>
      </c>
      <c r="J898" s="9" t="n">
        <v>0</v>
      </c>
      <c r="K898" s="5" t="n">
        <f aca="false">G898*H898*(1-J898)</f>
        <v>3357.06</v>
      </c>
      <c r="L898" s="5" t="n">
        <f aca="false">K898-(G898*I898)</f>
        <v>1880.13</v>
      </c>
    </row>
    <row r="899" customFormat="false" ht="16.4" hidden="false" customHeight="false" outlineLevel="0" collapsed="false">
      <c r="A899" s="4" t="s">
        <v>2368</v>
      </c>
      <c r="B899" s="6" t="n">
        <v>45881</v>
      </c>
      <c r="C899" s="4" t="s">
        <v>1107</v>
      </c>
      <c r="D899" s="4" t="s">
        <v>142</v>
      </c>
      <c r="E899" s="4" t="s">
        <v>12</v>
      </c>
      <c r="F899" s="4" t="s">
        <v>7</v>
      </c>
      <c r="G899" s="4" t="n">
        <v>10</v>
      </c>
      <c r="H899" s="5" t="n">
        <v>248.13</v>
      </c>
      <c r="I899" s="5" t="n">
        <v>108.45</v>
      </c>
      <c r="J899" s="9" t="n">
        <v>0.02</v>
      </c>
      <c r="K899" s="5" t="n">
        <f aca="false">G899*H899*(1-J899)</f>
        <v>2431.674</v>
      </c>
      <c r="L899" s="5" t="n">
        <f aca="false">K899-(G899*I899)</f>
        <v>1347.174</v>
      </c>
    </row>
    <row r="900" customFormat="false" ht="16.4" hidden="false" customHeight="false" outlineLevel="0" collapsed="false">
      <c r="A900" s="4" t="s">
        <v>2369</v>
      </c>
      <c r="B900" s="6" t="n">
        <v>46022</v>
      </c>
      <c r="C900" s="4" t="s">
        <v>625</v>
      </c>
      <c r="D900" s="4" t="s">
        <v>96</v>
      </c>
      <c r="E900" s="4" t="s">
        <v>6</v>
      </c>
      <c r="F900" s="4" t="s">
        <v>13</v>
      </c>
      <c r="G900" s="4" t="n">
        <v>8</v>
      </c>
      <c r="H900" s="5" t="n">
        <v>1145.36</v>
      </c>
      <c r="I900" s="5" t="n">
        <v>823.48</v>
      </c>
      <c r="J900" s="9" t="n">
        <v>0.08</v>
      </c>
      <c r="K900" s="5" t="n">
        <f aca="false">G900*H900*(1-J900)</f>
        <v>8429.8496</v>
      </c>
      <c r="L900" s="5" t="n">
        <f aca="false">K900-(G900*I900)</f>
        <v>1842.0096</v>
      </c>
    </row>
    <row r="901" customFormat="false" ht="16.4" hidden="false" customHeight="false" outlineLevel="0" collapsed="false">
      <c r="A901" s="4" t="s">
        <v>2370</v>
      </c>
      <c r="B901" s="6" t="n">
        <v>45619</v>
      </c>
      <c r="C901" s="4" t="s">
        <v>1167</v>
      </c>
      <c r="D901" s="4" t="s">
        <v>344</v>
      </c>
      <c r="E901" s="4" t="s">
        <v>18</v>
      </c>
      <c r="F901" s="4" t="s">
        <v>25</v>
      </c>
      <c r="G901" s="4" t="n">
        <v>14</v>
      </c>
      <c r="H901" s="5" t="n">
        <v>200.31</v>
      </c>
      <c r="I901" s="5" t="n">
        <v>115.21</v>
      </c>
      <c r="J901" s="9" t="n">
        <v>0.15</v>
      </c>
      <c r="K901" s="5" t="n">
        <f aca="false">G901*H901*(1-J901)</f>
        <v>2383.689</v>
      </c>
      <c r="L901" s="5" t="n">
        <f aca="false">K901-(G901*I901)</f>
        <v>770.749</v>
      </c>
    </row>
    <row r="902" customFormat="false" ht="16.4" hidden="false" customHeight="false" outlineLevel="0" collapsed="false">
      <c r="A902" s="4" t="s">
        <v>2371</v>
      </c>
      <c r="B902" s="6" t="n">
        <v>45558</v>
      </c>
      <c r="C902" s="4" t="s">
        <v>1359</v>
      </c>
      <c r="D902" s="4" t="s">
        <v>284</v>
      </c>
      <c r="E902" s="4" t="s">
        <v>12</v>
      </c>
      <c r="F902" s="4" t="s">
        <v>13</v>
      </c>
      <c r="G902" s="4" t="n">
        <v>24</v>
      </c>
      <c r="H902" s="5" t="n">
        <v>581.43</v>
      </c>
      <c r="I902" s="5" t="n">
        <v>230.1</v>
      </c>
      <c r="J902" s="9" t="n">
        <v>0</v>
      </c>
      <c r="K902" s="5" t="n">
        <f aca="false">G902*H902*(1-J902)</f>
        <v>13954.32</v>
      </c>
      <c r="L902" s="5" t="n">
        <f aca="false">K902-(G902*I902)</f>
        <v>8431.92</v>
      </c>
    </row>
    <row r="903" customFormat="false" ht="16.4" hidden="false" customHeight="false" outlineLevel="0" collapsed="false">
      <c r="A903" s="4" t="s">
        <v>2372</v>
      </c>
      <c r="B903" s="6" t="n">
        <v>45580</v>
      </c>
      <c r="C903" s="4" t="s">
        <v>1071</v>
      </c>
      <c r="D903" s="4" t="s">
        <v>390</v>
      </c>
      <c r="E903" s="4" t="s">
        <v>18</v>
      </c>
      <c r="F903" s="4" t="s">
        <v>13</v>
      </c>
      <c r="G903" s="4" t="n">
        <v>11</v>
      </c>
      <c r="H903" s="5" t="n">
        <v>917.99</v>
      </c>
      <c r="I903" s="5" t="n">
        <v>396.04</v>
      </c>
      <c r="J903" s="9" t="n">
        <v>0.15</v>
      </c>
      <c r="K903" s="5" t="n">
        <f aca="false">G903*H903*(1-J903)</f>
        <v>8583.2065</v>
      </c>
      <c r="L903" s="5" t="n">
        <f aca="false">K903-(G903*I903)</f>
        <v>4226.7665</v>
      </c>
    </row>
    <row r="904" customFormat="false" ht="16.4" hidden="false" customHeight="false" outlineLevel="0" collapsed="false">
      <c r="A904" s="4" t="s">
        <v>2373</v>
      </c>
      <c r="B904" s="6" t="n">
        <v>45694</v>
      </c>
      <c r="C904" s="4" t="s">
        <v>889</v>
      </c>
      <c r="D904" s="4" t="s">
        <v>82</v>
      </c>
      <c r="E904" s="4" t="s">
        <v>18</v>
      </c>
      <c r="F904" s="4" t="s">
        <v>25</v>
      </c>
      <c r="G904" s="4" t="n">
        <v>12</v>
      </c>
      <c r="H904" s="5" t="n">
        <v>762.25</v>
      </c>
      <c r="I904" s="5" t="n">
        <v>508.29</v>
      </c>
      <c r="J904" s="9" t="n">
        <v>0</v>
      </c>
      <c r="K904" s="5" t="n">
        <f aca="false">G904*H904*(1-J904)</f>
        <v>9147</v>
      </c>
      <c r="L904" s="5" t="n">
        <f aca="false">K904-(G904*I904)</f>
        <v>3047.52</v>
      </c>
    </row>
    <row r="905" customFormat="false" ht="16.4" hidden="false" customHeight="false" outlineLevel="0" collapsed="false">
      <c r="A905" s="4" t="s">
        <v>2374</v>
      </c>
      <c r="B905" s="6" t="n">
        <v>45863</v>
      </c>
      <c r="C905" s="4" t="s">
        <v>693</v>
      </c>
      <c r="D905" s="4" t="s">
        <v>332</v>
      </c>
      <c r="E905" s="4" t="s">
        <v>30</v>
      </c>
      <c r="F905" s="4" t="s">
        <v>13</v>
      </c>
      <c r="G905" s="4" t="n">
        <v>1</v>
      </c>
      <c r="H905" s="5" t="n">
        <v>1003.34</v>
      </c>
      <c r="I905" s="5" t="n">
        <v>470.06</v>
      </c>
      <c r="J905" s="9" t="n">
        <v>0</v>
      </c>
      <c r="K905" s="5" t="n">
        <f aca="false">G905*H905*(1-J905)</f>
        <v>1003.34</v>
      </c>
      <c r="L905" s="5" t="n">
        <f aca="false">K905-(G905*I905)</f>
        <v>533.28</v>
      </c>
    </row>
    <row r="906" customFormat="false" ht="16.4" hidden="false" customHeight="false" outlineLevel="0" collapsed="false">
      <c r="A906" s="4" t="s">
        <v>2375</v>
      </c>
      <c r="B906" s="6" t="n">
        <v>45560</v>
      </c>
      <c r="C906" s="4" t="s">
        <v>1461</v>
      </c>
      <c r="D906" s="4" t="s">
        <v>84</v>
      </c>
      <c r="E906" s="4" t="s">
        <v>12</v>
      </c>
      <c r="F906" s="4" t="s">
        <v>13</v>
      </c>
      <c r="G906" s="4" t="n">
        <v>15</v>
      </c>
      <c r="H906" s="5" t="n">
        <v>473.4</v>
      </c>
      <c r="I906" s="5" t="n">
        <v>354.32</v>
      </c>
      <c r="J906" s="9" t="n">
        <v>0</v>
      </c>
      <c r="K906" s="5" t="n">
        <f aca="false">G906*H906*(1-J906)</f>
        <v>7101</v>
      </c>
      <c r="L906" s="5" t="n">
        <f aca="false">K906-(G906*I906)</f>
        <v>1786.2</v>
      </c>
    </row>
    <row r="907" customFormat="false" ht="16.4" hidden="false" customHeight="false" outlineLevel="0" collapsed="false">
      <c r="A907" s="4" t="s">
        <v>2376</v>
      </c>
      <c r="B907" s="6" t="n">
        <v>45906</v>
      </c>
      <c r="C907" s="4" t="s">
        <v>875</v>
      </c>
      <c r="D907" s="4" t="s">
        <v>64</v>
      </c>
      <c r="E907" s="4" t="s">
        <v>30</v>
      </c>
      <c r="F907" s="4" t="s">
        <v>19</v>
      </c>
      <c r="G907" s="4" t="n">
        <v>20</v>
      </c>
      <c r="H907" s="5" t="n">
        <v>442.44</v>
      </c>
      <c r="I907" s="5" t="n">
        <v>273.46</v>
      </c>
      <c r="J907" s="9" t="n">
        <v>0.05</v>
      </c>
      <c r="K907" s="5" t="n">
        <f aca="false">G907*H907*(1-J907)</f>
        <v>8406.36</v>
      </c>
      <c r="L907" s="5" t="n">
        <f aca="false">K907-(G907*I907)</f>
        <v>2937.16</v>
      </c>
    </row>
    <row r="908" customFormat="false" ht="16.4" hidden="false" customHeight="false" outlineLevel="0" collapsed="false">
      <c r="A908" s="4" t="s">
        <v>2377</v>
      </c>
      <c r="B908" s="6" t="n">
        <v>45872</v>
      </c>
      <c r="C908" s="4" t="s">
        <v>555</v>
      </c>
      <c r="D908" s="4" t="s">
        <v>116</v>
      </c>
      <c r="E908" s="4" t="s">
        <v>24</v>
      </c>
      <c r="F908" s="4" t="s">
        <v>7</v>
      </c>
      <c r="G908" s="4" t="n">
        <v>12</v>
      </c>
      <c r="H908" s="5" t="n">
        <v>108.26</v>
      </c>
      <c r="I908" s="5" t="n">
        <v>48.2</v>
      </c>
      <c r="J908" s="9" t="n">
        <v>0</v>
      </c>
      <c r="K908" s="5" t="n">
        <f aca="false">G908*H908*(1-J908)</f>
        <v>1299.12</v>
      </c>
      <c r="L908" s="5" t="n">
        <f aca="false">K908-(G908*I908)</f>
        <v>720.72</v>
      </c>
    </row>
    <row r="909" customFormat="false" ht="16.4" hidden="false" customHeight="false" outlineLevel="0" collapsed="false">
      <c r="A909" s="4" t="s">
        <v>2378</v>
      </c>
      <c r="B909" s="6" t="n">
        <v>46083</v>
      </c>
      <c r="C909" s="4" t="s">
        <v>1199</v>
      </c>
      <c r="D909" s="4" t="s">
        <v>46</v>
      </c>
      <c r="E909" s="4" t="s">
        <v>12</v>
      </c>
      <c r="F909" s="4" t="s">
        <v>25</v>
      </c>
      <c r="G909" s="4" t="n">
        <v>17</v>
      </c>
      <c r="H909" s="5" t="n">
        <v>258.63</v>
      </c>
      <c r="I909" s="5" t="n">
        <v>157.75</v>
      </c>
      <c r="J909" s="9" t="n">
        <v>0.05</v>
      </c>
      <c r="K909" s="5" t="n">
        <f aca="false">G909*H909*(1-J909)</f>
        <v>4176.8745</v>
      </c>
      <c r="L909" s="5" t="n">
        <f aca="false">K909-(G909*I909)</f>
        <v>1495.1245</v>
      </c>
    </row>
    <row r="910" customFormat="false" ht="16.4" hidden="false" customHeight="false" outlineLevel="0" collapsed="false">
      <c r="A910" s="4" t="s">
        <v>2379</v>
      </c>
      <c r="B910" s="6" t="n">
        <v>46022</v>
      </c>
      <c r="C910" s="4" t="s">
        <v>971</v>
      </c>
      <c r="D910" s="4" t="s">
        <v>384</v>
      </c>
      <c r="E910" s="4" t="s">
        <v>18</v>
      </c>
      <c r="F910" s="4" t="s">
        <v>13</v>
      </c>
      <c r="G910" s="4" t="n">
        <v>4</v>
      </c>
      <c r="H910" s="5" t="n">
        <v>128.47</v>
      </c>
      <c r="I910" s="5" t="n">
        <v>57.93</v>
      </c>
      <c r="J910" s="9" t="n">
        <v>0</v>
      </c>
      <c r="K910" s="5" t="n">
        <f aca="false">G910*H910*(1-J910)</f>
        <v>513.88</v>
      </c>
      <c r="L910" s="5" t="n">
        <f aca="false">K910-(G910*I910)</f>
        <v>282.16</v>
      </c>
    </row>
    <row r="911" customFormat="false" ht="16.4" hidden="false" customHeight="false" outlineLevel="0" collapsed="false">
      <c r="A911" s="4" t="s">
        <v>2380</v>
      </c>
      <c r="B911" s="6" t="n">
        <v>46056</v>
      </c>
      <c r="C911" s="4" t="s">
        <v>1433</v>
      </c>
      <c r="D911" s="4" t="s">
        <v>136</v>
      </c>
      <c r="E911" s="4" t="s">
        <v>12</v>
      </c>
      <c r="F911" s="4" t="s">
        <v>25</v>
      </c>
      <c r="G911" s="4" t="n">
        <v>9</v>
      </c>
      <c r="H911" s="5" t="n">
        <v>590.6</v>
      </c>
      <c r="I911" s="5" t="n">
        <v>410.98</v>
      </c>
      <c r="J911" s="9" t="n">
        <v>0.02</v>
      </c>
      <c r="K911" s="5" t="n">
        <f aca="false">G911*H911*(1-J911)</f>
        <v>5209.092</v>
      </c>
      <c r="L911" s="5" t="n">
        <f aca="false">K911-(G911*I911)</f>
        <v>1510.272</v>
      </c>
    </row>
    <row r="912" customFormat="false" ht="16.4" hidden="false" customHeight="false" outlineLevel="0" collapsed="false">
      <c r="A912" s="4" t="s">
        <v>2381</v>
      </c>
      <c r="B912" s="6" t="n">
        <v>45503</v>
      </c>
      <c r="C912" s="4" t="s">
        <v>597</v>
      </c>
      <c r="D912" s="4" t="s">
        <v>234</v>
      </c>
      <c r="E912" s="4" t="s">
        <v>30</v>
      </c>
      <c r="F912" s="4" t="s">
        <v>13</v>
      </c>
      <c r="G912" s="4" t="n">
        <v>14</v>
      </c>
      <c r="H912" s="5" t="n">
        <v>253.46</v>
      </c>
      <c r="I912" s="5" t="n">
        <v>159.31</v>
      </c>
      <c r="J912" s="9" t="n">
        <v>0.15</v>
      </c>
      <c r="K912" s="5" t="n">
        <f aca="false">G912*H912*(1-J912)</f>
        <v>3016.174</v>
      </c>
      <c r="L912" s="5" t="n">
        <f aca="false">K912-(G912*I912)</f>
        <v>785.834</v>
      </c>
    </row>
    <row r="913" customFormat="false" ht="16.4" hidden="false" customHeight="false" outlineLevel="0" collapsed="false">
      <c r="A913" s="4" t="s">
        <v>2382</v>
      </c>
      <c r="B913" s="6" t="n">
        <v>45720</v>
      </c>
      <c r="C913" s="4" t="s">
        <v>1209</v>
      </c>
      <c r="D913" s="4" t="s">
        <v>184</v>
      </c>
      <c r="E913" s="4" t="s">
        <v>30</v>
      </c>
      <c r="F913" s="4" t="s">
        <v>13</v>
      </c>
      <c r="G913" s="4" t="n">
        <v>22</v>
      </c>
      <c r="H913" s="5" t="n">
        <v>453.47</v>
      </c>
      <c r="I913" s="5" t="n">
        <v>327.97</v>
      </c>
      <c r="J913" s="9" t="n">
        <v>0</v>
      </c>
      <c r="K913" s="5" t="n">
        <f aca="false">G913*H913*(1-J913)</f>
        <v>9976.34</v>
      </c>
      <c r="L913" s="5" t="n">
        <f aca="false">K913-(G913*I913)</f>
        <v>2761</v>
      </c>
    </row>
    <row r="914" customFormat="false" ht="16.4" hidden="false" customHeight="false" outlineLevel="0" collapsed="false">
      <c r="A914" s="4" t="s">
        <v>2383</v>
      </c>
      <c r="B914" s="6" t="n">
        <v>45589</v>
      </c>
      <c r="C914" s="4" t="s">
        <v>1275</v>
      </c>
      <c r="D914" s="4" t="s">
        <v>248</v>
      </c>
      <c r="E914" s="4" t="s">
        <v>24</v>
      </c>
      <c r="F914" s="4" t="s">
        <v>19</v>
      </c>
      <c r="G914" s="4" t="n">
        <v>5</v>
      </c>
      <c r="H914" s="5" t="n">
        <v>329.55</v>
      </c>
      <c r="I914" s="5" t="n">
        <v>147.93</v>
      </c>
      <c r="J914" s="9" t="n">
        <v>0</v>
      </c>
      <c r="K914" s="5" t="n">
        <f aca="false">G914*H914*(1-J914)</f>
        <v>1647.75</v>
      </c>
      <c r="L914" s="5" t="n">
        <f aca="false">K914-(G914*I914)</f>
        <v>908.1</v>
      </c>
    </row>
    <row r="915" customFormat="false" ht="16.4" hidden="false" customHeight="false" outlineLevel="0" collapsed="false">
      <c r="A915" s="4" t="s">
        <v>2384</v>
      </c>
      <c r="B915" s="6" t="n">
        <v>45670</v>
      </c>
      <c r="C915" s="4" t="s">
        <v>1097</v>
      </c>
      <c r="D915" s="4" t="s">
        <v>160</v>
      </c>
      <c r="E915" s="4" t="s">
        <v>18</v>
      </c>
      <c r="F915" s="4" t="s">
        <v>25</v>
      </c>
      <c r="G915" s="4" t="n">
        <v>15</v>
      </c>
      <c r="H915" s="5" t="n">
        <v>275.46</v>
      </c>
      <c r="I915" s="5" t="n">
        <v>125.63</v>
      </c>
      <c r="J915" s="9" t="n">
        <v>0</v>
      </c>
      <c r="K915" s="5" t="n">
        <f aca="false">G915*H915*(1-J915)</f>
        <v>4131.9</v>
      </c>
      <c r="L915" s="5" t="n">
        <f aca="false">K915-(G915*I915)</f>
        <v>2247.45</v>
      </c>
    </row>
    <row r="916" customFormat="false" ht="16.4" hidden="false" customHeight="false" outlineLevel="0" collapsed="false">
      <c r="A916" s="4" t="s">
        <v>2385</v>
      </c>
      <c r="B916" s="6" t="n">
        <v>46184</v>
      </c>
      <c r="C916" s="4" t="s">
        <v>463</v>
      </c>
      <c r="D916" s="4" t="s">
        <v>82</v>
      </c>
      <c r="E916" s="4" t="s">
        <v>6</v>
      </c>
      <c r="F916" s="4" t="s">
        <v>19</v>
      </c>
      <c r="G916" s="4" t="n">
        <v>16</v>
      </c>
      <c r="H916" s="5" t="n">
        <v>762.25</v>
      </c>
      <c r="I916" s="5" t="n">
        <v>508.29</v>
      </c>
      <c r="J916" s="9" t="n">
        <v>0</v>
      </c>
      <c r="K916" s="5" t="n">
        <f aca="false">G916*H916*(1-J916)</f>
        <v>12196</v>
      </c>
      <c r="L916" s="5" t="n">
        <f aca="false">K916-(G916*I916)</f>
        <v>4063.36</v>
      </c>
    </row>
    <row r="917" customFormat="false" ht="16.4" hidden="false" customHeight="false" outlineLevel="0" collapsed="false">
      <c r="A917" s="4" t="s">
        <v>2386</v>
      </c>
      <c r="B917" s="6" t="n">
        <v>46022</v>
      </c>
      <c r="C917" s="4" t="s">
        <v>871</v>
      </c>
      <c r="D917" s="4" t="s">
        <v>394</v>
      </c>
      <c r="E917" s="4" t="s">
        <v>18</v>
      </c>
      <c r="F917" s="4" t="s">
        <v>25</v>
      </c>
      <c r="G917" s="4" t="n">
        <v>22</v>
      </c>
      <c r="H917" s="5" t="n">
        <v>964.19</v>
      </c>
      <c r="I917" s="5" t="n">
        <v>611.21</v>
      </c>
      <c r="J917" s="9" t="n">
        <v>0</v>
      </c>
      <c r="K917" s="5" t="n">
        <f aca="false">G917*H917*(1-J917)</f>
        <v>21212.18</v>
      </c>
      <c r="L917" s="5" t="n">
        <f aca="false">K917-(G917*I917)</f>
        <v>7765.56</v>
      </c>
    </row>
    <row r="918" customFormat="false" ht="16.4" hidden="false" customHeight="false" outlineLevel="0" collapsed="false">
      <c r="A918" s="4" t="s">
        <v>2387</v>
      </c>
      <c r="B918" s="6" t="n">
        <v>45554</v>
      </c>
      <c r="C918" s="4" t="s">
        <v>897</v>
      </c>
      <c r="D918" s="4" t="s">
        <v>402</v>
      </c>
      <c r="E918" s="4" t="s">
        <v>24</v>
      </c>
      <c r="F918" s="4" t="s">
        <v>7</v>
      </c>
      <c r="G918" s="4" t="n">
        <v>24</v>
      </c>
      <c r="H918" s="5" t="n">
        <v>311.38</v>
      </c>
      <c r="I918" s="5" t="n">
        <v>177.64</v>
      </c>
      <c r="J918" s="9" t="n">
        <v>0.08</v>
      </c>
      <c r="K918" s="5" t="n">
        <f aca="false">G918*H918*(1-J918)</f>
        <v>6875.2704</v>
      </c>
      <c r="L918" s="5" t="n">
        <f aca="false">K918-(G918*I918)</f>
        <v>2611.9104</v>
      </c>
    </row>
    <row r="919" customFormat="false" ht="16.4" hidden="false" customHeight="false" outlineLevel="0" collapsed="false">
      <c r="A919" s="4" t="s">
        <v>2388</v>
      </c>
      <c r="B919" s="6" t="n">
        <v>45632</v>
      </c>
      <c r="C919" s="4" t="s">
        <v>1035</v>
      </c>
      <c r="D919" s="4" t="s">
        <v>88</v>
      </c>
      <c r="E919" s="4" t="s">
        <v>18</v>
      </c>
      <c r="F919" s="4" t="s">
        <v>13</v>
      </c>
      <c r="G919" s="4" t="n">
        <v>2</v>
      </c>
      <c r="H919" s="5" t="n">
        <v>907.28</v>
      </c>
      <c r="I919" s="5" t="n">
        <v>596.48</v>
      </c>
      <c r="J919" s="9" t="n">
        <v>0</v>
      </c>
      <c r="K919" s="5" t="n">
        <f aca="false">G919*H919*(1-J919)</f>
        <v>1814.56</v>
      </c>
      <c r="L919" s="5" t="n">
        <f aca="false">K919-(G919*I919)</f>
        <v>621.6</v>
      </c>
    </row>
    <row r="920" customFormat="false" ht="16.4" hidden="false" customHeight="false" outlineLevel="0" collapsed="false">
      <c r="A920" s="4" t="s">
        <v>2389</v>
      </c>
      <c r="B920" s="6" t="n">
        <v>45978</v>
      </c>
      <c r="C920" s="4" t="s">
        <v>1395</v>
      </c>
      <c r="D920" s="4" t="s">
        <v>280</v>
      </c>
      <c r="E920" s="4" t="s">
        <v>6</v>
      </c>
      <c r="F920" s="4" t="s">
        <v>7</v>
      </c>
      <c r="G920" s="4" t="n">
        <v>12</v>
      </c>
      <c r="H920" s="5" t="n">
        <v>942.95</v>
      </c>
      <c r="I920" s="5" t="n">
        <v>575.86</v>
      </c>
      <c r="J920" s="9" t="n">
        <v>0.08</v>
      </c>
      <c r="K920" s="5" t="n">
        <f aca="false">G920*H920*(1-J920)</f>
        <v>10410.168</v>
      </c>
      <c r="L920" s="5" t="n">
        <f aca="false">K920-(G920*I920)</f>
        <v>3499.848</v>
      </c>
    </row>
    <row r="921" customFormat="false" ht="16.4" hidden="false" customHeight="false" outlineLevel="0" collapsed="false">
      <c r="A921" s="4" t="s">
        <v>2390</v>
      </c>
      <c r="B921" s="6" t="n">
        <v>45682</v>
      </c>
      <c r="C921" s="4" t="s">
        <v>723</v>
      </c>
      <c r="D921" s="4" t="s">
        <v>42</v>
      </c>
      <c r="E921" s="4" t="s">
        <v>12</v>
      </c>
      <c r="F921" s="4" t="s">
        <v>19</v>
      </c>
      <c r="G921" s="4" t="n">
        <v>17</v>
      </c>
      <c r="H921" s="5" t="n">
        <v>820.12</v>
      </c>
      <c r="I921" s="5" t="n">
        <v>579.72</v>
      </c>
      <c r="J921" s="9" t="n">
        <v>0.08</v>
      </c>
      <c r="K921" s="5" t="n">
        <f aca="false">G921*H921*(1-J921)</f>
        <v>12826.6768</v>
      </c>
      <c r="L921" s="5" t="n">
        <f aca="false">K921-(G921*I921)</f>
        <v>2971.4368</v>
      </c>
    </row>
    <row r="922" customFormat="false" ht="16.4" hidden="false" customHeight="false" outlineLevel="0" collapsed="false">
      <c r="A922" s="4" t="s">
        <v>2391</v>
      </c>
      <c r="B922" s="6" t="n">
        <v>45864</v>
      </c>
      <c r="C922" s="4" t="s">
        <v>1151</v>
      </c>
      <c r="D922" s="4" t="s">
        <v>242</v>
      </c>
      <c r="E922" s="4" t="s">
        <v>24</v>
      </c>
      <c r="F922" s="4" t="s">
        <v>7</v>
      </c>
      <c r="G922" s="4" t="n">
        <v>12</v>
      </c>
      <c r="H922" s="5" t="n">
        <v>966.66</v>
      </c>
      <c r="I922" s="5" t="n">
        <v>596.46</v>
      </c>
      <c r="J922" s="9" t="n">
        <v>0</v>
      </c>
      <c r="K922" s="5" t="n">
        <f aca="false">G922*H922*(1-J922)</f>
        <v>11599.92</v>
      </c>
      <c r="L922" s="5" t="n">
        <f aca="false">K922-(G922*I922)</f>
        <v>4442.4</v>
      </c>
    </row>
    <row r="923" customFormat="false" ht="16.4" hidden="false" customHeight="false" outlineLevel="0" collapsed="false">
      <c r="A923" s="4" t="s">
        <v>2392</v>
      </c>
      <c r="B923" s="6" t="n">
        <v>45807</v>
      </c>
      <c r="C923" s="4" t="s">
        <v>647</v>
      </c>
      <c r="D923" s="4" t="s">
        <v>336</v>
      </c>
      <c r="E923" s="4" t="s">
        <v>30</v>
      </c>
      <c r="F923" s="4" t="s">
        <v>25</v>
      </c>
      <c r="G923" s="4" t="n">
        <v>9</v>
      </c>
      <c r="H923" s="5" t="n">
        <v>675.2</v>
      </c>
      <c r="I923" s="5" t="n">
        <v>424.68</v>
      </c>
      <c r="J923" s="9" t="n">
        <v>0</v>
      </c>
      <c r="K923" s="5" t="n">
        <f aca="false">G923*H923*(1-J923)</f>
        <v>6076.8</v>
      </c>
      <c r="L923" s="5" t="n">
        <f aca="false">K923-(G923*I923)</f>
        <v>2254.68</v>
      </c>
    </row>
    <row r="924" customFormat="false" ht="16.4" hidden="false" customHeight="false" outlineLevel="0" collapsed="false">
      <c r="A924" s="4" t="s">
        <v>2393</v>
      </c>
      <c r="B924" s="6" t="n">
        <v>45383</v>
      </c>
      <c r="C924" s="4" t="s">
        <v>1363</v>
      </c>
      <c r="D924" s="4" t="s">
        <v>212</v>
      </c>
      <c r="E924" s="4" t="s">
        <v>24</v>
      </c>
      <c r="F924" s="4" t="s">
        <v>19</v>
      </c>
      <c r="G924" s="4" t="n">
        <v>15</v>
      </c>
      <c r="H924" s="5" t="n">
        <v>531.77</v>
      </c>
      <c r="I924" s="5" t="n">
        <v>387.95</v>
      </c>
      <c r="J924" s="9" t="n">
        <v>0</v>
      </c>
      <c r="K924" s="5" t="n">
        <f aca="false">G924*H924*(1-J924)</f>
        <v>7976.55</v>
      </c>
      <c r="L924" s="5" t="n">
        <f aca="false">K924-(G924*I924)</f>
        <v>2157.3</v>
      </c>
    </row>
    <row r="925" customFormat="false" ht="16.4" hidden="false" customHeight="false" outlineLevel="0" collapsed="false">
      <c r="A925" s="4" t="s">
        <v>2394</v>
      </c>
      <c r="B925" s="6" t="n">
        <v>45558</v>
      </c>
      <c r="C925" s="4" t="s">
        <v>1007</v>
      </c>
      <c r="D925" s="4" t="s">
        <v>402</v>
      </c>
      <c r="E925" s="4" t="s">
        <v>30</v>
      </c>
      <c r="F925" s="4" t="s">
        <v>7</v>
      </c>
      <c r="G925" s="4" t="n">
        <v>14</v>
      </c>
      <c r="H925" s="5" t="n">
        <v>311.38</v>
      </c>
      <c r="I925" s="5" t="n">
        <v>177.64</v>
      </c>
      <c r="J925" s="9" t="n">
        <v>0</v>
      </c>
      <c r="K925" s="5" t="n">
        <f aca="false">G925*H925*(1-J925)</f>
        <v>4359.32</v>
      </c>
      <c r="L925" s="5" t="n">
        <f aca="false">K925-(G925*I925)</f>
        <v>1872.36</v>
      </c>
    </row>
    <row r="926" customFormat="false" ht="16.4" hidden="false" customHeight="false" outlineLevel="0" collapsed="false">
      <c r="A926" s="4" t="s">
        <v>2395</v>
      </c>
      <c r="B926" s="6" t="n">
        <v>46184</v>
      </c>
      <c r="C926" s="4" t="s">
        <v>506</v>
      </c>
      <c r="D926" s="4" t="s">
        <v>200</v>
      </c>
      <c r="E926" s="4" t="s">
        <v>24</v>
      </c>
      <c r="F926" s="4" t="s">
        <v>19</v>
      </c>
      <c r="G926" s="4" t="n">
        <v>5</v>
      </c>
      <c r="H926" s="5" t="n">
        <v>800.54</v>
      </c>
      <c r="I926" s="5" t="n">
        <v>407.78</v>
      </c>
      <c r="J926" s="9" t="n">
        <v>0.05</v>
      </c>
      <c r="K926" s="5" t="n">
        <f aca="false">G926*H926*(1-J926)</f>
        <v>3802.565</v>
      </c>
      <c r="L926" s="5" t="n">
        <f aca="false">K926-(G926*I926)</f>
        <v>1763.665</v>
      </c>
    </row>
    <row r="927" customFormat="false" ht="16.4" hidden="false" customHeight="false" outlineLevel="0" collapsed="false">
      <c r="A927" s="4" t="s">
        <v>2396</v>
      </c>
      <c r="B927" s="6" t="n">
        <v>46189</v>
      </c>
      <c r="C927" s="4" t="s">
        <v>833</v>
      </c>
      <c r="D927" s="4" t="s">
        <v>422</v>
      </c>
      <c r="E927" s="4" t="s">
        <v>30</v>
      </c>
      <c r="F927" s="4" t="s">
        <v>19</v>
      </c>
      <c r="G927" s="4" t="n">
        <v>14</v>
      </c>
      <c r="H927" s="5" t="n">
        <v>1052.17</v>
      </c>
      <c r="I927" s="5" t="n">
        <v>553.57</v>
      </c>
      <c r="J927" s="9" t="n">
        <v>0.02</v>
      </c>
      <c r="K927" s="5" t="n">
        <f aca="false">G927*H927*(1-J927)</f>
        <v>14435.7724</v>
      </c>
      <c r="L927" s="5" t="n">
        <f aca="false">K927-(G927*I927)</f>
        <v>6685.7924</v>
      </c>
    </row>
    <row r="928" customFormat="false" ht="16.4" hidden="false" customHeight="false" outlineLevel="0" collapsed="false">
      <c r="A928" s="4" t="s">
        <v>2397</v>
      </c>
      <c r="B928" s="6" t="n">
        <v>45821</v>
      </c>
      <c r="C928" s="4" t="s">
        <v>1313</v>
      </c>
      <c r="D928" s="4" t="s">
        <v>352</v>
      </c>
      <c r="E928" s="4" t="s">
        <v>18</v>
      </c>
      <c r="F928" s="4" t="s">
        <v>19</v>
      </c>
      <c r="G928" s="4" t="n">
        <v>25</v>
      </c>
      <c r="H928" s="5" t="n">
        <v>759.98</v>
      </c>
      <c r="I928" s="5" t="n">
        <v>346.44</v>
      </c>
      <c r="J928" s="9" t="n">
        <v>0.02</v>
      </c>
      <c r="K928" s="5" t="n">
        <f aca="false">G928*H928*(1-J928)</f>
        <v>18619.51</v>
      </c>
      <c r="L928" s="5" t="n">
        <f aca="false">K928-(G928*I928)</f>
        <v>9958.51</v>
      </c>
    </row>
    <row r="929" customFormat="false" ht="16.4" hidden="false" customHeight="false" outlineLevel="0" collapsed="false">
      <c r="A929" s="4" t="s">
        <v>2398</v>
      </c>
      <c r="B929" s="6" t="n">
        <v>46046</v>
      </c>
      <c r="C929" s="4" t="s">
        <v>1379</v>
      </c>
      <c r="D929" s="4" t="s">
        <v>262</v>
      </c>
      <c r="E929" s="4" t="s">
        <v>6</v>
      </c>
      <c r="F929" s="4" t="s">
        <v>25</v>
      </c>
      <c r="G929" s="4" t="n">
        <v>6</v>
      </c>
      <c r="H929" s="5" t="n">
        <v>1027.8</v>
      </c>
      <c r="I929" s="5" t="n">
        <v>751.7</v>
      </c>
      <c r="J929" s="9" t="n">
        <v>0.02</v>
      </c>
      <c r="K929" s="5" t="n">
        <f aca="false">G929*H929*(1-J929)</f>
        <v>6043.464</v>
      </c>
      <c r="L929" s="5" t="n">
        <f aca="false">K929-(G929*I929)</f>
        <v>1533.264</v>
      </c>
    </row>
    <row r="930" customFormat="false" ht="16.4" hidden="false" customHeight="false" outlineLevel="0" collapsed="false">
      <c r="A930" s="4" t="s">
        <v>2399</v>
      </c>
      <c r="B930" s="6" t="n">
        <v>46165</v>
      </c>
      <c r="C930" s="4" t="s">
        <v>1437</v>
      </c>
      <c r="D930" s="4" t="s">
        <v>430</v>
      </c>
      <c r="E930" s="4" t="s">
        <v>12</v>
      </c>
      <c r="F930" s="4" t="s">
        <v>25</v>
      </c>
      <c r="G930" s="4" t="n">
        <v>5</v>
      </c>
      <c r="H930" s="5" t="n">
        <v>761.49</v>
      </c>
      <c r="I930" s="5" t="n">
        <v>536.83</v>
      </c>
      <c r="J930" s="9" t="n">
        <v>0.08</v>
      </c>
      <c r="K930" s="5" t="n">
        <f aca="false">G930*H930*(1-J930)</f>
        <v>3502.854</v>
      </c>
      <c r="L930" s="5" t="n">
        <f aca="false">K930-(G930*I930)</f>
        <v>818.704</v>
      </c>
    </row>
    <row r="931" customFormat="false" ht="16.4" hidden="false" customHeight="false" outlineLevel="0" collapsed="false">
      <c r="A931" s="4" t="s">
        <v>2400</v>
      </c>
      <c r="B931" s="6" t="n">
        <v>45527</v>
      </c>
      <c r="C931" s="4" t="s">
        <v>657</v>
      </c>
      <c r="D931" s="4" t="s">
        <v>66</v>
      </c>
      <c r="E931" s="4" t="s">
        <v>12</v>
      </c>
      <c r="F931" s="4" t="s">
        <v>13</v>
      </c>
      <c r="G931" s="4" t="n">
        <v>5</v>
      </c>
      <c r="H931" s="5" t="n">
        <v>771.1</v>
      </c>
      <c r="I931" s="5" t="n">
        <v>434.64</v>
      </c>
      <c r="J931" s="9" t="n">
        <v>0</v>
      </c>
      <c r="K931" s="5" t="n">
        <f aca="false">G931*H931*(1-J931)</f>
        <v>3855.5</v>
      </c>
      <c r="L931" s="5" t="n">
        <f aca="false">K931-(G931*I931)</f>
        <v>1682.3</v>
      </c>
    </row>
    <row r="932" customFormat="false" ht="16.4" hidden="false" customHeight="false" outlineLevel="0" collapsed="false">
      <c r="A932" s="4" t="s">
        <v>2401</v>
      </c>
      <c r="B932" s="6" t="n">
        <v>46014</v>
      </c>
      <c r="C932" s="4" t="s">
        <v>945</v>
      </c>
      <c r="D932" s="4" t="s">
        <v>58</v>
      </c>
      <c r="E932" s="4" t="s">
        <v>6</v>
      </c>
      <c r="F932" s="4" t="s">
        <v>25</v>
      </c>
      <c r="G932" s="4" t="n">
        <v>9</v>
      </c>
      <c r="H932" s="5" t="n">
        <v>250.94</v>
      </c>
      <c r="I932" s="5" t="n">
        <v>94.81</v>
      </c>
      <c r="J932" s="9" t="n">
        <v>0</v>
      </c>
      <c r="K932" s="5" t="n">
        <f aca="false">G932*H932*(1-J932)</f>
        <v>2258.46</v>
      </c>
      <c r="L932" s="5" t="n">
        <f aca="false">K932-(G932*I932)</f>
        <v>1405.17</v>
      </c>
    </row>
    <row r="933" customFormat="false" ht="16.4" hidden="false" customHeight="false" outlineLevel="0" collapsed="false">
      <c r="A933" s="4" t="s">
        <v>2402</v>
      </c>
      <c r="B933" s="6" t="n">
        <v>45744</v>
      </c>
      <c r="C933" s="4" t="s">
        <v>583</v>
      </c>
      <c r="D933" s="4" t="s">
        <v>262</v>
      </c>
      <c r="E933" s="4" t="s">
        <v>18</v>
      </c>
      <c r="F933" s="4" t="s">
        <v>19</v>
      </c>
      <c r="G933" s="4" t="n">
        <v>16</v>
      </c>
      <c r="H933" s="5" t="n">
        <v>1027.8</v>
      </c>
      <c r="I933" s="5" t="n">
        <v>751.7</v>
      </c>
      <c r="J933" s="9" t="n">
        <v>0</v>
      </c>
      <c r="K933" s="5" t="n">
        <f aca="false">G933*H933*(1-J933)</f>
        <v>16444.8</v>
      </c>
      <c r="L933" s="5" t="n">
        <f aca="false">K933-(G933*I933)</f>
        <v>4417.6</v>
      </c>
    </row>
    <row r="934" customFormat="false" ht="16.4" hidden="false" customHeight="false" outlineLevel="0" collapsed="false">
      <c r="A934" s="4" t="s">
        <v>2403</v>
      </c>
      <c r="B934" s="6" t="n">
        <v>45796</v>
      </c>
      <c r="C934" s="4" t="s">
        <v>1039</v>
      </c>
      <c r="D934" s="4" t="s">
        <v>402</v>
      </c>
      <c r="E934" s="4" t="s">
        <v>12</v>
      </c>
      <c r="F934" s="4" t="s">
        <v>7</v>
      </c>
      <c r="G934" s="4" t="n">
        <v>16</v>
      </c>
      <c r="H934" s="5" t="n">
        <v>311.38</v>
      </c>
      <c r="I934" s="5" t="n">
        <v>177.64</v>
      </c>
      <c r="J934" s="9" t="n">
        <v>0.05</v>
      </c>
      <c r="K934" s="5" t="n">
        <f aca="false">G934*H934*(1-J934)</f>
        <v>4732.976</v>
      </c>
      <c r="L934" s="5" t="n">
        <f aca="false">K934-(G934*I934)</f>
        <v>1890.736</v>
      </c>
    </row>
    <row r="935" customFormat="false" ht="16.4" hidden="false" customHeight="false" outlineLevel="0" collapsed="false">
      <c r="A935" s="4" t="s">
        <v>2404</v>
      </c>
      <c r="B935" s="6" t="n">
        <v>45649</v>
      </c>
      <c r="C935" s="4" t="s">
        <v>1351</v>
      </c>
      <c r="D935" s="4" t="s">
        <v>408</v>
      </c>
      <c r="E935" s="4" t="s">
        <v>18</v>
      </c>
      <c r="F935" s="4" t="s">
        <v>7</v>
      </c>
      <c r="G935" s="4" t="n">
        <v>5</v>
      </c>
      <c r="H935" s="5" t="n">
        <v>357.34</v>
      </c>
      <c r="I935" s="5" t="n">
        <v>167.74</v>
      </c>
      <c r="J935" s="9" t="n">
        <v>0</v>
      </c>
      <c r="K935" s="5" t="n">
        <f aca="false">G935*H935*(1-J935)</f>
        <v>1786.7</v>
      </c>
      <c r="L935" s="5" t="n">
        <f aca="false">K935-(G935*I935)</f>
        <v>948</v>
      </c>
    </row>
    <row r="936" customFormat="false" ht="16.4" hidden="false" customHeight="false" outlineLevel="0" collapsed="false">
      <c r="A936" s="4" t="s">
        <v>2405</v>
      </c>
      <c r="B936" s="6" t="n">
        <v>46146</v>
      </c>
      <c r="C936" s="4" t="s">
        <v>1353</v>
      </c>
      <c r="D936" s="4" t="s">
        <v>144</v>
      </c>
      <c r="E936" s="4" t="s">
        <v>6</v>
      </c>
      <c r="F936" s="4" t="s">
        <v>13</v>
      </c>
      <c r="G936" s="4" t="n">
        <v>10</v>
      </c>
      <c r="H936" s="5" t="n">
        <v>92.17</v>
      </c>
      <c r="I936" s="5" t="n">
        <v>53.8</v>
      </c>
      <c r="J936" s="9" t="n">
        <v>0</v>
      </c>
      <c r="K936" s="5" t="n">
        <f aca="false">G936*H936*(1-J936)</f>
        <v>921.7</v>
      </c>
      <c r="L936" s="5" t="n">
        <f aca="false">K936-(G936*I936)</f>
        <v>383.7</v>
      </c>
    </row>
    <row r="937" customFormat="false" ht="16.4" hidden="false" customHeight="false" outlineLevel="0" collapsed="false">
      <c r="A937" s="4" t="s">
        <v>2406</v>
      </c>
      <c r="B937" s="6" t="n">
        <v>46204</v>
      </c>
      <c r="C937" s="4" t="s">
        <v>985</v>
      </c>
      <c r="D937" s="4" t="s">
        <v>422</v>
      </c>
      <c r="E937" s="4" t="s">
        <v>30</v>
      </c>
      <c r="F937" s="4" t="s">
        <v>13</v>
      </c>
      <c r="G937" s="4" t="n">
        <v>9</v>
      </c>
      <c r="H937" s="5" t="n">
        <v>1052.17</v>
      </c>
      <c r="I937" s="5" t="n">
        <v>553.57</v>
      </c>
      <c r="J937" s="9" t="n">
        <v>0.08</v>
      </c>
      <c r="K937" s="5" t="n">
        <f aca="false">G937*H937*(1-J937)</f>
        <v>8711.9676</v>
      </c>
      <c r="L937" s="5" t="n">
        <f aca="false">K937-(G937*I937)</f>
        <v>3729.8376</v>
      </c>
    </row>
    <row r="938" customFormat="false" ht="16.4" hidden="false" customHeight="false" outlineLevel="0" collapsed="false">
      <c r="A938" s="4" t="s">
        <v>2407</v>
      </c>
      <c r="B938" s="6" t="n">
        <v>46077</v>
      </c>
      <c r="C938" s="4" t="s">
        <v>1459</v>
      </c>
      <c r="D938" s="4" t="s">
        <v>338</v>
      </c>
      <c r="E938" s="4" t="s">
        <v>30</v>
      </c>
      <c r="F938" s="4" t="s">
        <v>13</v>
      </c>
      <c r="G938" s="4" t="n">
        <v>1</v>
      </c>
      <c r="H938" s="5" t="n">
        <v>1050.45</v>
      </c>
      <c r="I938" s="5" t="n">
        <v>608.87</v>
      </c>
      <c r="J938" s="9" t="n">
        <v>0.08</v>
      </c>
      <c r="K938" s="5" t="n">
        <f aca="false">G938*H938*(1-J938)</f>
        <v>966.414</v>
      </c>
      <c r="L938" s="5" t="n">
        <f aca="false">K938-(G938*I938)</f>
        <v>357.544</v>
      </c>
    </row>
    <row r="939" customFormat="false" ht="16.4" hidden="false" customHeight="false" outlineLevel="0" collapsed="false">
      <c r="A939" s="4" t="s">
        <v>2408</v>
      </c>
      <c r="B939" s="6" t="n">
        <v>46078</v>
      </c>
      <c r="C939" s="4" t="s">
        <v>1407</v>
      </c>
      <c r="D939" s="4" t="s">
        <v>252</v>
      </c>
      <c r="E939" s="4" t="s">
        <v>18</v>
      </c>
      <c r="F939" s="4" t="s">
        <v>25</v>
      </c>
      <c r="G939" s="4" t="n">
        <v>3</v>
      </c>
      <c r="H939" s="5" t="n">
        <v>300.53</v>
      </c>
      <c r="I939" s="5" t="n">
        <v>145.56</v>
      </c>
      <c r="J939" s="9" t="n">
        <v>0</v>
      </c>
      <c r="K939" s="5" t="n">
        <f aca="false">G939*H939*(1-J939)</f>
        <v>901.59</v>
      </c>
      <c r="L939" s="5" t="n">
        <f aca="false">K939-(G939*I939)</f>
        <v>464.91</v>
      </c>
    </row>
    <row r="940" customFormat="false" ht="16.4" hidden="false" customHeight="false" outlineLevel="0" collapsed="false">
      <c r="A940" s="4" t="s">
        <v>2409</v>
      </c>
      <c r="B940" s="6" t="n">
        <v>45583</v>
      </c>
      <c r="C940" s="4" t="s">
        <v>561</v>
      </c>
      <c r="D940" s="4" t="s">
        <v>386</v>
      </c>
      <c r="E940" s="4" t="s">
        <v>24</v>
      </c>
      <c r="F940" s="4" t="s">
        <v>7</v>
      </c>
      <c r="G940" s="4" t="n">
        <v>11</v>
      </c>
      <c r="H940" s="5" t="n">
        <v>994.29</v>
      </c>
      <c r="I940" s="5" t="n">
        <v>348.46</v>
      </c>
      <c r="J940" s="9" t="n">
        <v>0</v>
      </c>
      <c r="K940" s="5" t="n">
        <f aca="false">G940*H940*(1-J940)</f>
        <v>10937.19</v>
      </c>
      <c r="L940" s="5" t="n">
        <f aca="false">K940-(G940*I940)</f>
        <v>7104.13</v>
      </c>
    </row>
    <row r="941" customFormat="false" ht="16.4" hidden="false" customHeight="false" outlineLevel="0" collapsed="false">
      <c r="A941" s="4" t="s">
        <v>2410</v>
      </c>
      <c r="B941" s="6" t="n">
        <v>46149</v>
      </c>
      <c r="C941" s="4" t="s">
        <v>847</v>
      </c>
      <c r="D941" s="4" t="s">
        <v>240</v>
      </c>
      <c r="E941" s="4" t="s">
        <v>24</v>
      </c>
      <c r="F941" s="4" t="s">
        <v>19</v>
      </c>
      <c r="G941" s="4" t="n">
        <v>19</v>
      </c>
      <c r="H941" s="5" t="n">
        <v>679.95</v>
      </c>
      <c r="I941" s="5" t="n">
        <v>487.52</v>
      </c>
      <c r="J941" s="9" t="n">
        <v>0</v>
      </c>
      <c r="K941" s="5" t="n">
        <f aca="false">G941*H941*(1-J941)</f>
        <v>12919.05</v>
      </c>
      <c r="L941" s="5" t="n">
        <f aca="false">K941-(G941*I941)</f>
        <v>3656.17</v>
      </c>
    </row>
    <row r="942" customFormat="false" ht="16.4" hidden="false" customHeight="false" outlineLevel="0" collapsed="false">
      <c r="A942" s="4" t="s">
        <v>2411</v>
      </c>
      <c r="B942" s="6" t="n">
        <v>46142</v>
      </c>
      <c r="C942" s="4" t="s">
        <v>487</v>
      </c>
      <c r="D942" s="4" t="s">
        <v>118</v>
      </c>
      <c r="E942" s="4" t="s">
        <v>12</v>
      </c>
      <c r="F942" s="4" t="s">
        <v>25</v>
      </c>
      <c r="G942" s="4" t="n">
        <v>3</v>
      </c>
      <c r="H942" s="5" t="n">
        <v>658.6</v>
      </c>
      <c r="I942" s="5" t="n">
        <v>421.07</v>
      </c>
      <c r="J942" s="9" t="n">
        <v>0.05</v>
      </c>
      <c r="K942" s="5" t="n">
        <f aca="false">G942*H942*(1-J942)</f>
        <v>1877.01</v>
      </c>
      <c r="L942" s="5" t="n">
        <f aca="false">K942-(G942*I942)</f>
        <v>613.8</v>
      </c>
    </row>
    <row r="943" customFormat="false" ht="16.4" hidden="false" customHeight="false" outlineLevel="0" collapsed="false">
      <c r="A943" s="4" t="s">
        <v>2412</v>
      </c>
      <c r="B943" s="6" t="n">
        <v>45965</v>
      </c>
      <c r="C943" s="4" t="s">
        <v>1107</v>
      </c>
      <c r="D943" s="4" t="s">
        <v>272</v>
      </c>
      <c r="E943" s="4" t="s">
        <v>12</v>
      </c>
      <c r="F943" s="4" t="s">
        <v>7</v>
      </c>
      <c r="G943" s="4" t="n">
        <v>9</v>
      </c>
      <c r="H943" s="5" t="n">
        <v>1043.55</v>
      </c>
      <c r="I943" s="5" t="n">
        <v>441.1</v>
      </c>
      <c r="J943" s="9" t="n">
        <v>0.08</v>
      </c>
      <c r="K943" s="5" t="n">
        <f aca="false">G943*H943*(1-J943)</f>
        <v>8640.594</v>
      </c>
      <c r="L943" s="5" t="n">
        <f aca="false">K943-(G943*I943)</f>
        <v>4670.694</v>
      </c>
    </row>
    <row r="944" customFormat="false" ht="16.4" hidden="false" customHeight="false" outlineLevel="0" collapsed="false">
      <c r="A944" s="4" t="s">
        <v>2413</v>
      </c>
      <c r="B944" s="6" t="n">
        <v>45929</v>
      </c>
      <c r="C944" s="4" t="s">
        <v>1457</v>
      </c>
      <c r="D944" s="4" t="s">
        <v>208</v>
      </c>
      <c r="E944" s="4" t="s">
        <v>24</v>
      </c>
      <c r="F944" s="4" t="s">
        <v>25</v>
      </c>
      <c r="G944" s="4" t="n">
        <v>2</v>
      </c>
      <c r="H944" s="5" t="n">
        <v>737.3</v>
      </c>
      <c r="I944" s="5" t="n">
        <v>408.88</v>
      </c>
      <c r="J944" s="9" t="n">
        <v>0.1</v>
      </c>
      <c r="K944" s="5" t="n">
        <f aca="false">G944*H944*(1-J944)</f>
        <v>1327.14</v>
      </c>
      <c r="L944" s="5" t="n">
        <f aca="false">K944-(G944*I944)</f>
        <v>509.38</v>
      </c>
    </row>
    <row r="945" customFormat="false" ht="16.4" hidden="false" customHeight="false" outlineLevel="0" collapsed="false">
      <c r="A945" s="4" t="s">
        <v>2414</v>
      </c>
      <c r="B945" s="6" t="n">
        <v>46108</v>
      </c>
      <c r="C945" s="4" t="s">
        <v>1435</v>
      </c>
      <c r="D945" s="4" t="s">
        <v>206</v>
      </c>
      <c r="E945" s="4" t="s">
        <v>6</v>
      </c>
      <c r="F945" s="4" t="s">
        <v>13</v>
      </c>
      <c r="G945" s="4" t="n">
        <v>24</v>
      </c>
      <c r="H945" s="5" t="n">
        <v>152.37</v>
      </c>
      <c r="I945" s="5" t="n">
        <v>79.82</v>
      </c>
      <c r="J945" s="9" t="n">
        <v>0.1</v>
      </c>
      <c r="K945" s="5" t="n">
        <f aca="false">G945*H945*(1-J945)</f>
        <v>3291.192</v>
      </c>
      <c r="L945" s="5" t="n">
        <f aca="false">K945-(G945*I945)</f>
        <v>1375.512</v>
      </c>
    </row>
    <row r="946" customFormat="false" ht="16.4" hidden="false" customHeight="false" outlineLevel="0" collapsed="false">
      <c r="A946" s="4" t="s">
        <v>2415</v>
      </c>
      <c r="B946" s="6" t="n">
        <v>45951</v>
      </c>
      <c r="C946" s="4" t="s">
        <v>1347</v>
      </c>
      <c r="D946" s="4" t="s">
        <v>148</v>
      </c>
      <c r="E946" s="4" t="s">
        <v>30</v>
      </c>
      <c r="F946" s="4" t="s">
        <v>19</v>
      </c>
      <c r="G946" s="4" t="n">
        <v>2</v>
      </c>
      <c r="H946" s="5" t="n">
        <v>104.85</v>
      </c>
      <c r="I946" s="5" t="n">
        <v>72.84</v>
      </c>
      <c r="J946" s="9" t="n">
        <v>0.15</v>
      </c>
      <c r="K946" s="5" t="n">
        <f aca="false">G946*H946*(1-J946)</f>
        <v>178.245</v>
      </c>
      <c r="L946" s="5" t="n">
        <f aca="false">K946-(G946*I946)</f>
        <v>32.565</v>
      </c>
    </row>
    <row r="947" customFormat="false" ht="16.4" hidden="false" customHeight="false" outlineLevel="0" collapsed="false">
      <c r="A947" s="4" t="s">
        <v>2416</v>
      </c>
      <c r="B947" s="6" t="n">
        <v>45364</v>
      </c>
      <c r="C947" s="4" t="s">
        <v>1281</v>
      </c>
      <c r="D947" s="4" t="s">
        <v>204</v>
      </c>
      <c r="E947" s="4" t="s">
        <v>30</v>
      </c>
      <c r="F947" s="4" t="s">
        <v>25</v>
      </c>
      <c r="G947" s="4" t="n">
        <v>2</v>
      </c>
      <c r="H947" s="5" t="n">
        <v>160.53</v>
      </c>
      <c r="I947" s="5" t="n">
        <v>118.5</v>
      </c>
      <c r="J947" s="9" t="n">
        <v>0.1</v>
      </c>
      <c r="K947" s="5" t="n">
        <f aca="false">G947*H947*(1-J947)</f>
        <v>288.954</v>
      </c>
      <c r="L947" s="5" t="n">
        <f aca="false">K947-(G947*I947)</f>
        <v>51.954</v>
      </c>
    </row>
    <row r="948" customFormat="false" ht="16.4" hidden="false" customHeight="false" outlineLevel="0" collapsed="false">
      <c r="A948" s="4" t="s">
        <v>2417</v>
      </c>
      <c r="B948" s="6" t="n">
        <v>45537</v>
      </c>
      <c r="C948" s="4" t="s">
        <v>873</v>
      </c>
      <c r="D948" s="4" t="s">
        <v>86</v>
      </c>
      <c r="E948" s="4" t="s">
        <v>6</v>
      </c>
      <c r="F948" s="4" t="s">
        <v>25</v>
      </c>
      <c r="G948" s="4" t="n">
        <v>9</v>
      </c>
      <c r="H948" s="5" t="n">
        <v>1036.42</v>
      </c>
      <c r="I948" s="5" t="n">
        <v>367.51</v>
      </c>
      <c r="J948" s="9" t="n">
        <v>0</v>
      </c>
      <c r="K948" s="5" t="n">
        <f aca="false">G948*H948*(1-J948)</f>
        <v>9327.78</v>
      </c>
      <c r="L948" s="5" t="n">
        <f aca="false">K948-(G948*I948)</f>
        <v>6020.19</v>
      </c>
    </row>
    <row r="949" customFormat="false" ht="16.4" hidden="false" customHeight="false" outlineLevel="0" collapsed="false">
      <c r="A949" s="4" t="s">
        <v>2418</v>
      </c>
      <c r="B949" s="6" t="n">
        <v>45689</v>
      </c>
      <c r="C949" s="4" t="s">
        <v>478</v>
      </c>
      <c r="D949" s="4" t="s">
        <v>84</v>
      </c>
      <c r="E949" s="4" t="s">
        <v>6</v>
      </c>
      <c r="F949" s="4" t="s">
        <v>25</v>
      </c>
      <c r="G949" s="4" t="n">
        <v>7</v>
      </c>
      <c r="H949" s="5" t="n">
        <v>473.4</v>
      </c>
      <c r="I949" s="5" t="n">
        <v>354.32</v>
      </c>
      <c r="J949" s="9" t="n">
        <v>0</v>
      </c>
      <c r="K949" s="5" t="n">
        <f aca="false">G949*H949*(1-J949)</f>
        <v>3313.8</v>
      </c>
      <c r="L949" s="5" t="n">
        <f aca="false">K949-(G949*I949)</f>
        <v>833.56</v>
      </c>
    </row>
    <row r="950" customFormat="false" ht="16.4" hidden="false" customHeight="false" outlineLevel="0" collapsed="false">
      <c r="A950" s="4" t="s">
        <v>2419</v>
      </c>
      <c r="B950" s="6" t="n">
        <v>45449</v>
      </c>
      <c r="C950" s="4" t="s">
        <v>1127</v>
      </c>
      <c r="D950" s="4" t="s">
        <v>184</v>
      </c>
      <c r="E950" s="4" t="s">
        <v>12</v>
      </c>
      <c r="F950" s="4" t="s">
        <v>7</v>
      </c>
      <c r="G950" s="4" t="n">
        <v>25</v>
      </c>
      <c r="H950" s="5" t="n">
        <v>453.47</v>
      </c>
      <c r="I950" s="5" t="n">
        <v>327.97</v>
      </c>
      <c r="J950" s="9" t="n">
        <v>0.1</v>
      </c>
      <c r="K950" s="5" t="n">
        <f aca="false">G950*H950*(1-J950)</f>
        <v>10203.075</v>
      </c>
      <c r="L950" s="5" t="n">
        <f aca="false">K950-(G950*I950)</f>
        <v>2003.825</v>
      </c>
    </row>
    <row r="951" customFormat="false" ht="16.4" hidden="false" customHeight="false" outlineLevel="0" collapsed="false">
      <c r="A951" s="4" t="s">
        <v>2420</v>
      </c>
      <c r="B951" s="6" t="n">
        <v>46117</v>
      </c>
      <c r="C951" s="4" t="s">
        <v>967</v>
      </c>
      <c r="D951" s="4" t="s">
        <v>192</v>
      </c>
      <c r="E951" s="4" t="s">
        <v>6</v>
      </c>
      <c r="F951" s="4" t="s">
        <v>19</v>
      </c>
      <c r="G951" s="4" t="n">
        <v>14</v>
      </c>
      <c r="H951" s="5" t="n">
        <v>54.12</v>
      </c>
      <c r="I951" s="5" t="n">
        <v>34.89</v>
      </c>
      <c r="J951" s="9" t="n">
        <v>0.1</v>
      </c>
      <c r="K951" s="5" t="n">
        <f aca="false">G951*H951*(1-J951)</f>
        <v>681.912</v>
      </c>
      <c r="L951" s="5" t="n">
        <f aca="false">K951-(G951*I951)</f>
        <v>193.452</v>
      </c>
    </row>
    <row r="952" customFormat="false" ht="16.4" hidden="false" customHeight="false" outlineLevel="0" collapsed="false">
      <c r="A952" s="4" t="s">
        <v>2421</v>
      </c>
      <c r="B952" s="6" t="n">
        <v>45973</v>
      </c>
      <c r="C952" s="4" t="s">
        <v>1081</v>
      </c>
      <c r="D952" s="4" t="s">
        <v>390</v>
      </c>
      <c r="E952" s="4" t="s">
        <v>18</v>
      </c>
      <c r="F952" s="4" t="s">
        <v>7</v>
      </c>
      <c r="G952" s="4" t="n">
        <v>5</v>
      </c>
      <c r="H952" s="5" t="n">
        <v>917.99</v>
      </c>
      <c r="I952" s="5" t="n">
        <v>396.04</v>
      </c>
      <c r="J952" s="9" t="n">
        <v>0.02</v>
      </c>
      <c r="K952" s="5" t="n">
        <f aca="false">G952*H952*(1-J952)</f>
        <v>4498.151</v>
      </c>
      <c r="L952" s="5" t="n">
        <f aca="false">K952-(G952*I952)</f>
        <v>2517.951</v>
      </c>
    </row>
    <row r="953" customFormat="false" ht="16.4" hidden="false" customHeight="false" outlineLevel="0" collapsed="false">
      <c r="A953" s="4" t="s">
        <v>2422</v>
      </c>
      <c r="B953" s="6" t="n">
        <v>45748</v>
      </c>
      <c r="C953" s="4" t="s">
        <v>989</v>
      </c>
      <c r="D953" s="4" t="s">
        <v>228</v>
      </c>
      <c r="E953" s="4" t="s">
        <v>30</v>
      </c>
      <c r="F953" s="4" t="s">
        <v>25</v>
      </c>
      <c r="G953" s="4" t="n">
        <v>7</v>
      </c>
      <c r="H953" s="5" t="n">
        <v>986.65</v>
      </c>
      <c r="I953" s="5" t="n">
        <v>641.77</v>
      </c>
      <c r="J953" s="9" t="n">
        <v>0.05</v>
      </c>
      <c r="K953" s="5" t="n">
        <f aca="false">G953*H953*(1-J953)</f>
        <v>6561.2225</v>
      </c>
      <c r="L953" s="5" t="n">
        <f aca="false">K953-(G953*I953)</f>
        <v>2068.8325</v>
      </c>
    </row>
    <row r="954" customFormat="false" ht="16.4" hidden="false" customHeight="false" outlineLevel="0" collapsed="false">
      <c r="A954" s="4" t="s">
        <v>2423</v>
      </c>
      <c r="B954" s="6" t="n">
        <v>45725</v>
      </c>
      <c r="C954" s="4" t="s">
        <v>739</v>
      </c>
      <c r="D954" s="4" t="s">
        <v>282</v>
      </c>
      <c r="E954" s="4" t="s">
        <v>12</v>
      </c>
      <c r="F954" s="4" t="s">
        <v>7</v>
      </c>
      <c r="G954" s="4" t="n">
        <v>19</v>
      </c>
      <c r="H954" s="5" t="n">
        <v>259.25</v>
      </c>
      <c r="I954" s="5" t="n">
        <v>92.85</v>
      </c>
      <c r="J954" s="9" t="n">
        <v>0.08</v>
      </c>
      <c r="K954" s="5" t="n">
        <f aca="false">G954*H954*(1-J954)</f>
        <v>4531.69</v>
      </c>
      <c r="L954" s="5" t="n">
        <f aca="false">K954-(G954*I954)</f>
        <v>2767.54</v>
      </c>
    </row>
    <row r="955" customFormat="false" ht="16.4" hidden="false" customHeight="false" outlineLevel="0" collapsed="false">
      <c r="A955" s="4" t="s">
        <v>2424</v>
      </c>
      <c r="B955" s="6" t="n">
        <v>45482</v>
      </c>
      <c r="C955" s="4" t="s">
        <v>897</v>
      </c>
      <c r="D955" s="4" t="s">
        <v>426</v>
      </c>
      <c r="E955" s="4" t="s">
        <v>24</v>
      </c>
      <c r="F955" s="4" t="s">
        <v>25</v>
      </c>
      <c r="G955" s="4" t="n">
        <v>12</v>
      </c>
      <c r="H955" s="5" t="n">
        <v>576.65</v>
      </c>
      <c r="I955" s="5" t="n">
        <v>425.38</v>
      </c>
      <c r="J955" s="9" t="n">
        <v>0.08</v>
      </c>
      <c r="K955" s="5" t="n">
        <f aca="false">G955*H955*(1-J955)</f>
        <v>6366.216</v>
      </c>
      <c r="L955" s="5" t="n">
        <f aca="false">K955-(G955*I955)</f>
        <v>1261.656</v>
      </c>
    </row>
    <row r="956" customFormat="false" ht="16.4" hidden="false" customHeight="false" outlineLevel="0" collapsed="false">
      <c r="A956" s="4" t="s">
        <v>2425</v>
      </c>
      <c r="B956" s="6" t="n">
        <v>45817</v>
      </c>
      <c r="C956" s="4" t="s">
        <v>901</v>
      </c>
      <c r="D956" s="4" t="s">
        <v>362</v>
      </c>
      <c r="E956" s="4" t="s">
        <v>24</v>
      </c>
      <c r="F956" s="4" t="s">
        <v>19</v>
      </c>
      <c r="G956" s="4" t="n">
        <v>3</v>
      </c>
      <c r="H956" s="5" t="n">
        <v>159.86</v>
      </c>
      <c r="I956" s="5" t="n">
        <v>70.33</v>
      </c>
      <c r="J956" s="9" t="n">
        <v>0</v>
      </c>
      <c r="K956" s="5" t="n">
        <f aca="false">G956*H956*(1-J956)</f>
        <v>479.58</v>
      </c>
      <c r="L956" s="5" t="n">
        <f aca="false">K956-(G956*I956)</f>
        <v>268.59</v>
      </c>
    </row>
    <row r="957" customFormat="false" ht="16.4" hidden="false" customHeight="false" outlineLevel="0" collapsed="false">
      <c r="A957" s="4" t="s">
        <v>2426</v>
      </c>
      <c r="B957" s="6" t="n">
        <v>45994</v>
      </c>
      <c r="C957" s="4" t="s">
        <v>1157</v>
      </c>
      <c r="D957" s="4" t="s">
        <v>276</v>
      </c>
      <c r="E957" s="4" t="s">
        <v>18</v>
      </c>
      <c r="F957" s="4" t="s">
        <v>13</v>
      </c>
      <c r="G957" s="4" t="n">
        <v>8</v>
      </c>
      <c r="H957" s="5" t="n">
        <v>908.61</v>
      </c>
      <c r="I957" s="5" t="n">
        <v>620.37</v>
      </c>
      <c r="J957" s="9" t="n">
        <v>0.1</v>
      </c>
      <c r="K957" s="5" t="n">
        <f aca="false">G957*H957*(1-J957)</f>
        <v>6541.992</v>
      </c>
      <c r="L957" s="5" t="n">
        <f aca="false">K957-(G957*I957)</f>
        <v>1579.032</v>
      </c>
    </row>
    <row r="958" customFormat="false" ht="16.4" hidden="false" customHeight="false" outlineLevel="0" collapsed="false">
      <c r="A958" s="4" t="s">
        <v>2427</v>
      </c>
      <c r="B958" s="6" t="n">
        <v>45829</v>
      </c>
      <c r="C958" s="4" t="s">
        <v>1003</v>
      </c>
      <c r="D958" s="4" t="s">
        <v>292</v>
      </c>
      <c r="E958" s="4" t="s">
        <v>30</v>
      </c>
      <c r="F958" s="4" t="s">
        <v>7</v>
      </c>
      <c r="G958" s="4" t="n">
        <v>21</v>
      </c>
      <c r="H958" s="5" t="n">
        <v>720.71</v>
      </c>
      <c r="I958" s="5" t="n">
        <v>491.69</v>
      </c>
      <c r="J958" s="9" t="n">
        <v>0.1</v>
      </c>
      <c r="K958" s="5" t="n">
        <f aca="false">G958*H958*(1-J958)</f>
        <v>13621.419</v>
      </c>
      <c r="L958" s="5" t="n">
        <f aca="false">K958-(G958*I958)</f>
        <v>3295.929</v>
      </c>
    </row>
    <row r="959" customFormat="false" ht="16.4" hidden="false" customHeight="false" outlineLevel="0" collapsed="false">
      <c r="A959" s="4" t="s">
        <v>2428</v>
      </c>
      <c r="B959" s="6" t="n">
        <v>46112</v>
      </c>
      <c r="C959" s="4" t="s">
        <v>943</v>
      </c>
      <c r="D959" s="4" t="s">
        <v>188</v>
      </c>
      <c r="E959" s="4" t="s">
        <v>6</v>
      </c>
      <c r="F959" s="4" t="s">
        <v>25</v>
      </c>
      <c r="G959" s="4" t="n">
        <v>14</v>
      </c>
      <c r="H959" s="5" t="n">
        <v>1063.86</v>
      </c>
      <c r="I959" s="5" t="n">
        <v>545.28</v>
      </c>
      <c r="J959" s="9" t="n">
        <v>0</v>
      </c>
      <c r="K959" s="5" t="n">
        <f aca="false">G959*H959*(1-J959)</f>
        <v>14894.04</v>
      </c>
      <c r="L959" s="5" t="n">
        <f aca="false">K959-(G959*I959)</f>
        <v>7260.12</v>
      </c>
    </row>
    <row r="960" customFormat="false" ht="16.4" hidden="false" customHeight="false" outlineLevel="0" collapsed="false">
      <c r="A960" s="4" t="s">
        <v>2429</v>
      </c>
      <c r="B960" s="6" t="n">
        <v>45599</v>
      </c>
      <c r="C960" s="4" t="s">
        <v>617</v>
      </c>
      <c r="D960" s="4" t="s">
        <v>192</v>
      </c>
      <c r="E960" s="4" t="s">
        <v>18</v>
      </c>
      <c r="F960" s="4" t="s">
        <v>13</v>
      </c>
      <c r="G960" s="4" t="n">
        <v>5</v>
      </c>
      <c r="H960" s="5" t="n">
        <v>54.12</v>
      </c>
      <c r="I960" s="5" t="n">
        <v>34.89</v>
      </c>
      <c r="J960" s="9" t="n">
        <v>0.1</v>
      </c>
      <c r="K960" s="5" t="n">
        <f aca="false">G960*H960*(1-J960)</f>
        <v>243.54</v>
      </c>
      <c r="L960" s="5" t="n">
        <f aca="false">K960-(G960*I960)</f>
        <v>69.09</v>
      </c>
    </row>
    <row r="961" customFormat="false" ht="16.4" hidden="false" customHeight="false" outlineLevel="0" collapsed="false">
      <c r="A961" s="4" t="s">
        <v>2430</v>
      </c>
      <c r="B961" s="6" t="n">
        <v>45340</v>
      </c>
      <c r="C961" s="4" t="s">
        <v>901</v>
      </c>
      <c r="D961" s="4" t="s">
        <v>306</v>
      </c>
      <c r="E961" s="4" t="s">
        <v>24</v>
      </c>
      <c r="F961" s="4" t="s">
        <v>7</v>
      </c>
      <c r="G961" s="4" t="n">
        <v>10</v>
      </c>
      <c r="H961" s="5" t="n">
        <v>995.24</v>
      </c>
      <c r="I961" s="5" t="n">
        <v>584.2</v>
      </c>
      <c r="J961" s="9" t="n">
        <v>0.08</v>
      </c>
      <c r="K961" s="5" t="n">
        <f aca="false">G961*H961*(1-J961)</f>
        <v>9156.208</v>
      </c>
      <c r="L961" s="5" t="n">
        <f aca="false">K961-(G961*I961)</f>
        <v>3314.208</v>
      </c>
    </row>
    <row r="962" customFormat="false" ht="16.4" hidden="false" customHeight="false" outlineLevel="0" collapsed="false">
      <c r="A962" s="4" t="s">
        <v>2431</v>
      </c>
      <c r="B962" s="6" t="n">
        <v>45727</v>
      </c>
      <c r="C962" s="4" t="s">
        <v>989</v>
      </c>
      <c r="D962" s="4" t="s">
        <v>62</v>
      </c>
      <c r="E962" s="4" t="s">
        <v>30</v>
      </c>
      <c r="F962" s="4" t="s">
        <v>25</v>
      </c>
      <c r="G962" s="4" t="n">
        <v>4</v>
      </c>
      <c r="H962" s="5" t="n">
        <v>351.62</v>
      </c>
      <c r="I962" s="5" t="n">
        <v>212.47</v>
      </c>
      <c r="J962" s="9" t="n">
        <v>0.08</v>
      </c>
      <c r="K962" s="5" t="n">
        <f aca="false">G962*H962*(1-J962)</f>
        <v>1293.9616</v>
      </c>
      <c r="L962" s="5" t="n">
        <f aca="false">K962-(G962*I962)</f>
        <v>444.0816</v>
      </c>
    </row>
    <row r="963" customFormat="false" ht="16.4" hidden="false" customHeight="false" outlineLevel="0" collapsed="false">
      <c r="A963" s="4" t="s">
        <v>2432</v>
      </c>
      <c r="B963" s="6" t="n">
        <v>45874</v>
      </c>
      <c r="C963" s="4" t="s">
        <v>939</v>
      </c>
      <c r="D963" s="4" t="s">
        <v>88</v>
      </c>
      <c r="E963" s="4" t="s">
        <v>12</v>
      </c>
      <c r="F963" s="4" t="s">
        <v>19</v>
      </c>
      <c r="G963" s="4" t="n">
        <v>22</v>
      </c>
      <c r="H963" s="5" t="n">
        <v>907.28</v>
      </c>
      <c r="I963" s="5" t="n">
        <v>596.48</v>
      </c>
      <c r="J963" s="9" t="n">
        <v>0.1</v>
      </c>
      <c r="K963" s="5" t="n">
        <f aca="false">G963*H963*(1-J963)</f>
        <v>17964.144</v>
      </c>
      <c r="L963" s="5" t="n">
        <f aca="false">K963-(G963*I963)</f>
        <v>4841.584</v>
      </c>
    </row>
    <row r="964" customFormat="false" ht="16.4" hidden="false" customHeight="false" outlineLevel="0" collapsed="false">
      <c r="A964" s="4" t="s">
        <v>2433</v>
      </c>
      <c r="B964" s="6" t="n">
        <v>46079</v>
      </c>
      <c r="C964" s="4" t="s">
        <v>725</v>
      </c>
      <c r="D964" s="4" t="s">
        <v>220</v>
      </c>
      <c r="E964" s="4" t="s">
        <v>12</v>
      </c>
      <c r="F964" s="4" t="s">
        <v>7</v>
      </c>
      <c r="G964" s="4" t="n">
        <v>19</v>
      </c>
      <c r="H964" s="5" t="n">
        <v>693.7</v>
      </c>
      <c r="I964" s="5" t="n">
        <v>355.47</v>
      </c>
      <c r="J964" s="9" t="n">
        <v>0</v>
      </c>
      <c r="K964" s="5" t="n">
        <f aca="false">G964*H964*(1-J964)</f>
        <v>13180.3</v>
      </c>
      <c r="L964" s="5" t="n">
        <f aca="false">K964-(G964*I964)</f>
        <v>6426.37</v>
      </c>
    </row>
    <row r="965" customFormat="false" ht="16.4" hidden="false" customHeight="false" outlineLevel="0" collapsed="false">
      <c r="A965" s="4" t="s">
        <v>2434</v>
      </c>
      <c r="B965" s="6" t="n">
        <v>45475</v>
      </c>
      <c r="C965" s="4" t="s">
        <v>1223</v>
      </c>
      <c r="D965" s="4" t="s">
        <v>98</v>
      </c>
      <c r="E965" s="4" t="s">
        <v>6</v>
      </c>
      <c r="F965" s="4" t="s">
        <v>13</v>
      </c>
      <c r="G965" s="4" t="n">
        <v>22</v>
      </c>
      <c r="H965" s="5" t="n">
        <v>47.89</v>
      </c>
      <c r="I965" s="5" t="n">
        <v>34.56</v>
      </c>
      <c r="J965" s="9" t="n">
        <v>0.05</v>
      </c>
      <c r="K965" s="5" t="n">
        <f aca="false">G965*H965*(1-J965)</f>
        <v>1000.901</v>
      </c>
      <c r="L965" s="5" t="n">
        <f aca="false">K965-(G965*I965)</f>
        <v>240.581</v>
      </c>
    </row>
    <row r="966" customFormat="false" ht="16.4" hidden="false" customHeight="false" outlineLevel="0" collapsed="false">
      <c r="A966" s="4" t="s">
        <v>2435</v>
      </c>
      <c r="B966" s="6" t="n">
        <v>46189</v>
      </c>
      <c r="C966" s="4" t="s">
        <v>508</v>
      </c>
      <c r="D966" s="4" t="s">
        <v>240</v>
      </c>
      <c r="E966" s="4" t="s">
        <v>12</v>
      </c>
      <c r="F966" s="4" t="s">
        <v>19</v>
      </c>
      <c r="G966" s="4" t="n">
        <v>3</v>
      </c>
      <c r="H966" s="5" t="n">
        <v>679.95</v>
      </c>
      <c r="I966" s="5" t="n">
        <v>487.52</v>
      </c>
      <c r="J966" s="9" t="n">
        <v>0.05</v>
      </c>
      <c r="K966" s="5" t="n">
        <f aca="false">G966*H966*(1-J966)</f>
        <v>1937.8575</v>
      </c>
      <c r="L966" s="5" t="n">
        <f aca="false">K966-(G966*I966)</f>
        <v>475.2975</v>
      </c>
    </row>
    <row r="967" customFormat="false" ht="16.4" hidden="false" customHeight="false" outlineLevel="0" collapsed="false">
      <c r="A967" s="4" t="s">
        <v>2436</v>
      </c>
      <c r="B967" s="6" t="n">
        <v>46067</v>
      </c>
      <c r="C967" s="4" t="s">
        <v>1065</v>
      </c>
      <c r="D967" s="4" t="s">
        <v>200</v>
      </c>
      <c r="E967" s="4" t="s">
        <v>18</v>
      </c>
      <c r="F967" s="4" t="s">
        <v>25</v>
      </c>
      <c r="G967" s="4" t="n">
        <v>24</v>
      </c>
      <c r="H967" s="5" t="n">
        <v>800.54</v>
      </c>
      <c r="I967" s="5" t="n">
        <v>407.78</v>
      </c>
      <c r="J967" s="9" t="n">
        <v>0.05</v>
      </c>
      <c r="K967" s="5" t="n">
        <f aca="false">G967*H967*(1-J967)</f>
        <v>18252.312</v>
      </c>
      <c r="L967" s="5" t="n">
        <f aca="false">K967-(G967*I967)</f>
        <v>8465.592</v>
      </c>
    </row>
    <row r="968" customFormat="false" ht="16.4" hidden="false" customHeight="false" outlineLevel="0" collapsed="false">
      <c r="A968" s="4" t="s">
        <v>2437</v>
      </c>
      <c r="B968" s="6" t="n">
        <v>46184</v>
      </c>
      <c r="C968" s="4" t="s">
        <v>1291</v>
      </c>
      <c r="D968" s="4" t="s">
        <v>358</v>
      </c>
      <c r="E968" s="4" t="s">
        <v>30</v>
      </c>
      <c r="F968" s="4" t="s">
        <v>13</v>
      </c>
      <c r="G968" s="4" t="n">
        <v>9</v>
      </c>
      <c r="H968" s="5" t="n">
        <v>855.67</v>
      </c>
      <c r="I968" s="5" t="n">
        <v>540.09</v>
      </c>
      <c r="J968" s="9" t="n">
        <v>0.02</v>
      </c>
      <c r="K968" s="5" t="n">
        <f aca="false">G968*H968*(1-J968)</f>
        <v>7547.0094</v>
      </c>
      <c r="L968" s="5" t="n">
        <f aca="false">K968-(G968*I968)</f>
        <v>2686.1994</v>
      </c>
    </row>
    <row r="969" customFormat="false" ht="16.4" hidden="false" customHeight="false" outlineLevel="0" collapsed="false">
      <c r="A969" s="4" t="s">
        <v>2438</v>
      </c>
      <c r="B969" s="6" t="n">
        <v>45910</v>
      </c>
      <c r="C969" s="4" t="s">
        <v>653</v>
      </c>
      <c r="D969" s="4" t="s">
        <v>148</v>
      </c>
      <c r="E969" s="4" t="s">
        <v>18</v>
      </c>
      <c r="F969" s="4" t="s">
        <v>19</v>
      </c>
      <c r="G969" s="4" t="n">
        <v>3</v>
      </c>
      <c r="H969" s="5" t="n">
        <v>104.85</v>
      </c>
      <c r="I969" s="5" t="n">
        <v>72.84</v>
      </c>
      <c r="J969" s="9" t="n">
        <v>0.1</v>
      </c>
      <c r="K969" s="5" t="n">
        <f aca="false">G969*H969*(1-J969)</f>
        <v>283.095</v>
      </c>
      <c r="L969" s="5" t="n">
        <f aca="false">K969-(G969*I969)</f>
        <v>64.575</v>
      </c>
    </row>
    <row r="970" customFormat="false" ht="16.4" hidden="false" customHeight="false" outlineLevel="0" collapsed="false">
      <c r="A970" s="4" t="s">
        <v>2439</v>
      </c>
      <c r="B970" s="6" t="n">
        <v>45310</v>
      </c>
      <c r="C970" s="4" t="s">
        <v>573</v>
      </c>
      <c r="D970" s="4" t="s">
        <v>384</v>
      </c>
      <c r="E970" s="4" t="s">
        <v>18</v>
      </c>
      <c r="F970" s="4" t="s">
        <v>7</v>
      </c>
      <c r="G970" s="4" t="n">
        <v>14</v>
      </c>
      <c r="H970" s="5" t="n">
        <v>128.47</v>
      </c>
      <c r="I970" s="5" t="n">
        <v>57.93</v>
      </c>
      <c r="J970" s="9" t="n">
        <v>0.08</v>
      </c>
      <c r="K970" s="5" t="n">
        <f aca="false">G970*H970*(1-J970)</f>
        <v>1654.6936</v>
      </c>
      <c r="L970" s="5" t="n">
        <f aca="false">K970-(G970*I970)</f>
        <v>843.6736</v>
      </c>
    </row>
    <row r="971" customFormat="false" ht="16.4" hidden="false" customHeight="false" outlineLevel="0" collapsed="false">
      <c r="A971" s="4" t="s">
        <v>2440</v>
      </c>
      <c r="B971" s="6" t="n">
        <v>45963</v>
      </c>
      <c r="C971" s="4" t="s">
        <v>583</v>
      </c>
      <c r="D971" s="4" t="s">
        <v>242</v>
      </c>
      <c r="E971" s="4" t="s">
        <v>18</v>
      </c>
      <c r="F971" s="4" t="s">
        <v>25</v>
      </c>
      <c r="G971" s="4" t="n">
        <v>1</v>
      </c>
      <c r="H971" s="5" t="n">
        <v>966.66</v>
      </c>
      <c r="I971" s="5" t="n">
        <v>596.46</v>
      </c>
      <c r="J971" s="9" t="n">
        <v>0</v>
      </c>
      <c r="K971" s="5" t="n">
        <f aca="false">G971*H971*(1-J971)</f>
        <v>966.66</v>
      </c>
      <c r="L971" s="5" t="n">
        <f aca="false">K971-(G971*I971)</f>
        <v>370.2</v>
      </c>
    </row>
    <row r="972" customFormat="false" ht="16.4" hidden="false" customHeight="false" outlineLevel="0" collapsed="false">
      <c r="A972" s="4" t="s">
        <v>2441</v>
      </c>
      <c r="B972" s="6" t="n">
        <v>45965</v>
      </c>
      <c r="C972" s="4" t="s">
        <v>1173</v>
      </c>
      <c r="D972" s="4" t="s">
        <v>274</v>
      </c>
      <c r="E972" s="4" t="s">
        <v>24</v>
      </c>
      <c r="F972" s="4" t="s">
        <v>25</v>
      </c>
      <c r="G972" s="4" t="n">
        <v>13</v>
      </c>
      <c r="H972" s="5" t="n">
        <v>273.7</v>
      </c>
      <c r="I972" s="5" t="n">
        <v>131.58</v>
      </c>
      <c r="J972" s="9" t="n">
        <v>0.15</v>
      </c>
      <c r="K972" s="5" t="n">
        <f aca="false">G972*H972*(1-J972)</f>
        <v>3024.385</v>
      </c>
      <c r="L972" s="5" t="n">
        <f aca="false">K972-(G972*I972)</f>
        <v>1313.845</v>
      </c>
    </row>
    <row r="973" customFormat="false" ht="16.4" hidden="false" customHeight="false" outlineLevel="0" collapsed="false">
      <c r="A973" s="4" t="s">
        <v>2442</v>
      </c>
      <c r="B973" s="6" t="n">
        <v>45999</v>
      </c>
      <c r="C973" s="4" t="s">
        <v>1097</v>
      </c>
      <c r="D973" s="4" t="s">
        <v>194</v>
      </c>
      <c r="E973" s="4" t="s">
        <v>18</v>
      </c>
      <c r="F973" s="4" t="s">
        <v>25</v>
      </c>
      <c r="G973" s="4" t="n">
        <v>20</v>
      </c>
      <c r="H973" s="5" t="n">
        <v>338.5</v>
      </c>
      <c r="I973" s="5" t="n">
        <v>225.09</v>
      </c>
      <c r="J973" s="9" t="n">
        <v>0.02</v>
      </c>
      <c r="K973" s="5" t="n">
        <f aca="false">G973*H973*(1-J973)</f>
        <v>6634.6</v>
      </c>
      <c r="L973" s="5" t="n">
        <f aca="false">K973-(G973*I973)</f>
        <v>2132.8</v>
      </c>
    </row>
    <row r="974" customFormat="false" ht="16.4" hidden="false" customHeight="false" outlineLevel="0" collapsed="false">
      <c r="A974" s="4" t="s">
        <v>2443</v>
      </c>
      <c r="B974" s="6" t="n">
        <v>45306</v>
      </c>
      <c r="C974" s="4" t="s">
        <v>553</v>
      </c>
      <c r="D974" s="4" t="s">
        <v>194</v>
      </c>
      <c r="E974" s="4" t="s">
        <v>6</v>
      </c>
      <c r="F974" s="4" t="s">
        <v>13</v>
      </c>
      <c r="G974" s="4" t="n">
        <v>5</v>
      </c>
      <c r="H974" s="5" t="n">
        <v>338.5</v>
      </c>
      <c r="I974" s="5" t="n">
        <v>225.09</v>
      </c>
      <c r="J974" s="9" t="n">
        <v>0</v>
      </c>
      <c r="K974" s="5" t="n">
        <f aca="false">G974*H974*(1-J974)</f>
        <v>1692.5</v>
      </c>
      <c r="L974" s="5" t="n">
        <f aca="false">K974-(G974*I974)</f>
        <v>567.05</v>
      </c>
    </row>
    <row r="975" customFormat="false" ht="16.4" hidden="false" customHeight="false" outlineLevel="0" collapsed="false">
      <c r="A975" s="4" t="s">
        <v>2444</v>
      </c>
      <c r="B975" s="6" t="n">
        <v>45484</v>
      </c>
      <c r="C975" s="4" t="s">
        <v>1299</v>
      </c>
      <c r="D975" s="4" t="s">
        <v>96</v>
      </c>
      <c r="E975" s="4" t="s">
        <v>30</v>
      </c>
      <c r="F975" s="4" t="s">
        <v>7</v>
      </c>
      <c r="G975" s="4" t="n">
        <v>1</v>
      </c>
      <c r="H975" s="5" t="n">
        <v>1145.36</v>
      </c>
      <c r="I975" s="5" t="n">
        <v>823.48</v>
      </c>
      <c r="J975" s="9" t="n">
        <v>0.1</v>
      </c>
      <c r="K975" s="5" t="n">
        <f aca="false">G975*H975*(1-J975)</f>
        <v>1030.824</v>
      </c>
      <c r="L975" s="5" t="n">
        <f aca="false">K975-(G975*I975)</f>
        <v>207.344</v>
      </c>
    </row>
    <row r="976" customFormat="false" ht="16.4" hidden="false" customHeight="false" outlineLevel="0" collapsed="false">
      <c r="A976" s="4" t="s">
        <v>2445</v>
      </c>
      <c r="B976" s="6" t="n">
        <v>45957</v>
      </c>
      <c r="C976" s="4" t="s">
        <v>957</v>
      </c>
      <c r="D976" s="4" t="s">
        <v>146</v>
      </c>
      <c r="E976" s="4" t="s">
        <v>6</v>
      </c>
      <c r="F976" s="4" t="s">
        <v>13</v>
      </c>
      <c r="G976" s="4" t="n">
        <v>21</v>
      </c>
      <c r="H976" s="5" t="n">
        <v>1153.92</v>
      </c>
      <c r="I976" s="5" t="n">
        <v>440.85</v>
      </c>
      <c r="J976" s="9" t="n">
        <v>0</v>
      </c>
      <c r="K976" s="5" t="n">
        <f aca="false">G976*H976*(1-J976)</f>
        <v>24232.32</v>
      </c>
      <c r="L976" s="5" t="n">
        <f aca="false">K976-(G976*I976)</f>
        <v>14974.47</v>
      </c>
    </row>
    <row r="977" customFormat="false" ht="16.4" hidden="false" customHeight="false" outlineLevel="0" collapsed="false">
      <c r="A977" s="4" t="s">
        <v>2446</v>
      </c>
      <c r="B977" s="6" t="n">
        <v>46100</v>
      </c>
      <c r="C977" s="4" t="s">
        <v>1327</v>
      </c>
      <c r="D977" s="4" t="s">
        <v>262</v>
      </c>
      <c r="E977" s="4" t="s">
        <v>18</v>
      </c>
      <c r="F977" s="4" t="s">
        <v>13</v>
      </c>
      <c r="G977" s="4" t="n">
        <v>21</v>
      </c>
      <c r="H977" s="5" t="n">
        <v>1027.8</v>
      </c>
      <c r="I977" s="5" t="n">
        <v>751.7</v>
      </c>
      <c r="J977" s="9" t="n">
        <v>0.15</v>
      </c>
      <c r="K977" s="5" t="n">
        <f aca="false">G977*H977*(1-J977)</f>
        <v>18346.23</v>
      </c>
      <c r="L977" s="5" t="n">
        <f aca="false">K977-(G977*I977)</f>
        <v>2560.53</v>
      </c>
    </row>
    <row r="978" customFormat="false" ht="16.4" hidden="false" customHeight="false" outlineLevel="0" collapsed="false">
      <c r="A978" s="4" t="s">
        <v>2447</v>
      </c>
      <c r="B978" s="6" t="n">
        <v>45443</v>
      </c>
      <c r="C978" s="4" t="s">
        <v>773</v>
      </c>
      <c r="D978" s="4" t="s">
        <v>84</v>
      </c>
      <c r="E978" s="4" t="s">
        <v>12</v>
      </c>
      <c r="F978" s="4" t="s">
        <v>25</v>
      </c>
      <c r="G978" s="4" t="n">
        <v>25</v>
      </c>
      <c r="H978" s="5" t="n">
        <v>473.4</v>
      </c>
      <c r="I978" s="5" t="n">
        <v>354.32</v>
      </c>
      <c r="J978" s="9" t="n">
        <v>0.05</v>
      </c>
      <c r="K978" s="5" t="n">
        <f aca="false">G978*H978*(1-J978)</f>
        <v>11243.25</v>
      </c>
      <c r="L978" s="5" t="n">
        <f aca="false">K978-(G978*I978)</f>
        <v>2385.25</v>
      </c>
    </row>
    <row r="979" customFormat="false" ht="16.4" hidden="false" customHeight="false" outlineLevel="0" collapsed="false">
      <c r="A979" s="4" t="s">
        <v>2448</v>
      </c>
      <c r="B979" s="6" t="n">
        <v>45448</v>
      </c>
      <c r="C979" s="4" t="s">
        <v>481</v>
      </c>
      <c r="D979" s="4" t="s">
        <v>256</v>
      </c>
      <c r="E979" s="4" t="s">
        <v>30</v>
      </c>
      <c r="F979" s="4" t="s">
        <v>25</v>
      </c>
      <c r="G979" s="4" t="n">
        <v>4</v>
      </c>
      <c r="H979" s="5" t="n">
        <v>512.47</v>
      </c>
      <c r="I979" s="5" t="n">
        <v>247.19</v>
      </c>
      <c r="J979" s="9" t="n">
        <v>0</v>
      </c>
      <c r="K979" s="5" t="n">
        <f aca="false">G979*H979*(1-J979)</f>
        <v>2049.88</v>
      </c>
      <c r="L979" s="5" t="n">
        <f aca="false">K979-(G979*I979)</f>
        <v>1061.12</v>
      </c>
    </row>
    <row r="980" customFormat="false" ht="16.4" hidden="false" customHeight="false" outlineLevel="0" collapsed="false">
      <c r="A980" s="4" t="s">
        <v>2449</v>
      </c>
      <c r="B980" s="6" t="n">
        <v>45752</v>
      </c>
      <c r="C980" s="4" t="s">
        <v>947</v>
      </c>
      <c r="D980" s="4" t="s">
        <v>288</v>
      </c>
      <c r="E980" s="4" t="s">
        <v>30</v>
      </c>
      <c r="F980" s="4" t="s">
        <v>13</v>
      </c>
      <c r="G980" s="4" t="n">
        <v>1</v>
      </c>
      <c r="H980" s="5" t="n">
        <v>1158.55</v>
      </c>
      <c r="I980" s="5" t="n">
        <v>455.59</v>
      </c>
      <c r="J980" s="9" t="n">
        <v>0.15</v>
      </c>
      <c r="K980" s="5" t="n">
        <f aca="false">G980*H980*(1-J980)</f>
        <v>984.7675</v>
      </c>
      <c r="L980" s="5" t="n">
        <f aca="false">K980-(G980*I980)</f>
        <v>529.1775</v>
      </c>
    </row>
    <row r="981" customFormat="false" ht="16.4" hidden="false" customHeight="false" outlineLevel="0" collapsed="false">
      <c r="A981" s="4" t="s">
        <v>2450</v>
      </c>
      <c r="B981" s="6" t="n">
        <v>46145</v>
      </c>
      <c r="C981" s="4" t="s">
        <v>765</v>
      </c>
      <c r="D981" s="4" t="s">
        <v>142</v>
      </c>
      <c r="E981" s="4" t="s">
        <v>6</v>
      </c>
      <c r="F981" s="4" t="s">
        <v>25</v>
      </c>
      <c r="G981" s="4" t="n">
        <v>19</v>
      </c>
      <c r="H981" s="5" t="n">
        <v>248.13</v>
      </c>
      <c r="I981" s="5" t="n">
        <v>108.45</v>
      </c>
      <c r="J981" s="9" t="n">
        <v>0.15</v>
      </c>
      <c r="K981" s="5" t="n">
        <f aca="false">G981*H981*(1-J981)</f>
        <v>4007.2995</v>
      </c>
      <c r="L981" s="5" t="n">
        <f aca="false">K981-(G981*I981)</f>
        <v>1946.7495</v>
      </c>
    </row>
    <row r="982" customFormat="false" ht="16.4" hidden="false" customHeight="false" outlineLevel="0" collapsed="false">
      <c r="A982" s="4" t="s">
        <v>2451</v>
      </c>
      <c r="B982" s="6" t="n">
        <v>45937</v>
      </c>
      <c r="C982" s="4" t="s">
        <v>805</v>
      </c>
      <c r="D982" s="4" t="s">
        <v>66</v>
      </c>
      <c r="E982" s="4" t="s">
        <v>6</v>
      </c>
      <c r="F982" s="4" t="s">
        <v>25</v>
      </c>
      <c r="G982" s="4" t="n">
        <v>1</v>
      </c>
      <c r="H982" s="5" t="n">
        <v>771.1</v>
      </c>
      <c r="I982" s="5" t="n">
        <v>434.64</v>
      </c>
      <c r="J982" s="9" t="n">
        <v>0</v>
      </c>
      <c r="K982" s="5" t="n">
        <f aca="false">G982*H982*(1-J982)</f>
        <v>771.1</v>
      </c>
      <c r="L982" s="5" t="n">
        <f aca="false">K982-(G982*I982)</f>
        <v>336.46</v>
      </c>
    </row>
    <row r="983" customFormat="false" ht="16.4" hidden="false" customHeight="false" outlineLevel="0" collapsed="false">
      <c r="A983" s="4" t="s">
        <v>2452</v>
      </c>
      <c r="B983" s="6" t="n">
        <v>45884</v>
      </c>
      <c r="C983" s="4" t="s">
        <v>1333</v>
      </c>
      <c r="D983" s="4" t="s">
        <v>252</v>
      </c>
      <c r="E983" s="4" t="s">
        <v>6</v>
      </c>
      <c r="F983" s="4" t="s">
        <v>19</v>
      </c>
      <c r="G983" s="4" t="n">
        <v>16</v>
      </c>
      <c r="H983" s="5" t="n">
        <v>300.53</v>
      </c>
      <c r="I983" s="5" t="n">
        <v>145.56</v>
      </c>
      <c r="J983" s="9" t="n">
        <v>0.1</v>
      </c>
      <c r="K983" s="5" t="n">
        <f aca="false">G983*H983*(1-J983)</f>
        <v>4327.632</v>
      </c>
      <c r="L983" s="5" t="n">
        <f aca="false">K983-(G983*I983)</f>
        <v>1998.672</v>
      </c>
    </row>
    <row r="984" customFormat="false" ht="16.4" hidden="false" customHeight="false" outlineLevel="0" collapsed="false">
      <c r="A984" s="4" t="s">
        <v>2453</v>
      </c>
      <c r="B984" s="6" t="n">
        <v>45817</v>
      </c>
      <c r="C984" s="4" t="s">
        <v>963</v>
      </c>
      <c r="D984" s="4" t="s">
        <v>58</v>
      </c>
      <c r="E984" s="4" t="s">
        <v>30</v>
      </c>
      <c r="F984" s="4" t="s">
        <v>25</v>
      </c>
      <c r="G984" s="4" t="n">
        <v>13</v>
      </c>
      <c r="H984" s="5" t="n">
        <v>250.94</v>
      </c>
      <c r="I984" s="5" t="n">
        <v>94.81</v>
      </c>
      <c r="J984" s="9" t="n">
        <v>0.05</v>
      </c>
      <c r="K984" s="5" t="n">
        <f aca="false">G984*H984*(1-J984)</f>
        <v>3099.109</v>
      </c>
      <c r="L984" s="5" t="n">
        <f aca="false">K984-(G984*I984)</f>
        <v>1866.579</v>
      </c>
    </row>
    <row r="985" customFormat="false" ht="16.4" hidden="false" customHeight="false" outlineLevel="0" collapsed="false">
      <c r="A985" s="4" t="s">
        <v>2454</v>
      </c>
      <c r="B985" s="6" t="n">
        <v>45311</v>
      </c>
      <c r="C985" s="4" t="s">
        <v>1195</v>
      </c>
      <c r="D985" s="4" t="s">
        <v>158</v>
      </c>
      <c r="E985" s="4" t="s">
        <v>12</v>
      </c>
      <c r="F985" s="4" t="s">
        <v>25</v>
      </c>
      <c r="G985" s="4" t="n">
        <v>2</v>
      </c>
      <c r="H985" s="5" t="n">
        <v>563.49</v>
      </c>
      <c r="I985" s="5" t="n">
        <v>422.27</v>
      </c>
      <c r="J985" s="9" t="n">
        <v>0.08</v>
      </c>
      <c r="K985" s="5" t="n">
        <f aca="false">G985*H985*(1-J985)</f>
        <v>1036.8216</v>
      </c>
      <c r="L985" s="5" t="n">
        <f aca="false">K985-(G985*I985)</f>
        <v>192.2816</v>
      </c>
    </row>
    <row r="986" customFormat="false" ht="16.4" hidden="false" customHeight="false" outlineLevel="0" collapsed="false">
      <c r="A986" s="4" t="s">
        <v>2455</v>
      </c>
      <c r="B986" s="6" t="n">
        <v>45566</v>
      </c>
      <c r="C986" s="4" t="s">
        <v>787</v>
      </c>
      <c r="D986" s="4" t="s">
        <v>334</v>
      </c>
      <c r="E986" s="4" t="s">
        <v>18</v>
      </c>
      <c r="F986" s="4" t="s">
        <v>25</v>
      </c>
      <c r="G986" s="4" t="n">
        <v>18</v>
      </c>
      <c r="H986" s="5" t="n">
        <v>41.62</v>
      </c>
      <c r="I986" s="5" t="n">
        <v>23.46</v>
      </c>
      <c r="J986" s="9" t="n">
        <v>0</v>
      </c>
      <c r="K986" s="5" t="n">
        <f aca="false">G986*H986*(1-J986)</f>
        <v>749.16</v>
      </c>
      <c r="L986" s="5" t="n">
        <f aca="false">K986-(G986*I986)</f>
        <v>326.88</v>
      </c>
    </row>
    <row r="987" customFormat="false" ht="16.4" hidden="false" customHeight="false" outlineLevel="0" collapsed="false">
      <c r="A987" s="4" t="s">
        <v>2456</v>
      </c>
      <c r="B987" s="6" t="n">
        <v>45953</v>
      </c>
      <c r="C987" s="4" t="s">
        <v>583</v>
      </c>
      <c r="D987" s="4" t="s">
        <v>282</v>
      </c>
      <c r="E987" s="4" t="s">
        <v>18</v>
      </c>
      <c r="F987" s="4" t="s">
        <v>19</v>
      </c>
      <c r="G987" s="4" t="n">
        <v>16</v>
      </c>
      <c r="H987" s="5" t="n">
        <v>259.25</v>
      </c>
      <c r="I987" s="5" t="n">
        <v>92.85</v>
      </c>
      <c r="J987" s="9" t="n">
        <v>0.08</v>
      </c>
      <c r="K987" s="5" t="n">
        <f aca="false">G987*H987*(1-J987)</f>
        <v>3816.16</v>
      </c>
      <c r="L987" s="5" t="n">
        <f aca="false">K987-(G987*I987)</f>
        <v>2330.56</v>
      </c>
    </row>
    <row r="988" customFormat="false" ht="16.4" hidden="false" customHeight="false" outlineLevel="0" collapsed="false">
      <c r="A988" s="4" t="s">
        <v>2457</v>
      </c>
      <c r="B988" s="6" t="n">
        <v>45457</v>
      </c>
      <c r="C988" s="4" t="s">
        <v>1179</v>
      </c>
      <c r="D988" s="4" t="s">
        <v>268</v>
      </c>
      <c r="E988" s="4" t="s">
        <v>18</v>
      </c>
      <c r="F988" s="4" t="s">
        <v>19</v>
      </c>
      <c r="G988" s="4" t="n">
        <v>14</v>
      </c>
      <c r="H988" s="5" t="n">
        <v>1105.46</v>
      </c>
      <c r="I988" s="5" t="n">
        <v>820.57</v>
      </c>
      <c r="J988" s="9" t="n">
        <v>0</v>
      </c>
      <c r="K988" s="5" t="n">
        <f aca="false">G988*H988*(1-J988)</f>
        <v>15476.44</v>
      </c>
      <c r="L988" s="5" t="n">
        <f aca="false">K988-(G988*I988)</f>
        <v>3988.46</v>
      </c>
    </row>
    <row r="989" customFormat="false" ht="16.4" hidden="false" customHeight="false" outlineLevel="0" collapsed="false">
      <c r="A989" s="4" t="s">
        <v>2458</v>
      </c>
      <c r="B989" s="6" t="n">
        <v>45740</v>
      </c>
      <c r="C989" s="4" t="s">
        <v>661</v>
      </c>
      <c r="D989" s="4" t="s">
        <v>410</v>
      </c>
      <c r="E989" s="4" t="s">
        <v>18</v>
      </c>
      <c r="F989" s="4" t="s">
        <v>13</v>
      </c>
      <c r="G989" s="4" t="n">
        <v>16</v>
      </c>
      <c r="H989" s="5" t="n">
        <v>549.69</v>
      </c>
      <c r="I989" s="5" t="n">
        <v>298.89</v>
      </c>
      <c r="J989" s="9" t="n">
        <v>0.02</v>
      </c>
      <c r="K989" s="5" t="n">
        <f aca="false">G989*H989*(1-J989)</f>
        <v>8619.1392</v>
      </c>
      <c r="L989" s="5" t="n">
        <f aca="false">K989-(G989*I989)</f>
        <v>3836.8992</v>
      </c>
    </row>
    <row r="990" customFormat="false" ht="16.4" hidden="false" customHeight="false" outlineLevel="0" collapsed="false">
      <c r="A990" s="4" t="s">
        <v>2459</v>
      </c>
      <c r="B990" s="6" t="n">
        <v>45639</v>
      </c>
      <c r="C990" s="4" t="s">
        <v>689</v>
      </c>
      <c r="D990" s="4" t="s">
        <v>298</v>
      </c>
      <c r="E990" s="4" t="s">
        <v>24</v>
      </c>
      <c r="F990" s="4" t="s">
        <v>25</v>
      </c>
      <c r="G990" s="4" t="n">
        <v>19</v>
      </c>
      <c r="H990" s="5" t="n">
        <v>1023.25</v>
      </c>
      <c r="I990" s="5" t="n">
        <v>694.72</v>
      </c>
      <c r="J990" s="9" t="n">
        <v>0.1</v>
      </c>
      <c r="K990" s="5" t="n">
        <f aca="false">G990*H990*(1-J990)</f>
        <v>17497.575</v>
      </c>
      <c r="L990" s="5" t="n">
        <f aca="false">K990-(G990*I990)</f>
        <v>4297.895</v>
      </c>
    </row>
    <row r="991" customFormat="false" ht="16.4" hidden="false" customHeight="false" outlineLevel="0" collapsed="false">
      <c r="A991" s="4" t="s">
        <v>2460</v>
      </c>
      <c r="B991" s="6" t="n">
        <v>46020</v>
      </c>
      <c r="C991" s="4" t="s">
        <v>1369</v>
      </c>
      <c r="D991" s="4" t="s">
        <v>106</v>
      </c>
      <c r="E991" s="4" t="s">
        <v>30</v>
      </c>
      <c r="F991" s="4" t="s">
        <v>25</v>
      </c>
      <c r="G991" s="4" t="n">
        <v>10</v>
      </c>
      <c r="H991" s="5" t="n">
        <v>1050.11</v>
      </c>
      <c r="I991" s="5" t="n">
        <v>545.28</v>
      </c>
      <c r="J991" s="9" t="n">
        <v>0.1</v>
      </c>
      <c r="K991" s="5" t="n">
        <f aca="false">G991*H991*(1-J991)</f>
        <v>9450.99</v>
      </c>
      <c r="L991" s="5" t="n">
        <f aca="false">K991-(G991*I991)</f>
        <v>3998.19</v>
      </c>
    </row>
    <row r="992" customFormat="false" ht="16.4" hidden="false" customHeight="false" outlineLevel="0" collapsed="false">
      <c r="A992" s="4" t="s">
        <v>2461</v>
      </c>
      <c r="B992" s="6" t="n">
        <v>46044</v>
      </c>
      <c r="C992" s="4" t="s">
        <v>1317</v>
      </c>
      <c r="D992" s="4" t="s">
        <v>252</v>
      </c>
      <c r="E992" s="4" t="s">
        <v>6</v>
      </c>
      <c r="F992" s="4" t="s">
        <v>19</v>
      </c>
      <c r="G992" s="4" t="n">
        <v>22</v>
      </c>
      <c r="H992" s="5" t="n">
        <v>300.53</v>
      </c>
      <c r="I992" s="5" t="n">
        <v>145.56</v>
      </c>
      <c r="J992" s="9" t="n">
        <v>0.1</v>
      </c>
      <c r="K992" s="5" t="n">
        <f aca="false">G992*H992*(1-J992)</f>
        <v>5950.494</v>
      </c>
      <c r="L992" s="5" t="n">
        <f aca="false">K992-(G992*I992)</f>
        <v>2748.174</v>
      </c>
    </row>
    <row r="993" customFormat="false" ht="16.4" hidden="false" customHeight="false" outlineLevel="0" collapsed="false">
      <c r="A993" s="4" t="s">
        <v>2462</v>
      </c>
      <c r="B993" s="6" t="n">
        <v>45504</v>
      </c>
      <c r="C993" s="4" t="s">
        <v>1283</v>
      </c>
      <c r="D993" s="4" t="s">
        <v>280</v>
      </c>
      <c r="E993" s="4" t="s">
        <v>12</v>
      </c>
      <c r="F993" s="4" t="s">
        <v>19</v>
      </c>
      <c r="G993" s="4" t="n">
        <v>6</v>
      </c>
      <c r="H993" s="5" t="n">
        <v>942.95</v>
      </c>
      <c r="I993" s="5" t="n">
        <v>575.86</v>
      </c>
      <c r="J993" s="9" t="n">
        <v>0.08</v>
      </c>
      <c r="K993" s="5" t="n">
        <f aca="false">G993*H993*(1-J993)</f>
        <v>5205.084</v>
      </c>
      <c r="L993" s="5" t="n">
        <f aca="false">K993-(G993*I993)</f>
        <v>1749.924</v>
      </c>
    </row>
    <row r="994" customFormat="false" ht="16.4" hidden="false" customHeight="false" outlineLevel="0" collapsed="false">
      <c r="A994" s="4" t="s">
        <v>2463</v>
      </c>
      <c r="B994" s="6" t="n">
        <v>45786</v>
      </c>
      <c r="C994" s="4" t="s">
        <v>1231</v>
      </c>
      <c r="D994" s="4" t="s">
        <v>392</v>
      </c>
      <c r="E994" s="4" t="s">
        <v>18</v>
      </c>
      <c r="F994" s="4" t="s">
        <v>13</v>
      </c>
      <c r="G994" s="4" t="n">
        <v>3</v>
      </c>
      <c r="H994" s="5" t="n">
        <v>539.79</v>
      </c>
      <c r="I994" s="5" t="n">
        <v>339.69</v>
      </c>
      <c r="J994" s="9" t="n">
        <v>0.1</v>
      </c>
      <c r="K994" s="5" t="n">
        <f aca="false">G994*H994*(1-J994)</f>
        <v>1457.433</v>
      </c>
      <c r="L994" s="5" t="n">
        <f aca="false">K994-(G994*I994)</f>
        <v>438.363</v>
      </c>
    </row>
    <row r="995" customFormat="false" ht="16.4" hidden="false" customHeight="false" outlineLevel="0" collapsed="false">
      <c r="A995" s="4" t="s">
        <v>2464</v>
      </c>
      <c r="B995" s="6" t="n">
        <v>45795</v>
      </c>
      <c r="C995" s="4" t="s">
        <v>669</v>
      </c>
      <c r="D995" s="4" t="s">
        <v>128</v>
      </c>
      <c r="E995" s="4" t="s">
        <v>24</v>
      </c>
      <c r="F995" s="4" t="s">
        <v>7</v>
      </c>
      <c r="G995" s="4" t="n">
        <v>6</v>
      </c>
      <c r="H995" s="5" t="n">
        <v>248.5</v>
      </c>
      <c r="I995" s="5" t="n">
        <v>131.57</v>
      </c>
      <c r="J995" s="9" t="n">
        <v>0.08</v>
      </c>
      <c r="K995" s="5" t="n">
        <f aca="false">G995*H995*(1-J995)</f>
        <v>1371.72</v>
      </c>
      <c r="L995" s="5" t="n">
        <f aca="false">K995-(G995*I995)</f>
        <v>582.3</v>
      </c>
    </row>
    <row r="996" customFormat="false" ht="16.4" hidden="false" customHeight="false" outlineLevel="0" collapsed="false">
      <c r="A996" s="4" t="s">
        <v>2465</v>
      </c>
      <c r="B996" s="6" t="n">
        <v>45532</v>
      </c>
      <c r="C996" s="4" t="s">
        <v>1429</v>
      </c>
      <c r="D996" s="4" t="s">
        <v>252</v>
      </c>
      <c r="E996" s="4" t="s">
        <v>18</v>
      </c>
      <c r="F996" s="4" t="s">
        <v>13</v>
      </c>
      <c r="G996" s="4" t="n">
        <v>16</v>
      </c>
      <c r="H996" s="5" t="n">
        <v>300.53</v>
      </c>
      <c r="I996" s="5" t="n">
        <v>145.56</v>
      </c>
      <c r="J996" s="9" t="n">
        <v>0.02</v>
      </c>
      <c r="K996" s="5" t="n">
        <f aca="false">G996*H996*(1-J996)</f>
        <v>4712.3104</v>
      </c>
      <c r="L996" s="5" t="n">
        <f aca="false">K996-(G996*I996)</f>
        <v>2383.3504</v>
      </c>
    </row>
    <row r="997" customFormat="false" ht="16.4" hidden="false" customHeight="false" outlineLevel="0" collapsed="false">
      <c r="A997" s="4" t="s">
        <v>2466</v>
      </c>
      <c r="B997" s="6" t="n">
        <v>46194</v>
      </c>
      <c r="C997" s="4" t="s">
        <v>510</v>
      </c>
      <c r="D997" s="4" t="s">
        <v>324</v>
      </c>
      <c r="E997" s="4" t="s">
        <v>24</v>
      </c>
      <c r="F997" s="4" t="s">
        <v>19</v>
      </c>
      <c r="G997" s="4" t="n">
        <v>1</v>
      </c>
      <c r="H997" s="5" t="n">
        <v>1196.04</v>
      </c>
      <c r="I997" s="5" t="n">
        <v>681.93</v>
      </c>
      <c r="J997" s="9" t="n">
        <v>0.02</v>
      </c>
      <c r="K997" s="5" t="n">
        <f aca="false">G997*H997*(1-J997)</f>
        <v>1172.1192</v>
      </c>
      <c r="L997" s="5" t="n">
        <f aca="false">K997-(G997*I997)</f>
        <v>490.1892</v>
      </c>
    </row>
    <row r="998" customFormat="false" ht="16.4" hidden="false" customHeight="false" outlineLevel="0" collapsed="false">
      <c r="A998" s="4" t="s">
        <v>2467</v>
      </c>
      <c r="B998" s="6" t="n">
        <v>46139</v>
      </c>
      <c r="C998" s="4" t="s">
        <v>1157</v>
      </c>
      <c r="D998" s="4" t="s">
        <v>222</v>
      </c>
      <c r="E998" s="4" t="s">
        <v>18</v>
      </c>
      <c r="F998" s="4" t="s">
        <v>7</v>
      </c>
      <c r="G998" s="4" t="n">
        <v>6</v>
      </c>
      <c r="H998" s="5" t="n">
        <v>362.12</v>
      </c>
      <c r="I998" s="5" t="n">
        <v>189.01</v>
      </c>
      <c r="J998" s="9" t="n">
        <v>0</v>
      </c>
      <c r="K998" s="5" t="n">
        <f aca="false">G998*H998*(1-J998)</f>
        <v>2172.72</v>
      </c>
      <c r="L998" s="5" t="n">
        <f aca="false">K998-(G998*I998)</f>
        <v>1038.66</v>
      </c>
    </row>
    <row r="999" customFormat="false" ht="16.4" hidden="false" customHeight="false" outlineLevel="0" collapsed="false">
      <c r="A999" s="4" t="s">
        <v>2468</v>
      </c>
      <c r="B999" s="6" t="n">
        <v>45924</v>
      </c>
      <c r="C999" s="4" t="s">
        <v>809</v>
      </c>
      <c r="D999" s="4" t="s">
        <v>72</v>
      </c>
      <c r="E999" s="4" t="s">
        <v>30</v>
      </c>
      <c r="F999" s="4" t="s">
        <v>13</v>
      </c>
      <c r="G999" s="4" t="n">
        <v>14</v>
      </c>
      <c r="H999" s="5" t="n">
        <v>496.37</v>
      </c>
      <c r="I999" s="5" t="n">
        <v>186.87</v>
      </c>
      <c r="J999" s="9" t="n">
        <v>0</v>
      </c>
      <c r="K999" s="5" t="n">
        <f aca="false">G999*H999*(1-J999)</f>
        <v>6949.18</v>
      </c>
      <c r="L999" s="5" t="n">
        <f aca="false">K999-(G999*I999)</f>
        <v>4333</v>
      </c>
    </row>
    <row r="1000" customFormat="false" ht="16.4" hidden="false" customHeight="false" outlineLevel="0" collapsed="false">
      <c r="A1000" s="4" t="s">
        <v>2469</v>
      </c>
      <c r="B1000" s="6" t="n">
        <v>45556</v>
      </c>
      <c r="C1000" s="4" t="s">
        <v>1039</v>
      </c>
      <c r="D1000" s="4" t="s">
        <v>100</v>
      </c>
      <c r="E1000" s="4" t="s">
        <v>12</v>
      </c>
      <c r="F1000" s="4" t="s">
        <v>19</v>
      </c>
      <c r="G1000" s="4" t="n">
        <v>8</v>
      </c>
      <c r="H1000" s="5" t="n">
        <v>93.06</v>
      </c>
      <c r="I1000" s="5" t="n">
        <v>65.25</v>
      </c>
      <c r="J1000" s="9" t="n">
        <v>0.05</v>
      </c>
      <c r="K1000" s="5" t="n">
        <f aca="false">G1000*H1000*(1-J1000)</f>
        <v>707.256</v>
      </c>
      <c r="L1000" s="5" t="n">
        <f aca="false">K1000-(G1000*I1000)</f>
        <v>185.256</v>
      </c>
    </row>
    <row r="1001" customFormat="false" ht="16.4" hidden="false" customHeight="false" outlineLevel="0" collapsed="false">
      <c r="A1001" s="4" t="s">
        <v>2470</v>
      </c>
      <c r="B1001" s="6" t="n">
        <v>46190</v>
      </c>
      <c r="C1001" s="4" t="s">
        <v>1251</v>
      </c>
      <c r="D1001" s="4" t="s">
        <v>220</v>
      </c>
      <c r="E1001" s="4" t="s">
        <v>24</v>
      </c>
      <c r="F1001" s="4" t="s">
        <v>19</v>
      </c>
      <c r="G1001" s="4" t="n">
        <v>2</v>
      </c>
      <c r="H1001" s="5" t="n">
        <v>693.7</v>
      </c>
      <c r="I1001" s="5" t="n">
        <v>355.47</v>
      </c>
      <c r="J1001" s="9" t="n">
        <v>0.15</v>
      </c>
      <c r="K1001" s="5" t="n">
        <f aca="false">G1001*H1001*(1-J1001)</f>
        <v>1179.29</v>
      </c>
      <c r="L1001" s="5" t="n">
        <f aca="false">K1001-(G1001*I1001)</f>
        <v>468.35</v>
      </c>
    </row>
  </sheetData>
  <conditionalFormatting sqref="L2:L1001">
    <cfRule type="cellIs" priority="2" operator="lessThan" aboveAverage="0" equalAverage="0" bottom="0" percent="0" rank="0" text="" dxfId="3">
      <formula>0</formula>
    </cfRule>
  </conditionalFormatting>
  <dataValidations count="2">
    <dataValidation allowBlank="false" errorStyle="stop" operator="between" showDropDown="false" showErrorMessage="false" showInputMessage="false" sqref="E2:E1001" type="list">
      <formula1>Lookups!$A$2:$A$6</formula1>
      <formula2>0</formula2>
    </dataValidation>
    <dataValidation allowBlank="false" errorStyle="stop" operator="between" showDropDown="false" showErrorMessage="false" showInputMessage="false" sqref="F2:F1001" type="list">
      <formula1>Lookups!$B$2:$B$5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3.62"/>
    <col collapsed="false" customWidth="true" hidden="false" outlineLevel="0" max="3" min="3" style="1" width="13.62"/>
    <col collapsed="false" customWidth="true" hidden="false" outlineLevel="0" max="4" min="4" style="1" width="8.23"/>
    <col collapsed="false" customWidth="true" hidden="false" outlineLevel="0" max="5" min="5" style="1" width="12.49"/>
    <col collapsed="false" customWidth="true" hidden="false" outlineLevel="0" max="6" min="6" style="1" width="8.51"/>
    <col collapsed="false" customWidth="true" hidden="false" outlineLevel="0" max="7" min="7" style="1" width="14.19"/>
    <col collapsed="false" customWidth="true" hidden="false" outlineLevel="0" max="8" min="8" style="1" width="7.38"/>
  </cols>
  <sheetData>
    <row r="1" customFormat="false" ht="28" hidden="false" customHeight="true" outlineLevel="0" collapsed="false">
      <c r="A1" s="3" t="s">
        <v>2471</v>
      </c>
      <c r="B1" s="3" t="s">
        <v>34</v>
      </c>
      <c r="C1" s="3" t="s">
        <v>2472</v>
      </c>
      <c r="D1" s="3" t="s">
        <v>2473</v>
      </c>
      <c r="E1" s="3" t="s">
        <v>2474</v>
      </c>
      <c r="F1" s="3" t="s">
        <v>37</v>
      </c>
      <c r="G1" s="3" t="s">
        <v>2475</v>
      </c>
      <c r="H1" s="3" t="s">
        <v>3</v>
      </c>
    </row>
    <row r="2" customFormat="false" ht="16.4" hidden="false" customHeight="false" outlineLevel="0" collapsed="false">
      <c r="A2" s="4" t="s">
        <v>2476</v>
      </c>
      <c r="B2" s="4" t="s">
        <v>116</v>
      </c>
      <c r="C2" s="4" t="s">
        <v>2477</v>
      </c>
      <c r="D2" s="4" t="n">
        <v>527</v>
      </c>
      <c r="E2" s="4" t="n">
        <v>76</v>
      </c>
      <c r="F2" s="5" t="n">
        <v>48.2</v>
      </c>
      <c r="G2" s="5" t="n">
        <f aca="false">D2*F2</f>
        <v>25401.4</v>
      </c>
      <c r="H2" s="4" t="s">
        <v>2478</v>
      </c>
    </row>
    <row r="3" customFormat="false" ht="16.4" hidden="false" customHeight="false" outlineLevel="0" collapsed="false">
      <c r="A3" s="4" t="s">
        <v>2479</v>
      </c>
      <c r="B3" s="4" t="s">
        <v>264</v>
      </c>
      <c r="C3" s="4" t="s">
        <v>2477</v>
      </c>
      <c r="D3" s="4" t="n">
        <v>468</v>
      </c>
      <c r="E3" s="4" t="n">
        <v>78</v>
      </c>
      <c r="F3" s="5" t="n">
        <v>148.29</v>
      </c>
      <c r="G3" s="5" t="n">
        <f aca="false">D3*F3</f>
        <v>69399.72</v>
      </c>
      <c r="H3" s="4" t="s">
        <v>2478</v>
      </c>
    </row>
    <row r="4" customFormat="false" ht="16.4" hidden="false" customHeight="false" outlineLevel="0" collapsed="false">
      <c r="A4" s="4" t="s">
        <v>2480</v>
      </c>
      <c r="B4" s="4" t="s">
        <v>352</v>
      </c>
      <c r="C4" s="4" t="s">
        <v>2481</v>
      </c>
      <c r="D4" s="4" t="n">
        <v>104</v>
      </c>
      <c r="E4" s="4" t="n">
        <v>60</v>
      </c>
      <c r="F4" s="5" t="n">
        <v>346.44</v>
      </c>
      <c r="G4" s="5" t="n">
        <f aca="false">D4*F4</f>
        <v>36029.76</v>
      </c>
      <c r="H4" s="4" t="s">
        <v>2478</v>
      </c>
    </row>
    <row r="5" customFormat="false" ht="16.4" hidden="false" customHeight="false" outlineLevel="0" collapsed="false">
      <c r="A5" s="4" t="s">
        <v>2482</v>
      </c>
      <c r="B5" s="4" t="s">
        <v>92</v>
      </c>
      <c r="C5" s="4" t="s">
        <v>2483</v>
      </c>
      <c r="D5" s="4" t="n">
        <v>171</v>
      </c>
      <c r="E5" s="4" t="n">
        <v>80</v>
      </c>
      <c r="F5" s="5" t="n">
        <v>509</v>
      </c>
      <c r="G5" s="5" t="n">
        <f aca="false">D5*F5</f>
        <v>87039</v>
      </c>
      <c r="H5" s="4" t="s">
        <v>2478</v>
      </c>
    </row>
    <row r="6" customFormat="false" ht="16.4" hidden="false" customHeight="false" outlineLevel="0" collapsed="false">
      <c r="A6" s="4" t="s">
        <v>2484</v>
      </c>
      <c r="B6" s="4" t="s">
        <v>224</v>
      </c>
      <c r="C6" s="4" t="s">
        <v>2485</v>
      </c>
      <c r="D6" s="4" t="n">
        <v>160</v>
      </c>
      <c r="E6" s="4" t="n">
        <v>124</v>
      </c>
      <c r="F6" s="5" t="n">
        <v>337.48</v>
      </c>
      <c r="G6" s="5" t="n">
        <f aca="false">D6*F6</f>
        <v>53996.8</v>
      </c>
      <c r="H6" s="4" t="s">
        <v>2478</v>
      </c>
    </row>
    <row r="7" customFormat="false" ht="16.4" hidden="false" customHeight="false" outlineLevel="0" collapsed="false">
      <c r="A7" s="4" t="s">
        <v>2486</v>
      </c>
      <c r="B7" s="4" t="s">
        <v>430</v>
      </c>
      <c r="C7" s="4" t="s">
        <v>2477</v>
      </c>
      <c r="D7" s="4" t="n">
        <v>518</v>
      </c>
      <c r="E7" s="4" t="n">
        <v>177</v>
      </c>
      <c r="F7" s="5" t="n">
        <v>536.83</v>
      </c>
      <c r="G7" s="5" t="n">
        <f aca="false">D7*F7</f>
        <v>278077.94</v>
      </c>
      <c r="H7" s="4" t="s">
        <v>2478</v>
      </c>
    </row>
    <row r="8" customFormat="false" ht="16.4" hidden="false" customHeight="false" outlineLevel="0" collapsed="false">
      <c r="A8" s="4" t="s">
        <v>2487</v>
      </c>
      <c r="B8" s="4" t="s">
        <v>118</v>
      </c>
      <c r="C8" s="4" t="s">
        <v>2483</v>
      </c>
      <c r="D8" s="4" t="n">
        <v>372</v>
      </c>
      <c r="E8" s="4" t="n">
        <v>135</v>
      </c>
      <c r="F8" s="5" t="n">
        <v>421.07</v>
      </c>
      <c r="G8" s="5" t="n">
        <f aca="false">D8*F8</f>
        <v>156638.04</v>
      </c>
      <c r="H8" s="4" t="s">
        <v>2478</v>
      </c>
    </row>
    <row r="9" customFormat="false" ht="16.4" hidden="false" customHeight="false" outlineLevel="0" collapsed="false">
      <c r="A9" s="4" t="s">
        <v>2488</v>
      </c>
      <c r="B9" s="4" t="s">
        <v>102</v>
      </c>
      <c r="C9" s="4" t="s">
        <v>2485</v>
      </c>
      <c r="D9" s="4" t="n">
        <v>206</v>
      </c>
      <c r="E9" s="4" t="n">
        <v>162</v>
      </c>
      <c r="F9" s="5" t="n">
        <v>729.21</v>
      </c>
      <c r="G9" s="5" t="n">
        <f aca="false">D9*F9</f>
        <v>150217.26</v>
      </c>
      <c r="H9" s="4" t="s">
        <v>2478</v>
      </c>
    </row>
    <row r="10" customFormat="false" ht="16.4" hidden="false" customHeight="false" outlineLevel="0" collapsed="false">
      <c r="A10" s="4" t="s">
        <v>2489</v>
      </c>
      <c r="B10" s="4" t="s">
        <v>432</v>
      </c>
      <c r="C10" s="4" t="s">
        <v>2485</v>
      </c>
      <c r="D10" s="4" t="n">
        <v>6</v>
      </c>
      <c r="E10" s="4" t="n">
        <v>112</v>
      </c>
      <c r="F10" s="5" t="n">
        <v>63.49</v>
      </c>
      <c r="G10" s="5" t="n">
        <f aca="false">D10*F10</f>
        <v>380.94</v>
      </c>
      <c r="H10" s="4" t="s">
        <v>2490</v>
      </c>
    </row>
    <row r="11" customFormat="false" ht="16.4" hidden="false" customHeight="false" outlineLevel="0" collapsed="false">
      <c r="A11" s="4" t="s">
        <v>2491</v>
      </c>
      <c r="B11" s="4" t="s">
        <v>214</v>
      </c>
      <c r="C11" s="4" t="s">
        <v>2483</v>
      </c>
      <c r="D11" s="4" t="n">
        <v>293</v>
      </c>
      <c r="E11" s="4" t="n">
        <v>179</v>
      </c>
      <c r="F11" s="5" t="n">
        <v>409.35</v>
      </c>
      <c r="G11" s="5" t="n">
        <f aca="false">D11*F11</f>
        <v>119939.55</v>
      </c>
      <c r="H11" s="4" t="s">
        <v>2478</v>
      </c>
    </row>
    <row r="12" customFormat="false" ht="16.4" hidden="false" customHeight="false" outlineLevel="0" collapsed="false">
      <c r="A12" s="4" t="s">
        <v>2492</v>
      </c>
      <c r="B12" s="4" t="s">
        <v>82</v>
      </c>
      <c r="C12" s="4" t="s">
        <v>2485</v>
      </c>
      <c r="D12" s="4" t="n">
        <v>272</v>
      </c>
      <c r="E12" s="4" t="n">
        <v>145</v>
      </c>
      <c r="F12" s="5" t="n">
        <v>508.29</v>
      </c>
      <c r="G12" s="5" t="n">
        <f aca="false">D12*F12</f>
        <v>138254.88</v>
      </c>
      <c r="H12" s="4" t="s">
        <v>2478</v>
      </c>
    </row>
    <row r="13" customFormat="false" ht="16.4" hidden="false" customHeight="false" outlineLevel="0" collapsed="false">
      <c r="A13" s="4" t="s">
        <v>2493</v>
      </c>
      <c r="B13" s="4" t="s">
        <v>224</v>
      </c>
      <c r="C13" s="4" t="s">
        <v>2481</v>
      </c>
      <c r="D13" s="4" t="n">
        <v>251</v>
      </c>
      <c r="E13" s="4" t="n">
        <v>88</v>
      </c>
      <c r="F13" s="5" t="n">
        <v>337.48</v>
      </c>
      <c r="G13" s="5" t="n">
        <f aca="false">D13*F13</f>
        <v>84707.48</v>
      </c>
      <c r="H13" s="4" t="s">
        <v>2478</v>
      </c>
    </row>
    <row r="14" customFormat="false" ht="16.4" hidden="false" customHeight="false" outlineLevel="0" collapsed="false">
      <c r="A14" s="4" t="s">
        <v>2494</v>
      </c>
      <c r="B14" s="4" t="s">
        <v>254</v>
      </c>
      <c r="C14" s="4" t="s">
        <v>2485</v>
      </c>
      <c r="D14" s="4" t="n">
        <v>233</v>
      </c>
      <c r="E14" s="4" t="n">
        <v>85</v>
      </c>
      <c r="F14" s="5" t="n">
        <v>101.76</v>
      </c>
      <c r="G14" s="5" t="n">
        <f aca="false">D14*F14</f>
        <v>23710.08</v>
      </c>
      <c r="H14" s="4" t="s">
        <v>2478</v>
      </c>
    </row>
    <row r="15" customFormat="false" ht="16.4" hidden="false" customHeight="false" outlineLevel="0" collapsed="false">
      <c r="A15" s="4" t="s">
        <v>2495</v>
      </c>
      <c r="B15" s="4" t="s">
        <v>250</v>
      </c>
      <c r="C15" s="4" t="s">
        <v>2481</v>
      </c>
      <c r="D15" s="4" t="n">
        <v>419</v>
      </c>
      <c r="E15" s="4" t="n">
        <v>167</v>
      </c>
      <c r="F15" s="5" t="n">
        <v>264.92</v>
      </c>
      <c r="G15" s="5" t="n">
        <f aca="false">D15*F15</f>
        <v>111001.48</v>
      </c>
      <c r="H15" s="4" t="s">
        <v>2478</v>
      </c>
    </row>
    <row r="16" customFormat="false" ht="16.4" hidden="false" customHeight="false" outlineLevel="0" collapsed="false">
      <c r="A16" s="4" t="s">
        <v>2496</v>
      </c>
      <c r="B16" s="4" t="s">
        <v>388</v>
      </c>
      <c r="C16" s="4" t="s">
        <v>2485</v>
      </c>
      <c r="D16" s="4" t="n">
        <v>370</v>
      </c>
      <c r="E16" s="4" t="n">
        <v>57</v>
      </c>
      <c r="F16" s="5" t="n">
        <v>49.43</v>
      </c>
      <c r="G16" s="5" t="n">
        <f aca="false">D16*F16</f>
        <v>18289.1</v>
      </c>
      <c r="H16" s="4" t="s">
        <v>2478</v>
      </c>
    </row>
    <row r="17" customFormat="false" ht="16.4" hidden="false" customHeight="false" outlineLevel="0" collapsed="false">
      <c r="A17" s="4" t="s">
        <v>2497</v>
      </c>
      <c r="B17" s="4" t="s">
        <v>114</v>
      </c>
      <c r="C17" s="4" t="s">
        <v>2477</v>
      </c>
      <c r="D17" s="4" t="n">
        <v>10</v>
      </c>
      <c r="E17" s="4" t="n">
        <v>67</v>
      </c>
      <c r="F17" s="5" t="n">
        <v>320.02</v>
      </c>
      <c r="G17" s="5" t="n">
        <f aca="false">D17*F17</f>
        <v>3200.2</v>
      </c>
      <c r="H17" s="4" t="s">
        <v>2490</v>
      </c>
    </row>
    <row r="18" customFormat="false" ht="16.4" hidden="false" customHeight="false" outlineLevel="0" collapsed="false">
      <c r="A18" s="4" t="s">
        <v>2498</v>
      </c>
      <c r="B18" s="4" t="s">
        <v>212</v>
      </c>
      <c r="C18" s="4" t="s">
        <v>2483</v>
      </c>
      <c r="D18" s="4" t="n">
        <v>322</v>
      </c>
      <c r="E18" s="4" t="n">
        <v>152</v>
      </c>
      <c r="F18" s="5" t="n">
        <v>387.95</v>
      </c>
      <c r="G18" s="5" t="n">
        <f aca="false">D18*F18</f>
        <v>124919.9</v>
      </c>
      <c r="H18" s="4" t="s">
        <v>2478</v>
      </c>
    </row>
    <row r="19" customFormat="false" ht="16.4" hidden="false" customHeight="false" outlineLevel="0" collapsed="false">
      <c r="A19" s="4" t="s">
        <v>2499</v>
      </c>
      <c r="B19" s="4" t="s">
        <v>262</v>
      </c>
      <c r="C19" s="4" t="s">
        <v>2477</v>
      </c>
      <c r="D19" s="4" t="n">
        <v>62</v>
      </c>
      <c r="E19" s="4" t="n">
        <v>150</v>
      </c>
      <c r="F19" s="5" t="n">
        <v>751.7</v>
      </c>
      <c r="G19" s="5" t="n">
        <f aca="false">D19*F19</f>
        <v>46605.4</v>
      </c>
      <c r="H19" s="4" t="s">
        <v>2490</v>
      </c>
    </row>
    <row r="20" customFormat="false" ht="16.4" hidden="false" customHeight="false" outlineLevel="0" collapsed="false">
      <c r="A20" s="4" t="s">
        <v>2500</v>
      </c>
      <c r="B20" s="4" t="s">
        <v>378</v>
      </c>
      <c r="C20" s="4" t="s">
        <v>2481</v>
      </c>
      <c r="D20" s="4" t="n">
        <v>154</v>
      </c>
      <c r="E20" s="4" t="n">
        <v>64</v>
      </c>
      <c r="F20" s="5" t="n">
        <v>626.04</v>
      </c>
      <c r="G20" s="5" t="n">
        <f aca="false">D20*F20</f>
        <v>96410.16</v>
      </c>
      <c r="H20" s="4" t="s">
        <v>2478</v>
      </c>
    </row>
    <row r="21" customFormat="false" ht="16.4" hidden="false" customHeight="false" outlineLevel="0" collapsed="false">
      <c r="A21" s="4" t="s">
        <v>2501</v>
      </c>
      <c r="B21" s="4" t="s">
        <v>190</v>
      </c>
      <c r="C21" s="4" t="s">
        <v>2481</v>
      </c>
      <c r="D21" s="4" t="n">
        <v>429</v>
      </c>
      <c r="E21" s="4" t="n">
        <v>152</v>
      </c>
      <c r="F21" s="5" t="n">
        <v>770.78</v>
      </c>
      <c r="G21" s="5" t="n">
        <f aca="false">D21*F21</f>
        <v>330664.62</v>
      </c>
      <c r="H21" s="4" t="s">
        <v>2478</v>
      </c>
    </row>
    <row r="22" customFormat="false" ht="16.4" hidden="false" customHeight="false" outlineLevel="0" collapsed="false">
      <c r="A22" s="4" t="s">
        <v>2502</v>
      </c>
      <c r="B22" s="4" t="s">
        <v>194</v>
      </c>
      <c r="C22" s="4" t="s">
        <v>2477</v>
      </c>
      <c r="D22" s="4" t="n">
        <v>321</v>
      </c>
      <c r="E22" s="4" t="n">
        <v>138</v>
      </c>
      <c r="F22" s="5" t="n">
        <v>225.09</v>
      </c>
      <c r="G22" s="5" t="n">
        <f aca="false">D22*F22</f>
        <v>72253.89</v>
      </c>
      <c r="H22" s="4" t="s">
        <v>2478</v>
      </c>
    </row>
    <row r="23" customFormat="false" ht="16.4" hidden="false" customHeight="false" outlineLevel="0" collapsed="false">
      <c r="A23" s="4" t="s">
        <v>2503</v>
      </c>
      <c r="B23" s="4" t="s">
        <v>182</v>
      </c>
      <c r="C23" s="4" t="s">
        <v>2485</v>
      </c>
      <c r="D23" s="4" t="n">
        <v>540</v>
      </c>
      <c r="E23" s="4" t="n">
        <v>87</v>
      </c>
      <c r="F23" s="5" t="n">
        <v>290.33</v>
      </c>
      <c r="G23" s="5" t="n">
        <f aca="false">D23*F23</f>
        <v>156778.2</v>
      </c>
      <c r="H23" s="4" t="s">
        <v>2478</v>
      </c>
    </row>
    <row r="24" customFormat="false" ht="16.4" hidden="false" customHeight="false" outlineLevel="0" collapsed="false">
      <c r="A24" s="4" t="s">
        <v>2504</v>
      </c>
      <c r="B24" s="4" t="s">
        <v>268</v>
      </c>
      <c r="C24" s="4" t="s">
        <v>2505</v>
      </c>
      <c r="D24" s="4" t="n">
        <v>210</v>
      </c>
      <c r="E24" s="4" t="n">
        <v>163</v>
      </c>
      <c r="F24" s="5" t="n">
        <v>820.57</v>
      </c>
      <c r="G24" s="5" t="n">
        <f aca="false">D24*F24</f>
        <v>172319.7</v>
      </c>
      <c r="H24" s="4" t="s">
        <v>2478</v>
      </c>
    </row>
    <row r="25" customFormat="false" ht="16.4" hidden="false" customHeight="false" outlineLevel="0" collapsed="false">
      <c r="A25" s="4" t="s">
        <v>2506</v>
      </c>
      <c r="B25" s="4" t="s">
        <v>372</v>
      </c>
      <c r="C25" s="4" t="s">
        <v>2505</v>
      </c>
      <c r="D25" s="4" t="n">
        <v>414</v>
      </c>
      <c r="E25" s="4" t="n">
        <v>100</v>
      </c>
      <c r="F25" s="5" t="n">
        <v>790.63</v>
      </c>
      <c r="G25" s="5" t="n">
        <f aca="false">D25*F25</f>
        <v>327320.82</v>
      </c>
      <c r="H25" s="4" t="s">
        <v>2478</v>
      </c>
    </row>
    <row r="26" customFormat="false" ht="16.4" hidden="false" customHeight="false" outlineLevel="0" collapsed="false">
      <c r="A26" s="4" t="s">
        <v>2507</v>
      </c>
      <c r="B26" s="4" t="s">
        <v>82</v>
      </c>
      <c r="C26" s="4" t="s">
        <v>2485</v>
      </c>
      <c r="D26" s="4" t="n">
        <v>37</v>
      </c>
      <c r="E26" s="4" t="n">
        <v>135</v>
      </c>
      <c r="F26" s="5" t="n">
        <v>508.29</v>
      </c>
      <c r="G26" s="5" t="n">
        <f aca="false">D26*F26</f>
        <v>18806.73</v>
      </c>
      <c r="H26" s="4" t="s">
        <v>2490</v>
      </c>
    </row>
    <row r="27" customFormat="false" ht="16.4" hidden="false" customHeight="false" outlineLevel="0" collapsed="false">
      <c r="A27" s="4" t="s">
        <v>2508</v>
      </c>
      <c r="B27" s="4" t="s">
        <v>410</v>
      </c>
      <c r="C27" s="4" t="s">
        <v>2483</v>
      </c>
      <c r="D27" s="4" t="n">
        <v>129</v>
      </c>
      <c r="E27" s="4" t="n">
        <v>122</v>
      </c>
      <c r="F27" s="5" t="n">
        <v>298.89</v>
      </c>
      <c r="G27" s="5" t="n">
        <f aca="false">D27*F27</f>
        <v>38556.81</v>
      </c>
      <c r="H27" s="4" t="s">
        <v>2478</v>
      </c>
    </row>
    <row r="28" customFormat="false" ht="16.4" hidden="false" customHeight="false" outlineLevel="0" collapsed="false">
      <c r="A28" s="4" t="s">
        <v>2509</v>
      </c>
      <c r="B28" s="4" t="s">
        <v>86</v>
      </c>
      <c r="C28" s="4" t="s">
        <v>2481</v>
      </c>
      <c r="D28" s="4" t="n">
        <v>523</v>
      </c>
      <c r="E28" s="4" t="n">
        <v>129</v>
      </c>
      <c r="F28" s="5" t="n">
        <v>367.51</v>
      </c>
      <c r="G28" s="5" t="n">
        <f aca="false">D28*F28</f>
        <v>192207.73</v>
      </c>
      <c r="H28" s="4" t="s">
        <v>2478</v>
      </c>
    </row>
    <row r="29" customFormat="false" ht="16.4" hidden="false" customHeight="false" outlineLevel="0" collapsed="false">
      <c r="A29" s="4" t="s">
        <v>2510</v>
      </c>
      <c r="B29" s="4" t="s">
        <v>214</v>
      </c>
      <c r="C29" s="4" t="s">
        <v>2477</v>
      </c>
      <c r="D29" s="4" t="n">
        <v>163</v>
      </c>
      <c r="E29" s="4" t="n">
        <v>55</v>
      </c>
      <c r="F29" s="5" t="n">
        <v>409.35</v>
      </c>
      <c r="G29" s="5" t="n">
        <f aca="false">D29*F29</f>
        <v>66724.05</v>
      </c>
      <c r="H29" s="4" t="s">
        <v>2478</v>
      </c>
    </row>
    <row r="30" customFormat="false" ht="16.4" hidden="false" customHeight="false" outlineLevel="0" collapsed="false">
      <c r="A30" s="4" t="s">
        <v>2511</v>
      </c>
      <c r="B30" s="4" t="s">
        <v>316</v>
      </c>
      <c r="C30" s="4" t="s">
        <v>2505</v>
      </c>
      <c r="D30" s="4" t="n">
        <v>264</v>
      </c>
      <c r="E30" s="4" t="n">
        <v>111</v>
      </c>
      <c r="F30" s="5" t="n">
        <v>437.64</v>
      </c>
      <c r="G30" s="5" t="n">
        <f aca="false">D30*F30</f>
        <v>115536.96</v>
      </c>
      <c r="H30" s="4" t="s">
        <v>2478</v>
      </c>
    </row>
    <row r="31" customFormat="false" ht="16.4" hidden="false" customHeight="false" outlineLevel="0" collapsed="false">
      <c r="A31" s="4" t="s">
        <v>2512</v>
      </c>
      <c r="B31" s="4" t="s">
        <v>410</v>
      </c>
      <c r="C31" s="4" t="s">
        <v>2477</v>
      </c>
      <c r="D31" s="4" t="n">
        <v>432</v>
      </c>
      <c r="E31" s="4" t="n">
        <v>179</v>
      </c>
      <c r="F31" s="5" t="n">
        <v>298.89</v>
      </c>
      <c r="G31" s="5" t="n">
        <f aca="false">D31*F31</f>
        <v>129120.48</v>
      </c>
      <c r="H31" s="4" t="s">
        <v>2478</v>
      </c>
    </row>
    <row r="32" customFormat="false" ht="16.4" hidden="false" customHeight="false" outlineLevel="0" collapsed="false">
      <c r="A32" s="4" t="s">
        <v>2513</v>
      </c>
      <c r="B32" s="4" t="s">
        <v>414</v>
      </c>
      <c r="C32" s="4" t="s">
        <v>2505</v>
      </c>
      <c r="D32" s="4" t="n">
        <v>61</v>
      </c>
      <c r="E32" s="4" t="n">
        <v>145</v>
      </c>
      <c r="F32" s="5" t="n">
        <v>328.89</v>
      </c>
      <c r="G32" s="5" t="n">
        <f aca="false">D32*F32</f>
        <v>20062.29</v>
      </c>
      <c r="H32" s="4" t="s">
        <v>2490</v>
      </c>
    </row>
    <row r="33" customFormat="false" ht="16.4" hidden="false" customHeight="false" outlineLevel="0" collapsed="false">
      <c r="A33" s="4" t="s">
        <v>2514</v>
      </c>
      <c r="B33" s="4" t="s">
        <v>360</v>
      </c>
      <c r="C33" s="4" t="s">
        <v>2477</v>
      </c>
      <c r="D33" s="4" t="n">
        <v>519</v>
      </c>
      <c r="E33" s="4" t="n">
        <v>140</v>
      </c>
      <c r="F33" s="5" t="n">
        <v>738.69</v>
      </c>
      <c r="G33" s="5" t="n">
        <f aca="false">D33*F33</f>
        <v>383380.11</v>
      </c>
      <c r="H33" s="4" t="s">
        <v>2478</v>
      </c>
    </row>
    <row r="34" customFormat="false" ht="16.4" hidden="false" customHeight="false" outlineLevel="0" collapsed="false">
      <c r="A34" s="4" t="s">
        <v>2515</v>
      </c>
      <c r="B34" s="4" t="s">
        <v>64</v>
      </c>
      <c r="C34" s="4" t="s">
        <v>2505</v>
      </c>
      <c r="D34" s="4" t="n">
        <v>127</v>
      </c>
      <c r="E34" s="4" t="n">
        <v>164</v>
      </c>
      <c r="F34" s="5" t="n">
        <v>273.46</v>
      </c>
      <c r="G34" s="5" t="n">
        <f aca="false">D34*F34</f>
        <v>34729.42</v>
      </c>
      <c r="H34" s="4" t="s">
        <v>2490</v>
      </c>
    </row>
    <row r="35" customFormat="false" ht="16.4" hidden="false" customHeight="false" outlineLevel="0" collapsed="false">
      <c r="A35" s="4" t="s">
        <v>2516</v>
      </c>
      <c r="B35" s="4" t="s">
        <v>332</v>
      </c>
      <c r="C35" s="4" t="s">
        <v>2505</v>
      </c>
      <c r="D35" s="4" t="n">
        <v>5</v>
      </c>
      <c r="E35" s="4" t="n">
        <v>166</v>
      </c>
      <c r="F35" s="5" t="n">
        <v>470.06</v>
      </c>
      <c r="G35" s="5" t="n">
        <f aca="false">D35*F35</f>
        <v>2350.3</v>
      </c>
      <c r="H35" s="4" t="s">
        <v>2490</v>
      </c>
    </row>
    <row r="36" customFormat="false" ht="16.4" hidden="false" customHeight="false" outlineLevel="0" collapsed="false">
      <c r="A36" s="4" t="s">
        <v>2517</v>
      </c>
      <c r="B36" s="4" t="s">
        <v>160</v>
      </c>
      <c r="C36" s="4" t="s">
        <v>2505</v>
      </c>
      <c r="D36" s="4" t="n">
        <v>595</v>
      </c>
      <c r="E36" s="4" t="n">
        <v>109</v>
      </c>
      <c r="F36" s="5" t="n">
        <v>125.63</v>
      </c>
      <c r="G36" s="5" t="n">
        <f aca="false">D36*F36</f>
        <v>74749.85</v>
      </c>
      <c r="H36" s="4" t="s">
        <v>2478</v>
      </c>
    </row>
    <row r="37" customFormat="false" ht="16.4" hidden="false" customHeight="false" outlineLevel="0" collapsed="false">
      <c r="A37" s="4" t="s">
        <v>2518</v>
      </c>
      <c r="B37" s="4" t="s">
        <v>192</v>
      </c>
      <c r="C37" s="4" t="s">
        <v>2485</v>
      </c>
      <c r="D37" s="4" t="n">
        <v>291</v>
      </c>
      <c r="E37" s="4" t="n">
        <v>85</v>
      </c>
      <c r="F37" s="5" t="n">
        <v>34.89</v>
      </c>
      <c r="G37" s="5" t="n">
        <f aca="false">D37*F37</f>
        <v>10152.99</v>
      </c>
      <c r="H37" s="4" t="s">
        <v>2478</v>
      </c>
    </row>
    <row r="38" customFormat="false" ht="16.4" hidden="false" customHeight="false" outlineLevel="0" collapsed="false">
      <c r="A38" s="4" t="s">
        <v>2519</v>
      </c>
      <c r="B38" s="4" t="s">
        <v>306</v>
      </c>
      <c r="C38" s="4" t="s">
        <v>2505</v>
      </c>
      <c r="D38" s="4" t="n">
        <v>253</v>
      </c>
      <c r="E38" s="4" t="n">
        <v>76</v>
      </c>
      <c r="F38" s="5" t="n">
        <v>584.2</v>
      </c>
      <c r="G38" s="5" t="n">
        <f aca="false">D38*F38</f>
        <v>147802.6</v>
      </c>
      <c r="H38" s="4" t="s">
        <v>2478</v>
      </c>
    </row>
    <row r="39" customFormat="false" ht="16.4" hidden="false" customHeight="false" outlineLevel="0" collapsed="false">
      <c r="A39" s="4" t="s">
        <v>2520</v>
      </c>
      <c r="B39" s="4" t="s">
        <v>304</v>
      </c>
      <c r="C39" s="4" t="s">
        <v>2505</v>
      </c>
      <c r="D39" s="4" t="n">
        <v>596</v>
      </c>
      <c r="E39" s="4" t="n">
        <v>99</v>
      </c>
      <c r="F39" s="5" t="n">
        <v>550.93</v>
      </c>
      <c r="G39" s="5" t="n">
        <f aca="false">D39*F39</f>
        <v>328354.28</v>
      </c>
      <c r="H39" s="4" t="s">
        <v>2478</v>
      </c>
    </row>
    <row r="40" customFormat="false" ht="16.4" hidden="false" customHeight="false" outlineLevel="0" collapsed="false">
      <c r="A40" s="4" t="s">
        <v>2521</v>
      </c>
      <c r="B40" s="4" t="s">
        <v>272</v>
      </c>
      <c r="C40" s="4" t="s">
        <v>2485</v>
      </c>
      <c r="D40" s="4" t="n">
        <v>100</v>
      </c>
      <c r="E40" s="4" t="n">
        <v>87</v>
      </c>
      <c r="F40" s="5" t="n">
        <v>441.1</v>
      </c>
      <c r="G40" s="5" t="n">
        <f aca="false">D40*F40</f>
        <v>44110</v>
      </c>
      <c r="H40" s="4" t="s">
        <v>2478</v>
      </c>
    </row>
    <row r="41" customFormat="false" ht="16.4" hidden="false" customHeight="false" outlineLevel="0" collapsed="false">
      <c r="A41" s="4" t="s">
        <v>2522</v>
      </c>
      <c r="B41" s="4" t="s">
        <v>250</v>
      </c>
      <c r="C41" s="4" t="s">
        <v>2477</v>
      </c>
      <c r="D41" s="4" t="n">
        <v>83</v>
      </c>
      <c r="E41" s="4" t="n">
        <v>73</v>
      </c>
      <c r="F41" s="5" t="n">
        <v>264.92</v>
      </c>
      <c r="G41" s="5" t="n">
        <f aca="false">D41*F41</f>
        <v>21988.36</v>
      </c>
      <c r="H41" s="4" t="s">
        <v>2478</v>
      </c>
    </row>
    <row r="42" customFormat="false" ht="16.4" hidden="false" customHeight="false" outlineLevel="0" collapsed="false">
      <c r="A42" s="4" t="s">
        <v>2523</v>
      </c>
      <c r="B42" s="4" t="s">
        <v>256</v>
      </c>
      <c r="C42" s="4" t="s">
        <v>2483</v>
      </c>
      <c r="D42" s="4" t="n">
        <v>133</v>
      </c>
      <c r="E42" s="4" t="n">
        <v>171</v>
      </c>
      <c r="F42" s="5" t="n">
        <v>247.19</v>
      </c>
      <c r="G42" s="5" t="n">
        <f aca="false">D42*F42</f>
        <v>32876.27</v>
      </c>
      <c r="H42" s="4" t="s">
        <v>2490</v>
      </c>
    </row>
    <row r="43" customFormat="false" ht="16.4" hidden="false" customHeight="false" outlineLevel="0" collapsed="false">
      <c r="A43" s="4" t="s">
        <v>2524</v>
      </c>
      <c r="B43" s="4" t="s">
        <v>268</v>
      </c>
      <c r="C43" s="4" t="s">
        <v>2481</v>
      </c>
      <c r="D43" s="4" t="n">
        <v>79</v>
      </c>
      <c r="E43" s="4" t="n">
        <v>144</v>
      </c>
      <c r="F43" s="5" t="n">
        <v>820.57</v>
      </c>
      <c r="G43" s="5" t="n">
        <f aca="false">D43*F43</f>
        <v>64825.03</v>
      </c>
      <c r="H43" s="4" t="s">
        <v>2490</v>
      </c>
    </row>
    <row r="44" customFormat="false" ht="16.4" hidden="false" customHeight="false" outlineLevel="0" collapsed="false">
      <c r="A44" s="4" t="s">
        <v>2525</v>
      </c>
      <c r="B44" s="4" t="s">
        <v>246</v>
      </c>
      <c r="C44" s="4" t="s">
        <v>2505</v>
      </c>
      <c r="D44" s="4" t="n">
        <v>572</v>
      </c>
      <c r="E44" s="4" t="n">
        <v>151</v>
      </c>
      <c r="F44" s="5" t="n">
        <v>227.08</v>
      </c>
      <c r="G44" s="5" t="n">
        <f aca="false">D44*F44</f>
        <v>129889.76</v>
      </c>
      <c r="H44" s="4" t="s">
        <v>2478</v>
      </c>
    </row>
    <row r="45" customFormat="false" ht="16.4" hidden="false" customHeight="false" outlineLevel="0" collapsed="false">
      <c r="A45" s="4" t="s">
        <v>2526</v>
      </c>
      <c r="B45" s="4" t="s">
        <v>338</v>
      </c>
      <c r="C45" s="4" t="s">
        <v>2485</v>
      </c>
      <c r="D45" s="4" t="n">
        <v>510</v>
      </c>
      <c r="E45" s="4" t="n">
        <v>158</v>
      </c>
      <c r="F45" s="5" t="n">
        <v>608.87</v>
      </c>
      <c r="G45" s="5" t="n">
        <f aca="false">D45*F45</f>
        <v>310523.7</v>
      </c>
      <c r="H45" s="4" t="s">
        <v>2478</v>
      </c>
    </row>
    <row r="46" customFormat="false" ht="16.4" hidden="false" customHeight="false" outlineLevel="0" collapsed="false">
      <c r="A46" s="4" t="s">
        <v>2527</v>
      </c>
      <c r="B46" s="4" t="s">
        <v>392</v>
      </c>
      <c r="C46" s="4" t="s">
        <v>2483</v>
      </c>
      <c r="D46" s="4" t="n">
        <v>501</v>
      </c>
      <c r="E46" s="4" t="n">
        <v>156</v>
      </c>
      <c r="F46" s="5" t="n">
        <v>339.69</v>
      </c>
      <c r="G46" s="5" t="n">
        <f aca="false">D46*F46</f>
        <v>170184.69</v>
      </c>
      <c r="H46" s="4" t="s">
        <v>2478</v>
      </c>
    </row>
    <row r="47" customFormat="false" ht="16.4" hidden="false" customHeight="false" outlineLevel="0" collapsed="false">
      <c r="A47" s="4" t="s">
        <v>2528</v>
      </c>
      <c r="B47" s="4" t="s">
        <v>112</v>
      </c>
      <c r="C47" s="4" t="s">
        <v>2485</v>
      </c>
      <c r="D47" s="4" t="n">
        <v>517</v>
      </c>
      <c r="E47" s="4" t="n">
        <v>82</v>
      </c>
      <c r="F47" s="5" t="n">
        <v>316.62</v>
      </c>
      <c r="G47" s="5" t="n">
        <f aca="false">D47*F47</f>
        <v>163692.54</v>
      </c>
      <c r="H47" s="4" t="s">
        <v>2478</v>
      </c>
    </row>
    <row r="48" customFormat="false" ht="16.4" hidden="false" customHeight="false" outlineLevel="0" collapsed="false">
      <c r="A48" s="4" t="s">
        <v>2529</v>
      </c>
      <c r="B48" s="4" t="s">
        <v>404</v>
      </c>
      <c r="C48" s="4" t="s">
        <v>2481</v>
      </c>
      <c r="D48" s="4" t="n">
        <v>468</v>
      </c>
      <c r="E48" s="4" t="n">
        <v>83</v>
      </c>
      <c r="F48" s="5" t="n">
        <v>436.6</v>
      </c>
      <c r="G48" s="5" t="n">
        <f aca="false">D48*F48</f>
        <v>204328.8</v>
      </c>
      <c r="H48" s="4" t="s">
        <v>2478</v>
      </c>
    </row>
    <row r="49" customFormat="false" ht="16.4" hidden="false" customHeight="false" outlineLevel="0" collapsed="false">
      <c r="A49" s="4" t="s">
        <v>2530</v>
      </c>
      <c r="B49" s="4" t="s">
        <v>310</v>
      </c>
      <c r="C49" s="4" t="s">
        <v>2485</v>
      </c>
      <c r="D49" s="4" t="n">
        <v>120</v>
      </c>
      <c r="E49" s="4" t="n">
        <v>104</v>
      </c>
      <c r="F49" s="5" t="n">
        <v>372.25</v>
      </c>
      <c r="G49" s="5" t="n">
        <f aca="false">D49*F49</f>
        <v>44670</v>
      </c>
      <c r="H49" s="4" t="s">
        <v>2478</v>
      </c>
    </row>
    <row r="50" customFormat="false" ht="16.4" hidden="false" customHeight="false" outlineLevel="0" collapsed="false">
      <c r="A50" s="4" t="s">
        <v>2531</v>
      </c>
      <c r="B50" s="4" t="s">
        <v>282</v>
      </c>
      <c r="C50" s="4" t="s">
        <v>2481</v>
      </c>
      <c r="D50" s="4" t="n">
        <v>33</v>
      </c>
      <c r="E50" s="4" t="n">
        <v>90</v>
      </c>
      <c r="F50" s="5" t="n">
        <v>92.85</v>
      </c>
      <c r="G50" s="5" t="n">
        <f aca="false">D50*F50</f>
        <v>3064.05</v>
      </c>
      <c r="H50" s="4" t="s">
        <v>2490</v>
      </c>
    </row>
    <row r="51" customFormat="false" ht="16.4" hidden="false" customHeight="false" outlineLevel="0" collapsed="false">
      <c r="A51" s="4" t="s">
        <v>2532</v>
      </c>
      <c r="B51" s="4" t="s">
        <v>228</v>
      </c>
      <c r="C51" s="4" t="s">
        <v>2477</v>
      </c>
      <c r="D51" s="4" t="n">
        <v>121</v>
      </c>
      <c r="E51" s="4" t="n">
        <v>154</v>
      </c>
      <c r="F51" s="5" t="n">
        <v>641.77</v>
      </c>
      <c r="G51" s="5" t="n">
        <f aca="false">D51*F51</f>
        <v>77654.17</v>
      </c>
      <c r="H51" s="4" t="s">
        <v>2490</v>
      </c>
    </row>
    <row r="52" customFormat="false" ht="16.4" hidden="false" customHeight="false" outlineLevel="0" collapsed="false">
      <c r="A52" s="4" t="s">
        <v>2533</v>
      </c>
      <c r="B52" s="4" t="s">
        <v>100</v>
      </c>
      <c r="C52" s="4" t="s">
        <v>2477</v>
      </c>
      <c r="D52" s="4" t="n">
        <v>378</v>
      </c>
      <c r="E52" s="4" t="n">
        <v>124</v>
      </c>
      <c r="F52" s="5" t="n">
        <v>65.25</v>
      </c>
      <c r="G52" s="5" t="n">
        <f aca="false">D52*F52</f>
        <v>24664.5</v>
      </c>
      <c r="H52" s="4" t="s">
        <v>2478</v>
      </c>
    </row>
    <row r="53" customFormat="false" ht="16.4" hidden="false" customHeight="false" outlineLevel="0" collapsed="false">
      <c r="A53" s="4" t="s">
        <v>2534</v>
      </c>
      <c r="B53" s="4" t="s">
        <v>306</v>
      </c>
      <c r="C53" s="4" t="s">
        <v>2505</v>
      </c>
      <c r="D53" s="4" t="n">
        <v>156</v>
      </c>
      <c r="E53" s="4" t="n">
        <v>80</v>
      </c>
      <c r="F53" s="5" t="n">
        <v>584.2</v>
      </c>
      <c r="G53" s="5" t="n">
        <f aca="false">D53*F53</f>
        <v>91135.2</v>
      </c>
      <c r="H53" s="4" t="s">
        <v>2478</v>
      </c>
    </row>
    <row r="54" customFormat="false" ht="16.4" hidden="false" customHeight="false" outlineLevel="0" collapsed="false">
      <c r="A54" s="4" t="s">
        <v>2535</v>
      </c>
      <c r="B54" s="4" t="s">
        <v>196</v>
      </c>
      <c r="C54" s="4" t="s">
        <v>2505</v>
      </c>
      <c r="D54" s="4" t="n">
        <v>383</v>
      </c>
      <c r="E54" s="4" t="n">
        <v>127</v>
      </c>
      <c r="F54" s="5" t="n">
        <v>453.83</v>
      </c>
      <c r="G54" s="5" t="n">
        <f aca="false">D54*F54</f>
        <v>173816.89</v>
      </c>
      <c r="H54" s="4" t="s">
        <v>2478</v>
      </c>
    </row>
    <row r="55" customFormat="false" ht="16.4" hidden="false" customHeight="false" outlineLevel="0" collapsed="false">
      <c r="A55" s="4" t="s">
        <v>2536</v>
      </c>
      <c r="B55" s="4" t="s">
        <v>288</v>
      </c>
      <c r="C55" s="4" t="s">
        <v>2483</v>
      </c>
      <c r="D55" s="4" t="n">
        <v>28</v>
      </c>
      <c r="E55" s="4" t="n">
        <v>86</v>
      </c>
      <c r="F55" s="5" t="n">
        <v>455.59</v>
      </c>
      <c r="G55" s="5" t="n">
        <f aca="false">D55*F55</f>
        <v>12756.52</v>
      </c>
      <c r="H55" s="4" t="s">
        <v>2490</v>
      </c>
    </row>
    <row r="56" customFormat="false" ht="16.4" hidden="false" customHeight="false" outlineLevel="0" collapsed="false">
      <c r="A56" s="4" t="s">
        <v>2537</v>
      </c>
      <c r="B56" s="4" t="s">
        <v>340</v>
      </c>
      <c r="C56" s="4" t="s">
        <v>2505</v>
      </c>
      <c r="D56" s="4" t="n">
        <v>431</v>
      </c>
      <c r="E56" s="4" t="n">
        <v>62</v>
      </c>
      <c r="F56" s="5" t="n">
        <v>313.13</v>
      </c>
      <c r="G56" s="5" t="n">
        <f aca="false">D56*F56</f>
        <v>134959.03</v>
      </c>
      <c r="H56" s="4" t="s">
        <v>2478</v>
      </c>
    </row>
    <row r="57" customFormat="false" ht="16.4" hidden="false" customHeight="false" outlineLevel="0" collapsed="false">
      <c r="A57" s="4" t="s">
        <v>2538</v>
      </c>
      <c r="B57" s="4" t="s">
        <v>184</v>
      </c>
      <c r="C57" s="4" t="s">
        <v>2485</v>
      </c>
      <c r="D57" s="4" t="n">
        <v>220</v>
      </c>
      <c r="E57" s="4" t="n">
        <v>96</v>
      </c>
      <c r="F57" s="5" t="n">
        <v>327.97</v>
      </c>
      <c r="G57" s="5" t="n">
        <f aca="false">D57*F57</f>
        <v>72153.4</v>
      </c>
      <c r="H57" s="4" t="s">
        <v>2478</v>
      </c>
    </row>
    <row r="58" customFormat="false" ht="16.4" hidden="false" customHeight="false" outlineLevel="0" collapsed="false">
      <c r="A58" s="4" t="s">
        <v>2539</v>
      </c>
      <c r="B58" s="4" t="s">
        <v>40</v>
      </c>
      <c r="C58" s="4" t="s">
        <v>2477</v>
      </c>
      <c r="D58" s="4" t="n">
        <v>125</v>
      </c>
      <c r="E58" s="4" t="n">
        <v>139</v>
      </c>
      <c r="F58" s="5" t="n">
        <v>25.02</v>
      </c>
      <c r="G58" s="5" t="n">
        <f aca="false">D58*F58</f>
        <v>3127.5</v>
      </c>
      <c r="H58" s="4" t="s">
        <v>2490</v>
      </c>
    </row>
    <row r="59" customFormat="false" ht="16.4" hidden="false" customHeight="false" outlineLevel="0" collapsed="false">
      <c r="A59" s="4" t="s">
        <v>2540</v>
      </c>
      <c r="B59" s="4" t="s">
        <v>62</v>
      </c>
      <c r="C59" s="4" t="s">
        <v>2481</v>
      </c>
      <c r="D59" s="4" t="n">
        <v>427</v>
      </c>
      <c r="E59" s="4" t="n">
        <v>173</v>
      </c>
      <c r="F59" s="5" t="n">
        <v>212.47</v>
      </c>
      <c r="G59" s="5" t="n">
        <f aca="false">D59*F59</f>
        <v>90724.69</v>
      </c>
      <c r="H59" s="4" t="s">
        <v>2478</v>
      </c>
    </row>
    <row r="60" customFormat="false" ht="16.4" hidden="false" customHeight="false" outlineLevel="0" collapsed="false">
      <c r="A60" s="4" t="s">
        <v>2541</v>
      </c>
      <c r="B60" s="4" t="s">
        <v>198</v>
      </c>
      <c r="C60" s="4" t="s">
        <v>2505</v>
      </c>
      <c r="D60" s="4" t="n">
        <v>579</v>
      </c>
      <c r="E60" s="4" t="n">
        <v>165</v>
      </c>
      <c r="F60" s="5" t="n">
        <v>256.3</v>
      </c>
      <c r="G60" s="5" t="n">
        <f aca="false">D60*F60</f>
        <v>148397.7</v>
      </c>
      <c r="H60" s="4" t="s">
        <v>2478</v>
      </c>
    </row>
    <row r="61" customFormat="false" ht="16.4" hidden="false" customHeight="false" outlineLevel="0" collapsed="false">
      <c r="A61" s="4" t="s">
        <v>2542</v>
      </c>
      <c r="B61" s="4" t="s">
        <v>232</v>
      </c>
      <c r="C61" s="4" t="s">
        <v>2483</v>
      </c>
      <c r="D61" s="4" t="n">
        <v>486</v>
      </c>
      <c r="E61" s="4" t="n">
        <v>83</v>
      </c>
      <c r="F61" s="5" t="n">
        <v>488.61</v>
      </c>
      <c r="G61" s="5" t="n">
        <f aca="false">D61*F61</f>
        <v>237464.46</v>
      </c>
      <c r="H61" s="4" t="s">
        <v>2478</v>
      </c>
    </row>
    <row r="62" customFormat="false" ht="16.4" hidden="false" customHeight="false" outlineLevel="0" collapsed="false">
      <c r="A62" s="4" t="s">
        <v>2543</v>
      </c>
      <c r="B62" s="4" t="s">
        <v>298</v>
      </c>
      <c r="C62" s="4" t="s">
        <v>2485</v>
      </c>
      <c r="D62" s="4" t="n">
        <v>471</v>
      </c>
      <c r="E62" s="4" t="n">
        <v>165</v>
      </c>
      <c r="F62" s="5" t="n">
        <v>694.72</v>
      </c>
      <c r="G62" s="5" t="n">
        <f aca="false">D62*F62</f>
        <v>327213.12</v>
      </c>
      <c r="H62" s="4" t="s">
        <v>2478</v>
      </c>
    </row>
    <row r="63" customFormat="false" ht="16.4" hidden="false" customHeight="false" outlineLevel="0" collapsed="false">
      <c r="A63" s="4" t="s">
        <v>2544</v>
      </c>
      <c r="B63" s="4" t="s">
        <v>116</v>
      </c>
      <c r="C63" s="4" t="s">
        <v>2481</v>
      </c>
      <c r="D63" s="4" t="n">
        <v>333</v>
      </c>
      <c r="E63" s="4" t="n">
        <v>72</v>
      </c>
      <c r="F63" s="5" t="n">
        <v>48.2</v>
      </c>
      <c r="G63" s="5" t="n">
        <f aca="false">D63*F63</f>
        <v>16050.6</v>
      </c>
      <c r="H63" s="4" t="s">
        <v>2478</v>
      </c>
    </row>
    <row r="64" customFormat="false" ht="16.4" hidden="false" customHeight="false" outlineLevel="0" collapsed="false">
      <c r="A64" s="4" t="s">
        <v>2545</v>
      </c>
      <c r="B64" s="4" t="s">
        <v>380</v>
      </c>
      <c r="C64" s="4" t="s">
        <v>2483</v>
      </c>
      <c r="D64" s="4" t="n">
        <v>419</v>
      </c>
      <c r="E64" s="4" t="n">
        <v>149</v>
      </c>
      <c r="F64" s="5" t="n">
        <v>563.08</v>
      </c>
      <c r="G64" s="5" t="n">
        <f aca="false">D64*F64</f>
        <v>235930.52</v>
      </c>
      <c r="H64" s="4" t="s">
        <v>2478</v>
      </c>
    </row>
    <row r="65" customFormat="false" ht="16.4" hidden="false" customHeight="false" outlineLevel="0" collapsed="false">
      <c r="A65" s="4" t="s">
        <v>2546</v>
      </c>
      <c r="B65" s="4" t="s">
        <v>242</v>
      </c>
      <c r="C65" s="4" t="s">
        <v>2485</v>
      </c>
      <c r="D65" s="4" t="n">
        <v>347</v>
      </c>
      <c r="E65" s="4" t="n">
        <v>61</v>
      </c>
      <c r="F65" s="5" t="n">
        <v>596.46</v>
      </c>
      <c r="G65" s="5" t="n">
        <f aca="false">D65*F65</f>
        <v>206971.62</v>
      </c>
      <c r="H65" s="4" t="s">
        <v>2478</v>
      </c>
    </row>
    <row r="66" customFormat="false" ht="16.4" hidden="false" customHeight="false" outlineLevel="0" collapsed="false">
      <c r="A66" s="4" t="s">
        <v>2547</v>
      </c>
      <c r="B66" s="4" t="s">
        <v>416</v>
      </c>
      <c r="C66" s="4" t="s">
        <v>2483</v>
      </c>
      <c r="D66" s="4" t="n">
        <v>284</v>
      </c>
      <c r="E66" s="4" t="n">
        <v>72</v>
      </c>
      <c r="F66" s="5" t="n">
        <v>568.9</v>
      </c>
      <c r="G66" s="5" t="n">
        <f aca="false">D66*F66</f>
        <v>161567.6</v>
      </c>
      <c r="H66" s="4" t="s">
        <v>2478</v>
      </c>
    </row>
    <row r="67" customFormat="false" ht="16.4" hidden="false" customHeight="false" outlineLevel="0" collapsed="false">
      <c r="A67" s="4" t="s">
        <v>2548</v>
      </c>
      <c r="B67" s="4" t="s">
        <v>402</v>
      </c>
      <c r="C67" s="4" t="s">
        <v>2481</v>
      </c>
      <c r="D67" s="4" t="n">
        <v>25</v>
      </c>
      <c r="E67" s="4" t="n">
        <v>129</v>
      </c>
      <c r="F67" s="5" t="n">
        <v>177.64</v>
      </c>
      <c r="G67" s="5" t="n">
        <f aca="false">D67*F67</f>
        <v>4441</v>
      </c>
      <c r="H67" s="4" t="s">
        <v>2490</v>
      </c>
    </row>
    <row r="68" customFormat="false" ht="16.4" hidden="false" customHeight="false" outlineLevel="0" collapsed="false">
      <c r="A68" s="4" t="s">
        <v>2549</v>
      </c>
      <c r="B68" s="4" t="s">
        <v>370</v>
      </c>
      <c r="C68" s="4" t="s">
        <v>2483</v>
      </c>
      <c r="D68" s="4" t="n">
        <v>126</v>
      </c>
      <c r="E68" s="4" t="n">
        <v>71</v>
      </c>
      <c r="F68" s="5" t="n">
        <v>525.29</v>
      </c>
      <c r="G68" s="5" t="n">
        <f aca="false">D68*F68</f>
        <v>66186.54</v>
      </c>
      <c r="H68" s="4" t="s">
        <v>2478</v>
      </c>
    </row>
    <row r="69" customFormat="false" ht="16.4" hidden="false" customHeight="false" outlineLevel="0" collapsed="false">
      <c r="A69" s="4" t="s">
        <v>2550</v>
      </c>
      <c r="B69" s="4" t="s">
        <v>356</v>
      </c>
      <c r="C69" s="4" t="s">
        <v>2481</v>
      </c>
      <c r="D69" s="4" t="n">
        <v>554</v>
      </c>
      <c r="E69" s="4" t="n">
        <v>63</v>
      </c>
      <c r="F69" s="5" t="n">
        <v>449.21</v>
      </c>
      <c r="G69" s="5" t="n">
        <f aca="false">D69*F69</f>
        <v>248862.34</v>
      </c>
      <c r="H69" s="4" t="s">
        <v>2478</v>
      </c>
    </row>
    <row r="70" customFormat="false" ht="16.4" hidden="false" customHeight="false" outlineLevel="0" collapsed="false">
      <c r="A70" s="4" t="s">
        <v>2551</v>
      </c>
      <c r="B70" s="4" t="s">
        <v>306</v>
      </c>
      <c r="C70" s="4" t="s">
        <v>2481</v>
      </c>
      <c r="D70" s="4" t="n">
        <v>193</v>
      </c>
      <c r="E70" s="4" t="n">
        <v>171</v>
      </c>
      <c r="F70" s="5" t="n">
        <v>584.2</v>
      </c>
      <c r="G70" s="5" t="n">
        <f aca="false">D70*F70</f>
        <v>112750.6</v>
      </c>
      <c r="H70" s="4" t="s">
        <v>2478</v>
      </c>
    </row>
    <row r="71" customFormat="false" ht="16.4" hidden="false" customHeight="false" outlineLevel="0" collapsed="false">
      <c r="A71" s="4" t="s">
        <v>2552</v>
      </c>
      <c r="B71" s="4" t="s">
        <v>48</v>
      </c>
      <c r="C71" s="4" t="s">
        <v>2477</v>
      </c>
      <c r="D71" s="4" t="n">
        <v>123</v>
      </c>
      <c r="E71" s="4" t="n">
        <v>96</v>
      </c>
      <c r="F71" s="5" t="n">
        <v>255</v>
      </c>
      <c r="G71" s="5" t="n">
        <f aca="false">D71*F71</f>
        <v>31365</v>
      </c>
      <c r="H71" s="4" t="s">
        <v>2478</v>
      </c>
    </row>
    <row r="72" customFormat="false" ht="16.4" hidden="false" customHeight="false" outlineLevel="0" collapsed="false">
      <c r="A72" s="4" t="s">
        <v>2553</v>
      </c>
      <c r="B72" s="4" t="s">
        <v>180</v>
      </c>
      <c r="C72" s="4" t="s">
        <v>2481</v>
      </c>
      <c r="D72" s="4" t="n">
        <v>210</v>
      </c>
      <c r="E72" s="4" t="n">
        <v>112</v>
      </c>
      <c r="F72" s="5" t="n">
        <v>711.24</v>
      </c>
      <c r="G72" s="5" t="n">
        <f aca="false">D72*F72</f>
        <v>149360.4</v>
      </c>
      <c r="H72" s="4" t="s">
        <v>2478</v>
      </c>
    </row>
    <row r="73" customFormat="false" ht="16.4" hidden="false" customHeight="false" outlineLevel="0" collapsed="false">
      <c r="A73" s="4" t="s">
        <v>2554</v>
      </c>
      <c r="B73" s="4" t="s">
        <v>266</v>
      </c>
      <c r="C73" s="4" t="s">
        <v>2485</v>
      </c>
      <c r="D73" s="4" t="n">
        <v>86</v>
      </c>
      <c r="E73" s="4" t="n">
        <v>132</v>
      </c>
      <c r="F73" s="5" t="n">
        <v>542.72</v>
      </c>
      <c r="G73" s="5" t="n">
        <f aca="false">D73*F73</f>
        <v>46673.92</v>
      </c>
      <c r="H73" s="4" t="s">
        <v>2490</v>
      </c>
    </row>
    <row r="74" customFormat="false" ht="16.4" hidden="false" customHeight="false" outlineLevel="0" collapsed="false">
      <c r="A74" s="4" t="s">
        <v>2555</v>
      </c>
      <c r="B74" s="4" t="s">
        <v>340</v>
      </c>
      <c r="C74" s="4" t="s">
        <v>2477</v>
      </c>
      <c r="D74" s="4" t="n">
        <v>46</v>
      </c>
      <c r="E74" s="4" t="n">
        <v>175</v>
      </c>
      <c r="F74" s="5" t="n">
        <v>313.13</v>
      </c>
      <c r="G74" s="5" t="n">
        <f aca="false">D74*F74</f>
        <v>14403.98</v>
      </c>
      <c r="H74" s="4" t="s">
        <v>2490</v>
      </c>
    </row>
    <row r="75" customFormat="false" ht="16.4" hidden="false" customHeight="false" outlineLevel="0" collapsed="false">
      <c r="A75" s="4" t="s">
        <v>2556</v>
      </c>
      <c r="B75" s="4" t="s">
        <v>214</v>
      </c>
      <c r="C75" s="4" t="s">
        <v>2485</v>
      </c>
      <c r="D75" s="4" t="n">
        <v>447</v>
      </c>
      <c r="E75" s="4" t="n">
        <v>96</v>
      </c>
      <c r="F75" s="5" t="n">
        <v>409.35</v>
      </c>
      <c r="G75" s="5" t="n">
        <f aca="false">D75*F75</f>
        <v>182979.45</v>
      </c>
      <c r="H75" s="4" t="s">
        <v>2478</v>
      </c>
    </row>
    <row r="76" customFormat="false" ht="16.4" hidden="false" customHeight="false" outlineLevel="0" collapsed="false">
      <c r="A76" s="4" t="s">
        <v>2557</v>
      </c>
      <c r="B76" s="4" t="s">
        <v>52</v>
      </c>
      <c r="C76" s="4" t="s">
        <v>2485</v>
      </c>
      <c r="D76" s="4" t="n">
        <v>540</v>
      </c>
      <c r="E76" s="4" t="n">
        <v>131</v>
      </c>
      <c r="F76" s="5" t="n">
        <v>72.84</v>
      </c>
      <c r="G76" s="5" t="n">
        <f aca="false">D76*F76</f>
        <v>39333.6</v>
      </c>
      <c r="H76" s="4" t="s">
        <v>2478</v>
      </c>
    </row>
    <row r="77" customFormat="false" ht="16.4" hidden="false" customHeight="false" outlineLevel="0" collapsed="false">
      <c r="A77" s="4" t="s">
        <v>2558</v>
      </c>
      <c r="B77" s="4" t="s">
        <v>170</v>
      </c>
      <c r="C77" s="4" t="s">
        <v>2477</v>
      </c>
      <c r="D77" s="4" t="n">
        <v>93</v>
      </c>
      <c r="E77" s="4" t="n">
        <v>79</v>
      </c>
      <c r="F77" s="5" t="n">
        <v>154.62</v>
      </c>
      <c r="G77" s="5" t="n">
        <f aca="false">D77*F77</f>
        <v>14379.66</v>
      </c>
      <c r="H77" s="4" t="s">
        <v>2478</v>
      </c>
    </row>
    <row r="78" customFormat="false" ht="16.4" hidden="false" customHeight="false" outlineLevel="0" collapsed="false">
      <c r="A78" s="4" t="s">
        <v>2559</v>
      </c>
      <c r="B78" s="4" t="s">
        <v>316</v>
      </c>
      <c r="C78" s="4" t="s">
        <v>2483</v>
      </c>
      <c r="D78" s="4" t="n">
        <v>172</v>
      </c>
      <c r="E78" s="4" t="n">
        <v>123</v>
      </c>
      <c r="F78" s="5" t="n">
        <v>437.64</v>
      </c>
      <c r="G78" s="5" t="n">
        <f aca="false">D78*F78</f>
        <v>75274.08</v>
      </c>
      <c r="H78" s="4" t="s">
        <v>2478</v>
      </c>
    </row>
    <row r="79" customFormat="false" ht="16.4" hidden="false" customHeight="false" outlineLevel="0" collapsed="false">
      <c r="A79" s="4" t="s">
        <v>2560</v>
      </c>
      <c r="B79" s="4" t="s">
        <v>132</v>
      </c>
      <c r="C79" s="4" t="s">
        <v>2483</v>
      </c>
      <c r="D79" s="4" t="n">
        <v>261</v>
      </c>
      <c r="E79" s="4" t="n">
        <v>72</v>
      </c>
      <c r="F79" s="5" t="n">
        <v>85.54</v>
      </c>
      <c r="G79" s="5" t="n">
        <f aca="false">D79*F79</f>
        <v>22325.94</v>
      </c>
      <c r="H79" s="4" t="s">
        <v>2478</v>
      </c>
    </row>
    <row r="80" customFormat="false" ht="16.4" hidden="false" customHeight="false" outlineLevel="0" collapsed="false">
      <c r="A80" s="4" t="s">
        <v>2561</v>
      </c>
      <c r="B80" s="4" t="s">
        <v>196</v>
      </c>
      <c r="C80" s="4" t="s">
        <v>2477</v>
      </c>
      <c r="D80" s="4" t="n">
        <v>417</v>
      </c>
      <c r="E80" s="4" t="n">
        <v>93</v>
      </c>
      <c r="F80" s="5" t="n">
        <v>453.83</v>
      </c>
      <c r="G80" s="5" t="n">
        <f aca="false">D80*F80</f>
        <v>189247.11</v>
      </c>
      <c r="H80" s="4" t="s">
        <v>2478</v>
      </c>
    </row>
    <row r="81" customFormat="false" ht="16.4" hidden="false" customHeight="false" outlineLevel="0" collapsed="false">
      <c r="A81" s="4" t="s">
        <v>2562</v>
      </c>
      <c r="B81" s="4" t="s">
        <v>354</v>
      </c>
      <c r="C81" s="4" t="s">
        <v>2477</v>
      </c>
      <c r="D81" s="4" t="n">
        <v>333</v>
      </c>
      <c r="E81" s="4" t="n">
        <v>96</v>
      </c>
      <c r="F81" s="5" t="n">
        <v>87.11</v>
      </c>
      <c r="G81" s="5" t="n">
        <f aca="false">D81*F81</f>
        <v>29007.63</v>
      </c>
      <c r="H81" s="4" t="s">
        <v>2478</v>
      </c>
    </row>
    <row r="82" customFormat="false" ht="16.4" hidden="false" customHeight="false" outlineLevel="0" collapsed="false">
      <c r="A82" s="4" t="s">
        <v>2563</v>
      </c>
      <c r="B82" s="4" t="s">
        <v>404</v>
      </c>
      <c r="C82" s="4" t="s">
        <v>2485</v>
      </c>
      <c r="D82" s="4" t="n">
        <v>59</v>
      </c>
      <c r="E82" s="4" t="n">
        <v>126</v>
      </c>
      <c r="F82" s="5" t="n">
        <v>436.6</v>
      </c>
      <c r="G82" s="5" t="n">
        <f aca="false">D82*F82</f>
        <v>25759.4</v>
      </c>
      <c r="H82" s="4" t="s">
        <v>2490</v>
      </c>
    </row>
    <row r="83" customFormat="false" ht="16.4" hidden="false" customHeight="false" outlineLevel="0" collapsed="false">
      <c r="A83" s="4" t="s">
        <v>2564</v>
      </c>
      <c r="B83" s="4" t="s">
        <v>90</v>
      </c>
      <c r="C83" s="4" t="s">
        <v>2485</v>
      </c>
      <c r="D83" s="4" t="n">
        <v>327</v>
      </c>
      <c r="E83" s="4" t="n">
        <v>86</v>
      </c>
      <c r="F83" s="5" t="n">
        <v>284.8</v>
      </c>
      <c r="G83" s="5" t="n">
        <f aca="false">D83*F83</f>
        <v>93129.6</v>
      </c>
      <c r="H83" s="4" t="s">
        <v>2478</v>
      </c>
    </row>
    <row r="84" customFormat="false" ht="16.4" hidden="false" customHeight="false" outlineLevel="0" collapsed="false">
      <c r="A84" s="4" t="s">
        <v>2565</v>
      </c>
      <c r="B84" s="4" t="s">
        <v>204</v>
      </c>
      <c r="C84" s="4" t="s">
        <v>2477</v>
      </c>
      <c r="D84" s="4" t="n">
        <v>264</v>
      </c>
      <c r="E84" s="4" t="n">
        <v>146</v>
      </c>
      <c r="F84" s="5" t="n">
        <v>118.5</v>
      </c>
      <c r="G84" s="5" t="n">
        <f aca="false">D84*F84</f>
        <v>31284</v>
      </c>
      <c r="H84" s="4" t="s">
        <v>2478</v>
      </c>
    </row>
    <row r="85" customFormat="false" ht="16.4" hidden="false" customHeight="false" outlineLevel="0" collapsed="false">
      <c r="A85" s="4" t="s">
        <v>2566</v>
      </c>
      <c r="B85" s="4" t="s">
        <v>66</v>
      </c>
      <c r="C85" s="4" t="s">
        <v>2481</v>
      </c>
      <c r="D85" s="4" t="n">
        <v>207</v>
      </c>
      <c r="E85" s="4" t="n">
        <v>111</v>
      </c>
      <c r="F85" s="5" t="n">
        <v>434.64</v>
      </c>
      <c r="G85" s="5" t="n">
        <f aca="false">D85*F85</f>
        <v>89970.48</v>
      </c>
      <c r="H85" s="4" t="s">
        <v>2478</v>
      </c>
    </row>
    <row r="86" customFormat="false" ht="16.4" hidden="false" customHeight="false" outlineLevel="0" collapsed="false">
      <c r="A86" s="4" t="s">
        <v>2567</v>
      </c>
      <c r="B86" s="4" t="s">
        <v>340</v>
      </c>
      <c r="C86" s="4" t="s">
        <v>2481</v>
      </c>
      <c r="D86" s="4" t="n">
        <v>242</v>
      </c>
      <c r="E86" s="4" t="n">
        <v>176</v>
      </c>
      <c r="F86" s="5" t="n">
        <v>313.13</v>
      </c>
      <c r="G86" s="5" t="n">
        <f aca="false">D86*F86</f>
        <v>75777.46</v>
      </c>
      <c r="H86" s="4" t="s">
        <v>2478</v>
      </c>
    </row>
    <row r="87" customFormat="false" ht="16.4" hidden="false" customHeight="false" outlineLevel="0" collapsed="false">
      <c r="A87" s="4" t="s">
        <v>2568</v>
      </c>
      <c r="B87" s="4" t="s">
        <v>424</v>
      </c>
      <c r="C87" s="4" t="s">
        <v>2477</v>
      </c>
      <c r="D87" s="4" t="n">
        <v>516</v>
      </c>
      <c r="E87" s="4" t="n">
        <v>148</v>
      </c>
      <c r="F87" s="5" t="n">
        <v>449.16</v>
      </c>
      <c r="G87" s="5" t="n">
        <f aca="false">D87*F87</f>
        <v>231766.56</v>
      </c>
      <c r="H87" s="4" t="s">
        <v>2478</v>
      </c>
    </row>
    <row r="88" customFormat="false" ht="16.4" hidden="false" customHeight="false" outlineLevel="0" collapsed="false">
      <c r="A88" s="4" t="s">
        <v>2569</v>
      </c>
      <c r="B88" s="4" t="s">
        <v>176</v>
      </c>
      <c r="C88" s="4" t="s">
        <v>2485</v>
      </c>
      <c r="D88" s="4" t="n">
        <v>62</v>
      </c>
      <c r="E88" s="4" t="n">
        <v>131</v>
      </c>
      <c r="F88" s="5" t="n">
        <v>563.15</v>
      </c>
      <c r="G88" s="5" t="n">
        <f aca="false">D88*F88</f>
        <v>34915.3</v>
      </c>
      <c r="H88" s="4" t="s">
        <v>2490</v>
      </c>
    </row>
    <row r="89" customFormat="false" ht="16.4" hidden="false" customHeight="false" outlineLevel="0" collapsed="false">
      <c r="A89" s="4" t="s">
        <v>2570</v>
      </c>
      <c r="B89" s="4" t="s">
        <v>322</v>
      </c>
      <c r="C89" s="4" t="s">
        <v>2485</v>
      </c>
      <c r="D89" s="4" t="n">
        <v>416</v>
      </c>
      <c r="E89" s="4" t="n">
        <v>66</v>
      </c>
      <c r="F89" s="5" t="n">
        <v>224.19</v>
      </c>
      <c r="G89" s="5" t="n">
        <f aca="false">D89*F89</f>
        <v>93263.04</v>
      </c>
      <c r="H89" s="4" t="s">
        <v>2478</v>
      </c>
    </row>
    <row r="90" customFormat="false" ht="16.4" hidden="false" customHeight="false" outlineLevel="0" collapsed="false">
      <c r="A90" s="4" t="s">
        <v>2571</v>
      </c>
      <c r="B90" s="4" t="s">
        <v>54</v>
      </c>
      <c r="C90" s="4" t="s">
        <v>2477</v>
      </c>
      <c r="D90" s="4" t="n">
        <v>417</v>
      </c>
      <c r="E90" s="4" t="n">
        <v>109</v>
      </c>
      <c r="F90" s="5" t="n">
        <v>123.37</v>
      </c>
      <c r="G90" s="5" t="n">
        <f aca="false">D90*F90</f>
        <v>51445.29</v>
      </c>
      <c r="H90" s="4" t="s">
        <v>2478</v>
      </c>
    </row>
    <row r="91" customFormat="false" ht="16.4" hidden="false" customHeight="false" outlineLevel="0" collapsed="false">
      <c r="A91" s="4" t="s">
        <v>2572</v>
      </c>
      <c r="B91" s="4" t="s">
        <v>176</v>
      </c>
      <c r="C91" s="4" t="s">
        <v>2483</v>
      </c>
      <c r="D91" s="4" t="n">
        <v>567</v>
      </c>
      <c r="E91" s="4" t="n">
        <v>75</v>
      </c>
      <c r="F91" s="5" t="n">
        <v>563.15</v>
      </c>
      <c r="G91" s="5" t="n">
        <f aca="false">D91*F91</f>
        <v>319306.05</v>
      </c>
      <c r="H91" s="4" t="s">
        <v>2478</v>
      </c>
    </row>
    <row r="92" customFormat="false" ht="16.4" hidden="false" customHeight="false" outlineLevel="0" collapsed="false">
      <c r="A92" s="4" t="s">
        <v>2573</v>
      </c>
      <c r="B92" s="4" t="s">
        <v>430</v>
      </c>
      <c r="C92" s="4" t="s">
        <v>2505</v>
      </c>
      <c r="D92" s="4" t="n">
        <v>568</v>
      </c>
      <c r="E92" s="4" t="n">
        <v>82</v>
      </c>
      <c r="F92" s="5" t="n">
        <v>536.83</v>
      </c>
      <c r="G92" s="5" t="n">
        <f aca="false">D92*F92</f>
        <v>304919.44</v>
      </c>
      <c r="H92" s="4" t="s">
        <v>2478</v>
      </c>
    </row>
    <row r="93" customFormat="false" ht="16.4" hidden="false" customHeight="false" outlineLevel="0" collapsed="false">
      <c r="A93" s="4" t="s">
        <v>2574</v>
      </c>
      <c r="B93" s="4" t="s">
        <v>330</v>
      </c>
      <c r="C93" s="4" t="s">
        <v>2477</v>
      </c>
      <c r="D93" s="4" t="n">
        <v>416</v>
      </c>
      <c r="E93" s="4" t="n">
        <v>164</v>
      </c>
      <c r="F93" s="5" t="n">
        <v>151.82</v>
      </c>
      <c r="G93" s="5" t="n">
        <f aca="false">D93*F93</f>
        <v>63157.12</v>
      </c>
      <c r="H93" s="4" t="s">
        <v>2478</v>
      </c>
    </row>
    <row r="94" customFormat="false" ht="16.4" hidden="false" customHeight="false" outlineLevel="0" collapsed="false">
      <c r="A94" s="4" t="s">
        <v>2575</v>
      </c>
      <c r="B94" s="4" t="s">
        <v>364</v>
      </c>
      <c r="C94" s="4" t="s">
        <v>2483</v>
      </c>
      <c r="D94" s="4" t="n">
        <v>512</v>
      </c>
      <c r="E94" s="4" t="n">
        <v>102</v>
      </c>
      <c r="F94" s="5" t="n">
        <v>45.35</v>
      </c>
      <c r="G94" s="5" t="n">
        <f aca="false">D94*F94</f>
        <v>23219.2</v>
      </c>
      <c r="H94" s="4" t="s">
        <v>2478</v>
      </c>
    </row>
    <row r="95" customFormat="false" ht="16.4" hidden="false" customHeight="false" outlineLevel="0" collapsed="false">
      <c r="A95" s="4" t="s">
        <v>2576</v>
      </c>
      <c r="B95" s="4" t="s">
        <v>230</v>
      </c>
      <c r="C95" s="4" t="s">
        <v>2483</v>
      </c>
      <c r="D95" s="4" t="n">
        <v>553</v>
      </c>
      <c r="E95" s="4" t="n">
        <v>93</v>
      </c>
      <c r="F95" s="5" t="n">
        <v>397.78</v>
      </c>
      <c r="G95" s="5" t="n">
        <f aca="false">D95*F95</f>
        <v>219972.34</v>
      </c>
      <c r="H95" s="4" t="s">
        <v>2478</v>
      </c>
    </row>
    <row r="96" customFormat="false" ht="16.4" hidden="false" customHeight="false" outlineLevel="0" collapsed="false">
      <c r="A96" s="4" t="s">
        <v>2577</v>
      </c>
      <c r="B96" s="4" t="s">
        <v>314</v>
      </c>
      <c r="C96" s="4" t="s">
        <v>2477</v>
      </c>
      <c r="D96" s="4" t="n">
        <v>433</v>
      </c>
      <c r="E96" s="4" t="n">
        <v>165</v>
      </c>
      <c r="F96" s="5" t="n">
        <v>208.08</v>
      </c>
      <c r="G96" s="5" t="n">
        <f aca="false">D96*F96</f>
        <v>90098.64</v>
      </c>
      <c r="H96" s="4" t="s">
        <v>2478</v>
      </c>
    </row>
    <row r="97" customFormat="false" ht="16.4" hidden="false" customHeight="false" outlineLevel="0" collapsed="false">
      <c r="A97" s="4" t="s">
        <v>2578</v>
      </c>
      <c r="B97" s="4" t="s">
        <v>40</v>
      </c>
      <c r="C97" s="4" t="s">
        <v>2483</v>
      </c>
      <c r="D97" s="4" t="n">
        <v>475</v>
      </c>
      <c r="E97" s="4" t="n">
        <v>124</v>
      </c>
      <c r="F97" s="5" t="n">
        <v>25.02</v>
      </c>
      <c r="G97" s="5" t="n">
        <f aca="false">D97*F97</f>
        <v>11884.5</v>
      </c>
      <c r="H97" s="4" t="s">
        <v>2478</v>
      </c>
    </row>
    <row r="98" customFormat="false" ht="16.4" hidden="false" customHeight="false" outlineLevel="0" collapsed="false">
      <c r="A98" s="4" t="s">
        <v>2579</v>
      </c>
      <c r="B98" s="4" t="s">
        <v>40</v>
      </c>
      <c r="C98" s="4" t="s">
        <v>2505</v>
      </c>
      <c r="D98" s="4" t="n">
        <v>61</v>
      </c>
      <c r="E98" s="4" t="n">
        <v>173</v>
      </c>
      <c r="F98" s="5" t="n">
        <v>25.02</v>
      </c>
      <c r="G98" s="5" t="n">
        <f aca="false">D98*F98</f>
        <v>1526.22</v>
      </c>
      <c r="H98" s="4" t="s">
        <v>2490</v>
      </c>
    </row>
    <row r="99" customFormat="false" ht="16.4" hidden="false" customHeight="false" outlineLevel="0" collapsed="false">
      <c r="A99" s="4" t="s">
        <v>2580</v>
      </c>
      <c r="B99" s="4" t="s">
        <v>346</v>
      </c>
      <c r="C99" s="4" t="s">
        <v>2505</v>
      </c>
      <c r="D99" s="4" t="n">
        <v>256</v>
      </c>
      <c r="E99" s="4" t="n">
        <v>147</v>
      </c>
      <c r="F99" s="5" t="n">
        <v>107.67</v>
      </c>
      <c r="G99" s="5" t="n">
        <f aca="false">D99*F99</f>
        <v>27563.52</v>
      </c>
      <c r="H99" s="4" t="s">
        <v>2478</v>
      </c>
    </row>
    <row r="100" customFormat="false" ht="16.4" hidden="false" customHeight="false" outlineLevel="0" collapsed="false">
      <c r="A100" s="4" t="s">
        <v>2581</v>
      </c>
      <c r="B100" s="4" t="s">
        <v>362</v>
      </c>
      <c r="C100" s="4" t="s">
        <v>2505</v>
      </c>
      <c r="D100" s="4" t="n">
        <v>217</v>
      </c>
      <c r="E100" s="4" t="n">
        <v>180</v>
      </c>
      <c r="F100" s="5" t="n">
        <v>70.33</v>
      </c>
      <c r="G100" s="5" t="n">
        <f aca="false">D100*F100</f>
        <v>15261.61</v>
      </c>
      <c r="H100" s="4" t="s">
        <v>2478</v>
      </c>
    </row>
    <row r="101" customFormat="false" ht="16.4" hidden="false" customHeight="false" outlineLevel="0" collapsed="false">
      <c r="A101" s="4" t="s">
        <v>2582</v>
      </c>
      <c r="B101" s="4" t="s">
        <v>62</v>
      </c>
      <c r="C101" s="4" t="s">
        <v>2505</v>
      </c>
      <c r="D101" s="4" t="n">
        <v>165</v>
      </c>
      <c r="E101" s="4" t="n">
        <v>67</v>
      </c>
      <c r="F101" s="5" t="n">
        <v>212.47</v>
      </c>
      <c r="G101" s="5" t="n">
        <f aca="false">D101*F101</f>
        <v>35057.55</v>
      </c>
      <c r="H101" s="4" t="s">
        <v>2478</v>
      </c>
    </row>
    <row r="102" customFormat="false" ht="16.4" hidden="false" customHeight="false" outlineLevel="0" collapsed="false">
      <c r="A102" s="4" t="s">
        <v>2583</v>
      </c>
      <c r="B102" s="4" t="s">
        <v>84</v>
      </c>
      <c r="C102" s="4" t="s">
        <v>2483</v>
      </c>
      <c r="D102" s="4" t="n">
        <v>404</v>
      </c>
      <c r="E102" s="4" t="n">
        <v>81</v>
      </c>
      <c r="F102" s="5" t="n">
        <v>354.32</v>
      </c>
      <c r="G102" s="5" t="n">
        <f aca="false">D102*F102</f>
        <v>143145.28</v>
      </c>
      <c r="H102" s="4" t="s">
        <v>2478</v>
      </c>
    </row>
    <row r="103" customFormat="false" ht="16.4" hidden="false" customHeight="false" outlineLevel="0" collapsed="false">
      <c r="A103" s="4" t="s">
        <v>2584</v>
      </c>
      <c r="B103" s="4" t="s">
        <v>410</v>
      </c>
      <c r="C103" s="4" t="s">
        <v>2485</v>
      </c>
      <c r="D103" s="4" t="n">
        <v>569</v>
      </c>
      <c r="E103" s="4" t="n">
        <v>121</v>
      </c>
      <c r="F103" s="5" t="n">
        <v>298.89</v>
      </c>
      <c r="G103" s="5" t="n">
        <f aca="false">D103*F103</f>
        <v>170068.41</v>
      </c>
      <c r="H103" s="4" t="s">
        <v>2478</v>
      </c>
    </row>
    <row r="104" customFormat="false" ht="16.4" hidden="false" customHeight="false" outlineLevel="0" collapsed="false">
      <c r="A104" s="4" t="s">
        <v>2585</v>
      </c>
      <c r="B104" s="4" t="s">
        <v>146</v>
      </c>
      <c r="C104" s="4" t="s">
        <v>2505</v>
      </c>
      <c r="D104" s="4" t="n">
        <v>516</v>
      </c>
      <c r="E104" s="4" t="n">
        <v>131</v>
      </c>
      <c r="F104" s="5" t="n">
        <v>440.85</v>
      </c>
      <c r="G104" s="5" t="n">
        <f aca="false">D104*F104</f>
        <v>227478.6</v>
      </c>
      <c r="H104" s="4" t="s">
        <v>2478</v>
      </c>
    </row>
    <row r="105" customFormat="false" ht="16.4" hidden="false" customHeight="false" outlineLevel="0" collapsed="false">
      <c r="A105" s="4" t="s">
        <v>2586</v>
      </c>
      <c r="B105" s="4" t="s">
        <v>364</v>
      </c>
      <c r="C105" s="4" t="s">
        <v>2505</v>
      </c>
      <c r="D105" s="4" t="n">
        <v>267</v>
      </c>
      <c r="E105" s="4" t="n">
        <v>165</v>
      </c>
      <c r="F105" s="5" t="n">
        <v>45.35</v>
      </c>
      <c r="G105" s="5" t="n">
        <f aca="false">D105*F105</f>
        <v>12108.45</v>
      </c>
      <c r="H105" s="4" t="s">
        <v>2478</v>
      </c>
    </row>
    <row r="106" customFormat="false" ht="16.4" hidden="false" customHeight="false" outlineLevel="0" collapsed="false">
      <c r="A106" s="4" t="s">
        <v>2587</v>
      </c>
      <c r="B106" s="4" t="s">
        <v>164</v>
      </c>
      <c r="C106" s="4" t="s">
        <v>2483</v>
      </c>
      <c r="D106" s="4" t="n">
        <v>329</v>
      </c>
      <c r="E106" s="4" t="n">
        <v>137</v>
      </c>
      <c r="F106" s="5" t="n">
        <v>794.64</v>
      </c>
      <c r="G106" s="5" t="n">
        <f aca="false">D106*F106</f>
        <v>261436.56</v>
      </c>
      <c r="H106" s="4" t="s">
        <v>2478</v>
      </c>
    </row>
    <row r="107" customFormat="false" ht="16.4" hidden="false" customHeight="false" outlineLevel="0" collapsed="false">
      <c r="A107" s="4" t="s">
        <v>2588</v>
      </c>
      <c r="B107" s="4" t="s">
        <v>274</v>
      </c>
      <c r="C107" s="4" t="s">
        <v>2483</v>
      </c>
      <c r="D107" s="4" t="n">
        <v>336</v>
      </c>
      <c r="E107" s="4" t="n">
        <v>54</v>
      </c>
      <c r="F107" s="5" t="n">
        <v>131.58</v>
      </c>
      <c r="G107" s="5" t="n">
        <f aca="false">D107*F107</f>
        <v>44210.88</v>
      </c>
      <c r="H107" s="4" t="s">
        <v>2478</v>
      </c>
    </row>
    <row r="108" customFormat="false" ht="16.4" hidden="false" customHeight="false" outlineLevel="0" collapsed="false">
      <c r="A108" s="4" t="s">
        <v>2589</v>
      </c>
      <c r="B108" s="4" t="s">
        <v>370</v>
      </c>
      <c r="C108" s="4" t="s">
        <v>2477</v>
      </c>
      <c r="D108" s="4" t="n">
        <v>2</v>
      </c>
      <c r="E108" s="4" t="n">
        <v>171</v>
      </c>
      <c r="F108" s="5" t="n">
        <v>525.29</v>
      </c>
      <c r="G108" s="5" t="n">
        <f aca="false">D108*F108</f>
        <v>1050.58</v>
      </c>
      <c r="H108" s="4" t="s">
        <v>2490</v>
      </c>
    </row>
    <row r="109" customFormat="false" ht="16.4" hidden="false" customHeight="false" outlineLevel="0" collapsed="false">
      <c r="A109" s="4" t="s">
        <v>2590</v>
      </c>
      <c r="B109" s="4" t="s">
        <v>44</v>
      </c>
      <c r="C109" s="4" t="s">
        <v>2481</v>
      </c>
      <c r="D109" s="4" t="n">
        <v>177</v>
      </c>
      <c r="E109" s="4" t="n">
        <v>155</v>
      </c>
      <c r="F109" s="5" t="n">
        <v>26.25</v>
      </c>
      <c r="G109" s="5" t="n">
        <f aca="false">D109*F109</f>
        <v>4646.25</v>
      </c>
      <c r="H109" s="4" t="s">
        <v>2478</v>
      </c>
    </row>
    <row r="110" customFormat="false" ht="16.4" hidden="false" customHeight="false" outlineLevel="0" collapsed="false">
      <c r="A110" s="4" t="s">
        <v>2591</v>
      </c>
      <c r="B110" s="4" t="s">
        <v>396</v>
      </c>
      <c r="C110" s="4" t="s">
        <v>2481</v>
      </c>
      <c r="D110" s="4" t="n">
        <v>500</v>
      </c>
      <c r="E110" s="4" t="n">
        <v>150</v>
      </c>
      <c r="F110" s="5" t="n">
        <v>221.87</v>
      </c>
      <c r="G110" s="5" t="n">
        <f aca="false">D110*F110</f>
        <v>110935</v>
      </c>
      <c r="H110" s="4" t="s">
        <v>2478</v>
      </c>
    </row>
    <row r="111" customFormat="false" ht="16.4" hidden="false" customHeight="false" outlineLevel="0" collapsed="false">
      <c r="A111" s="4" t="s">
        <v>2592</v>
      </c>
      <c r="B111" s="4" t="s">
        <v>80</v>
      </c>
      <c r="C111" s="4" t="s">
        <v>2485</v>
      </c>
      <c r="D111" s="4" t="n">
        <v>79</v>
      </c>
      <c r="E111" s="4" t="n">
        <v>57</v>
      </c>
      <c r="F111" s="5" t="n">
        <v>240.97</v>
      </c>
      <c r="G111" s="5" t="n">
        <f aca="false">D111*F111</f>
        <v>19036.63</v>
      </c>
      <c r="H111" s="4" t="s">
        <v>2478</v>
      </c>
    </row>
    <row r="112" customFormat="false" ht="16.4" hidden="false" customHeight="false" outlineLevel="0" collapsed="false">
      <c r="A112" s="4" t="s">
        <v>2593</v>
      </c>
      <c r="B112" s="4" t="s">
        <v>384</v>
      </c>
      <c r="C112" s="4" t="s">
        <v>2485</v>
      </c>
      <c r="D112" s="4" t="n">
        <v>126</v>
      </c>
      <c r="E112" s="4" t="n">
        <v>140</v>
      </c>
      <c r="F112" s="5" t="n">
        <v>57.93</v>
      </c>
      <c r="G112" s="5" t="n">
        <f aca="false">D112*F112</f>
        <v>7299.18</v>
      </c>
      <c r="H112" s="4" t="s">
        <v>2490</v>
      </c>
    </row>
    <row r="113" customFormat="false" ht="16.4" hidden="false" customHeight="false" outlineLevel="0" collapsed="false">
      <c r="A113" s="4" t="s">
        <v>2594</v>
      </c>
      <c r="B113" s="4" t="s">
        <v>346</v>
      </c>
      <c r="C113" s="4" t="s">
        <v>2483</v>
      </c>
      <c r="D113" s="4" t="n">
        <v>366</v>
      </c>
      <c r="E113" s="4" t="n">
        <v>149</v>
      </c>
      <c r="F113" s="5" t="n">
        <v>107.67</v>
      </c>
      <c r="G113" s="5" t="n">
        <f aca="false">D113*F113</f>
        <v>39407.22</v>
      </c>
      <c r="H113" s="4" t="s">
        <v>2478</v>
      </c>
    </row>
    <row r="114" customFormat="false" ht="16.4" hidden="false" customHeight="false" outlineLevel="0" collapsed="false">
      <c r="A114" s="4" t="s">
        <v>2595</v>
      </c>
      <c r="B114" s="4" t="s">
        <v>432</v>
      </c>
      <c r="C114" s="4" t="s">
        <v>2485</v>
      </c>
      <c r="D114" s="4" t="n">
        <v>8</v>
      </c>
      <c r="E114" s="4" t="n">
        <v>81</v>
      </c>
      <c r="F114" s="5" t="n">
        <v>63.49</v>
      </c>
      <c r="G114" s="5" t="n">
        <f aca="false">D114*F114</f>
        <v>507.92</v>
      </c>
      <c r="H114" s="4" t="s">
        <v>2490</v>
      </c>
    </row>
    <row r="115" customFormat="false" ht="16.4" hidden="false" customHeight="false" outlineLevel="0" collapsed="false">
      <c r="A115" s="4" t="s">
        <v>2596</v>
      </c>
      <c r="B115" s="4" t="s">
        <v>228</v>
      </c>
      <c r="C115" s="4" t="s">
        <v>2477</v>
      </c>
      <c r="D115" s="4" t="n">
        <v>197</v>
      </c>
      <c r="E115" s="4" t="n">
        <v>163</v>
      </c>
      <c r="F115" s="5" t="n">
        <v>641.77</v>
      </c>
      <c r="G115" s="5" t="n">
        <f aca="false">D115*F115</f>
        <v>126428.69</v>
      </c>
      <c r="H115" s="4" t="s">
        <v>2478</v>
      </c>
    </row>
    <row r="116" customFormat="false" ht="16.4" hidden="false" customHeight="false" outlineLevel="0" collapsed="false">
      <c r="A116" s="4" t="s">
        <v>2597</v>
      </c>
      <c r="B116" s="4" t="s">
        <v>152</v>
      </c>
      <c r="C116" s="4" t="s">
        <v>2505</v>
      </c>
      <c r="D116" s="4" t="n">
        <v>20</v>
      </c>
      <c r="E116" s="4" t="n">
        <v>121</v>
      </c>
      <c r="F116" s="5" t="n">
        <v>459.38</v>
      </c>
      <c r="G116" s="5" t="n">
        <f aca="false">D116*F116</f>
        <v>9187.6</v>
      </c>
      <c r="H116" s="4" t="s">
        <v>2490</v>
      </c>
    </row>
    <row r="117" customFormat="false" ht="16.4" hidden="false" customHeight="false" outlineLevel="0" collapsed="false">
      <c r="A117" s="4" t="s">
        <v>2598</v>
      </c>
      <c r="B117" s="4" t="s">
        <v>138</v>
      </c>
      <c r="C117" s="4" t="s">
        <v>2483</v>
      </c>
      <c r="D117" s="4" t="n">
        <v>92</v>
      </c>
      <c r="E117" s="4" t="n">
        <v>127</v>
      </c>
      <c r="F117" s="5" t="n">
        <v>13.93</v>
      </c>
      <c r="G117" s="5" t="n">
        <f aca="false">D117*F117</f>
        <v>1281.56</v>
      </c>
      <c r="H117" s="4" t="s">
        <v>2490</v>
      </c>
    </row>
    <row r="118" customFormat="false" ht="16.4" hidden="false" customHeight="false" outlineLevel="0" collapsed="false">
      <c r="A118" s="4" t="s">
        <v>2599</v>
      </c>
      <c r="B118" s="4" t="s">
        <v>158</v>
      </c>
      <c r="C118" s="4" t="s">
        <v>2477</v>
      </c>
      <c r="D118" s="4" t="n">
        <v>505</v>
      </c>
      <c r="E118" s="4" t="n">
        <v>142</v>
      </c>
      <c r="F118" s="5" t="n">
        <v>422.27</v>
      </c>
      <c r="G118" s="5" t="n">
        <f aca="false">D118*F118</f>
        <v>213246.35</v>
      </c>
      <c r="H118" s="4" t="s">
        <v>2478</v>
      </c>
    </row>
    <row r="119" customFormat="false" ht="16.4" hidden="false" customHeight="false" outlineLevel="0" collapsed="false">
      <c r="A119" s="4" t="s">
        <v>2600</v>
      </c>
      <c r="B119" s="4" t="s">
        <v>182</v>
      </c>
      <c r="C119" s="4" t="s">
        <v>2477</v>
      </c>
      <c r="D119" s="4" t="n">
        <v>504</v>
      </c>
      <c r="E119" s="4" t="n">
        <v>103</v>
      </c>
      <c r="F119" s="5" t="n">
        <v>290.33</v>
      </c>
      <c r="G119" s="5" t="n">
        <f aca="false">D119*F119</f>
        <v>146326.32</v>
      </c>
      <c r="H119" s="4" t="s">
        <v>2478</v>
      </c>
    </row>
    <row r="120" customFormat="false" ht="16.4" hidden="false" customHeight="false" outlineLevel="0" collapsed="false">
      <c r="A120" s="4" t="s">
        <v>2601</v>
      </c>
      <c r="B120" s="4" t="s">
        <v>140</v>
      </c>
      <c r="C120" s="4" t="s">
        <v>2505</v>
      </c>
      <c r="D120" s="4" t="n">
        <v>405</v>
      </c>
      <c r="E120" s="4" t="n">
        <v>78</v>
      </c>
      <c r="F120" s="5" t="n">
        <v>382.61</v>
      </c>
      <c r="G120" s="5" t="n">
        <f aca="false">D120*F120</f>
        <v>154957.05</v>
      </c>
      <c r="H120" s="4" t="s">
        <v>2478</v>
      </c>
    </row>
    <row r="121" customFormat="false" ht="16.4" hidden="false" customHeight="false" outlineLevel="0" collapsed="false">
      <c r="A121" s="4" t="s">
        <v>2602</v>
      </c>
      <c r="B121" s="4" t="s">
        <v>330</v>
      </c>
      <c r="C121" s="4" t="s">
        <v>2483</v>
      </c>
      <c r="D121" s="4" t="n">
        <v>512</v>
      </c>
      <c r="E121" s="4" t="n">
        <v>176</v>
      </c>
      <c r="F121" s="5" t="n">
        <v>151.82</v>
      </c>
      <c r="G121" s="5" t="n">
        <f aca="false">D121*F121</f>
        <v>77731.84</v>
      </c>
      <c r="H121" s="4" t="s">
        <v>2478</v>
      </c>
    </row>
    <row r="122" customFormat="false" ht="16.4" hidden="false" customHeight="false" outlineLevel="0" collapsed="false">
      <c r="A122" s="4" t="s">
        <v>2603</v>
      </c>
      <c r="B122" s="4" t="s">
        <v>322</v>
      </c>
      <c r="C122" s="4" t="s">
        <v>2477</v>
      </c>
      <c r="D122" s="4" t="n">
        <v>198</v>
      </c>
      <c r="E122" s="4" t="n">
        <v>94</v>
      </c>
      <c r="F122" s="5" t="n">
        <v>224.19</v>
      </c>
      <c r="G122" s="5" t="n">
        <f aca="false">D122*F122</f>
        <v>44389.62</v>
      </c>
      <c r="H122" s="4" t="s">
        <v>2478</v>
      </c>
    </row>
    <row r="123" customFormat="false" ht="16.4" hidden="false" customHeight="false" outlineLevel="0" collapsed="false">
      <c r="A123" s="4" t="s">
        <v>2604</v>
      </c>
      <c r="B123" s="4" t="s">
        <v>340</v>
      </c>
      <c r="C123" s="4" t="s">
        <v>2483</v>
      </c>
      <c r="D123" s="4" t="n">
        <v>131</v>
      </c>
      <c r="E123" s="4" t="n">
        <v>66</v>
      </c>
      <c r="F123" s="5" t="n">
        <v>313.13</v>
      </c>
      <c r="G123" s="5" t="n">
        <f aca="false">D123*F123</f>
        <v>41020.03</v>
      </c>
      <c r="H123" s="4" t="s">
        <v>2478</v>
      </c>
    </row>
    <row r="124" customFormat="false" ht="16.4" hidden="false" customHeight="false" outlineLevel="0" collapsed="false">
      <c r="A124" s="4" t="s">
        <v>2605</v>
      </c>
      <c r="B124" s="4" t="s">
        <v>172</v>
      </c>
      <c r="C124" s="4" t="s">
        <v>2481</v>
      </c>
      <c r="D124" s="4" t="n">
        <v>583</v>
      </c>
      <c r="E124" s="4" t="n">
        <v>108</v>
      </c>
      <c r="F124" s="5" t="n">
        <v>278.76</v>
      </c>
      <c r="G124" s="5" t="n">
        <f aca="false">D124*F124</f>
        <v>162517.08</v>
      </c>
      <c r="H124" s="4" t="s">
        <v>2478</v>
      </c>
    </row>
    <row r="125" customFormat="false" ht="16.4" hidden="false" customHeight="false" outlineLevel="0" collapsed="false">
      <c r="A125" s="4" t="s">
        <v>2606</v>
      </c>
      <c r="B125" s="4" t="s">
        <v>412</v>
      </c>
      <c r="C125" s="4" t="s">
        <v>2477</v>
      </c>
      <c r="D125" s="4" t="n">
        <v>280</v>
      </c>
      <c r="E125" s="4" t="n">
        <v>99</v>
      </c>
      <c r="F125" s="5" t="n">
        <v>782.35</v>
      </c>
      <c r="G125" s="5" t="n">
        <f aca="false">D125*F125</f>
        <v>219058</v>
      </c>
      <c r="H125" s="4" t="s">
        <v>2478</v>
      </c>
    </row>
    <row r="126" customFormat="false" ht="16.4" hidden="false" customHeight="false" outlineLevel="0" collapsed="false">
      <c r="A126" s="4" t="s">
        <v>2607</v>
      </c>
      <c r="B126" s="4" t="s">
        <v>394</v>
      </c>
      <c r="C126" s="4" t="s">
        <v>2481</v>
      </c>
      <c r="D126" s="4" t="n">
        <v>545</v>
      </c>
      <c r="E126" s="4" t="n">
        <v>114</v>
      </c>
      <c r="F126" s="5" t="n">
        <v>611.21</v>
      </c>
      <c r="G126" s="5" t="n">
        <f aca="false">D126*F126</f>
        <v>333109.45</v>
      </c>
      <c r="H126" s="4" t="s">
        <v>2478</v>
      </c>
    </row>
    <row r="127" customFormat="false" ht="16.4" hidden="false" customHeight="false" outlineLevel="0" collapsed="false">
      <c r="A127" s="4" t="s">
        <v>2608</v>
      </c>
      <c r="B127" s="4" t="s">
        <v>272</v>
      </c>
      <c r="C127" s="4" t="s">
        <v>2477</v>
      </c>
      <c r="D127" s="4" t="n">
        <v>2</v>
      </c>
      <c r="E127" s="4" t="n">
        <v>159</v>
      </c>
      <c r="F127" s="5" t="n">
        <v>441.1</v>
      </c>
      <c r="G127" s="5" t="n">
        <f aca="false">D127*F127</f>
        <v>882.2</v>
      </c>
      <c r="H127" s="4" t="s">
        <v>2490</v>
      </c>
    </row>
    <row r="128" customFormat="false" ht="16.4" hidden="false" customHeight="false" outlineLevel="0" collapsed="false">
      <c r="A128" s="4" t="s">
        <v>2609</v>
      </c>
      <c r="B128" s="4" t="s">
        <v>204</v>
      </c>
      <c r="C128" s="4" t="s">
        <v>2505</v>
      </c>
      <c r="D128" s="4" t="n">
        <v>442</v>
      </c>
      <c r="E128" s="4" t="n">
        <v>154</v>
      </c>
      <c r="F128" s="5" t="n">
        <v>118.5</v>
      </c>
      <c r="G128" s="5" t="n">
        <f aca="false">D128*F128</f>
        <v>52377</v>
      </c>
      <c r="H128" s="4" t="s">
        <v>2478</v>
      </c>
    </row>
    <row r="129" customFormat="false" ht="16.4" hidden="false" customHeight="false" outlineLevel="0" collapsed="false">
      <c r="A129" s="4" t="s">
        <v>2610</v>
      </c>
      <c r="B129" s="4" t="s">
        <v>102</v>
      </c>
      <c r="C129" s="4" t="s">
        <v>2485</v>
      </c>
      <c r="D129" s="4" t="n">
        <v>530</v>
      </c>
      <c r="E129" s="4" t="n">
        <v>169</v>
      </c>
      <c r="F129" s="5" t="n">
        <v>729.21</v>
      </c>
      <c r="G129" s="5" t="n">
        <f aca="false">D129*F129</f>
        <v>386481.3</v>
      </c>
      <c r="H129" s="4" t="s">
        <v>2478</v>
      </c>
    </row>
    <row r="130" customFormat="false" ht="16.4" hidden="false" customHeight="false" outlineLevel="0" collapsed="false">
      <c r="A130" s="4" t="s">
        <v>2611</v>
      </c>
      <c r="B130" s="4" t="s">
        <v>224</v>
      </c>
      <c r="C130" s="4" t="s">
        <v>2483</v>
      </c>
      <c r="D130" s="4" t="n">
        <v>529</v>
      </c>
      <c r="E130" s="4" t="n">
        <v>61</v>
      </c>
      <c r="F130" s="5" t="n">
        <v>337.48</v>
      </c>
      <c r="G130" s="5" t="n">
        <f aca="false">D130*F130</f>
        <v>178526.92</v>
      </c>
      <c r="H130" s="4" t="s">
        <v>2478</v>
      </c>
    </row>
    <row r="131" customFormat="false" ht="16.4" hidden="false" customHeight="false" outlineLevel="0" collapsed="false">
      <c r="A131" s="4" t="s">
        <v>2612</v>
      </c>
      <c r="B131" s="4" t="s">
        <v>64</v>
      </c>
      <c r="C131" s="4" t="s">
        <v>2481</v>
      </c>
      <c r="D131" s="4" t="n">
        <v>284</v>
      </c>
      <c r="E131" s="4" t="n">
        <v>157</v>
      </c>
      <c r="F131" s="5" t="n">
        <v>273.46</v>
      </c>
      <c r="G131" s="5" t="n">
        <f aca="false">D131*F131</f>
        <v>77662.64</v>
      </c>
      <c r="H131" s="4" t="s">
        <v>2478</v>
      </c>
    </row>
    <row r="132" customFormat="false" ht="16.4" hidden="false" customHeight="false" outlineLevel="0" collapsed="false">
      <c r="A132" s="4" t="s">
        <v>2613</v>
      </c>
      <c r="B132" s="4" t="s">
        <v>268</v>
      </c>
      <c r="C132" s="4" t="s">
        <v>2485</v>
      </c>
      <c r="D132" s="4" t="n">
        <v>323</v>
      </c>
      <c r="E132" s="4" t="n">
        <v>51</v>
      </c>
      <c r="F132" s="5" t="n">
        <v>820.57</v>
      </c>
      <c r="G132" s="5" t="n">
        <f aca="false">D132*F132</f>
        <v>265044.11</v>
      </c>
      <c r="H132" s="4" t="s">
        <v>2478</v>
      </c>
    </row>
    <row r="133" customFormat="false" ht="16.4" hidden="false" customHeight="false" outlineLevel="0" collapsed="false">
      <c r="A133" s="4" t="s">
        <v>2614</v>
      </c>
      <c r="B133" s="4" t="s">
        <v>138</v>
      </c>
      <c r="C133" s="4" t="s">
        <v>2481</v>
      </c>
      <c r="D133" s="4" t="n">
        <v>342</v>
      </c>
      <c r="E133" s="4" t="n">
        <v>70</v>
      </c>
      <c r="F133" s="5" t="n">
        <v>13.93</v>
      </c>
      <c r="G133" s="5" t="n">
        <f aca="false">D133*F133</f>
        <v>4764.06</v>
      </c>
      <c r="H133" s="4" t="s">
        <v>2478</v>
      </c>
    </row>
    <row r="134" customFormat="false" ht="16.4" hidden="false" customHeight="false" outlineLevel="0" collapsed="false">
      <c r="A134" s="4" t="s">
        <v>2615</v>
      </c>
      <c r="B134" s="4" t="s">
        <v>52</v>
      </c>
      <c r="C134" s="4" t="s">
        <v>2477</v>
      </c>
      <c r="D134" s="4" t="n">
        <v>231</v>
      </c>
      <c r="E134" s="4" t="n">
        <v>158</v>
      </c>
      <c r="F134" s="5" t="n">
        <v>72.84</v>
      </c>
      <c r="G134" s="5" t="n">
        <f aca="false">D134*F134</f>
        <v>16826.04</v>
      </c>
      <c r="H134" s="4" t="s">
        <v>2478</v>
      </c>
    </row>
    <row r="135" customFormat="false" ht="16.4" hidden="false" customHeight="false" outlineLevel="0" collapsed="false">
      <c r="A135" s="4" t="s">
        <v>2616</v>
      </c>
      <c r="B135" s="4" t="s">
        <v>166</v>
      </c>
      <c r="C135" s="4" t="s">
        <v>2505</v>
      </c>
      <c r="D135" s="4" t="n">
        <v>201</v>
      </c>
      <c r="E135" s="4" t="n">
        <v>92</v>
      </c>
      <c r="F135" s="5" t="n">
        <v>231.85</v>
      </c>
      <c r="G135" s="5" t="n">
        <f aca="false">D135*F135</f>
        <v>46601.85</v>
      </c>
      <c r="H135" s="4" t="s">
        <v>2478</v>
      </c>
    </row>
    <row r="136" customFormat="false" ht="16.4" hidden="false" customHeight="false" outlineLevel="0" collapsed="false">
      <c r="A136" s="4" t="s">
        <v>2617</v>
      </c>
      <c r="B136" s="4" t="s">
        <v>198</v>
      </c>
      <c r="C136" s="4" t="s">
        <v>2477</v>
      </c>
      <c r="D136" s="4" t="n">
        <v>64</v>
      </c>
      <c r="E136" s="4" t="n">
        <v>74</v>
      </c>
      <c r="F136" s="5" t="n">
        <v>256.3</v>
      </c>
      <c r="G136" s="5" t="n">
        <f aca="false">D136*F136</f>
        <v>16403.2</v>
      </c>
      <c r="H136" s="4" t="s">
        <v>2490</v>
      </c>
    </row>
    <row r="137" customFormat="false" ht="16.4" hidden="false" customHeight="false" outlineLevel="0" collapsed="false">
      <c r="A137" s="4" t="s">
        <v>2618</v>
      </c>
      <c r="B137" s="4" t="s">
        <v>284</v>
      </c>
      <c r="C137" s="4" t="s">
        <v>2481</v>
      </c>
      <c r="D137" s="4" t="n">
        <v>442</v>
      </c>
      <c r="E137" s="4" t="n">
        <v>56</v>
      </c>
      <c r="F137" s="5" t="n">
        <v>230.1</v>
      </c>
      <c r="G137" s="5" t="n">
        <f aca="false">D137*F137</f>
        <v>101704.2</v>
      </c>
      <c r="H137" s="4" t="s">
        <v>2478</v>
      </c>
    </row>
    <row r="138" customFormat="false" ht="16.4" hidden="false" customHeight="false" outlineLevel="0" collapsed="false">
      <c r="A138" s="4" t="s">
        <v>2619</v>
      </c>
      <c r="B138" s="4" t="s">
        <v>360</v>
      </c>
      <c r="C138" s="4" t="s">
        <v>2483</v>
      </c>
      <c r="D138" s="4" t="n">
        <v>342</v>
      </c>
      <c r="E138" s="4" t="n">
        <v>114</v>
      </c>
      <c r="F138" s="5" t="n">
        <v>738.69</v>
      </c>
      <c r="G138" s="5" t="n">
        <f aca="false">D138*F138</f>
        <v>252631.98</v>
      </c>
      <c r="H138" s="4" t="s">
        <v>2478</v>
      </c>
    </row>
    <row r="139" customFormat="false" ht="16.4" hidden="false" customHeight="false" outlineLevel="0" collapsed="false">
      <c r="A139" s="4" t="s">
        <v>2620</v>
      </c>
      <c r="B139" s="4" t="s">
        <v>94</v>
      </c>
      <c r="C139" s="4" t="s">
        <v>2505</v>
      </c>
      <c r="D139" s="4" t="n">
        <v>484</v>
      </c>
      <c r="E139" s="4" t="n">
        <v>111</v>
      </c>
      <c r="F139" s="5" t="n">
        <v>304.46</v>
      </c>
      <c r="G139" s="5" t="n">
        <f aca="false">D139*F139</f>
        <v>147358.64</v>
      </c>
      <c r="H139" s="4" t="s">
        <v>2478</v>
      </c>
    </row>
    <row r="140" customFormat="false" ht="16.4" hidden="false" customHeight="false" outlineLevel="0" collapsed="false">
      <c r="A140" s="4" t="s">
        <v>2621</v>
      </c>
      <c r="B140" s="4" t="s">
        <v>66</v>
      </c>
      <c r="C140" s="4" t="s">
        <v>2477</v>
      </c>
      <c r="D140" s="4" t="n">
        <v>341</v>
      </c>
      <c r="E140" s="4" t="n">
        <v>110</v>
      </c>
      <c r="F140" s="5" t="n">
        <v>434.64</v>
      </c>
      <c r="G140" s="5" t="n">
        <f aca="false">D140*F140</f>
        <v>148212.24</v>
      </c>
      <c r="H140" s="4" t="s">
        <v>2478</v>
      </c>
    </row>
    <row r="141" customFormat="false" ht="16.4" hidden="false" customHeight="false" outlineLevel="0" collapsed="false">
      <c r="A141" s="4" t="s">
        <v>2622</v>
      </c>
      <c r="B141" s="4" t="s">
        <v>436</v>
      </c>
      <c r="C141" s="4" t="s">
        <v>2485</v>
      </c>
      <c r="D141" s="4" t="n">
        <v>449</v>
      </c>
      <c r="E141" s="4" t="n">
        <v>74</v>
      </c>
      <c r="F141" s="5" t="n">
        <v>103.58</v>
      </c>
      <c r="G141" s="5" t="n">
        <f aca="false">D141*F141</f>
        <v>46507.42</v>
      </c>
      <c r="H141" s="4" t="s">
        <v>2478</v>
      </c>
    </row>
    <row r="142" customFormat="false" ht="16.4" hidden="false" customHeight="false" outlineLevel="0" collapsed="false">
      <c r="A142" s="4" t="s">
        <v>2623</v>
      </c>
      <c r="B142" s="4" t="s">
        <v>336</v>
      </c>
      <c r="C142" s="4" t="s">
        <v>2477</v>
      </c>
      <c r="D142" s="4" t="n">
        <v>127</v>
      </c>
      <c r="E142" s="4" t="n">
        <v>71</v>
      </c>
      <c r="F142" s="5" t="n">
        <v>424.68</v>
      </c>
      <c r="G142" s="5" t="n">
        <f aca="false">D142*F142</f>
        <v>53934.36</v>
      </c>
      <c r="H142" s="4" t="s">
        <v>2478</v>
      </c>
    </row>
    <row r="143" customFormat="false" ht="16.4" hidden="false" customHeight="false" outlineLevel="0" collapsed="false">
      <c r="A143" s="4" t="s">
        <v>2624</v>
      </c>
      <c r="B143" s="4" t="s">
        <v>56</v>
      </c>
      <c r="C143" s="4" t="s">
        <v>2477</v>
      </c>
      <c r="D143" s="4" t="n">
        <v>386</v>
      </c>
      <c r="E143" s="4" t="n">
        <v>130</v>
      </c>
      <c r="F143" s="5" t="n">
        <v>54.95</v>
      </c>
      <c r="G143" s="5" t="n">
        <f aca="false">D143*F143</f>
        <v>21210.7</v>
      </c>
      <c r="H143" s="4" t="s">
        <v>2478</v>
      </c>
    </row>
    <row r="144" customFormat="false" ht="16.4" hidden="false" customHeight="false" outlineLevel="0" collapsed="false">
      <c r="A144" s="4" t="s">
        <v>2625</v>
      </c>
      <c r="B144" s="4" t="s">
        <v>104</v>
      </c>
      <c r="C144" s="4" t="s">
        <v>2477</v>
      </c>
      <c r="D144" s="4" t="n">
        <v>63</v>
      </c>
      <c r="E144" s="4" t="n">
        <v>163</v>
      </c>
      <c r="F144" s="5" t="n">
        <v>583.14</v>
      </c>
      <c r="G144" s="5" t="n">
        <f aca="false">D144*F144</f>
        <v>36737.82</v>
      </c>
      <c r="H144" s="4" t="s">
        <v>2490</v>
      </c>
    </row>
    <row r="145" customFormat="false" ht="16.4" hidden="false" customHeight="false" outlineLevel="0" collapsed="false">
      <c r="A145" s="4" t="s">
        <v>2626</v>
      </c>
      <c r="B145" s="4" t="s">
        <v>194</v>
      </c>
      <c r="C145" s="4" t="s">
        <v>2477</v>
      </c>
      <c r="D145" s="4" t="n">
        <v>442</v>
      </c>
      <c r="E145" s="4" t="n">
        <v>66</v>
      </c>
      <c r="F145" s="5" t="n">
        <v>225.09</v>
      </c>
      <c r="G145" s="5" t="n">
        <f aca="false">D145*F145</f>
        <v>99489.78</v>
      </c>
      <c r="H145" s="4" t="s">
        <v>2478</v>
      </c>
    </row>
    <row r="146" customFormat="false" ht="16.4" hidden="false" customHeight="false" outlineLevel="0" collapsed="false">
      <c r="A146" s="4" t="s">
        <v>2627</v>
      </c>
      <c r="B146" s="4" t="s">
        <v>386</v>
      </c>
      <c r="C146" s="4" t="s">
        <v>2505</v>
      </c>
      <c r="D146" s="4" t="n">
        <v>57</v>
      </c>
      <c r="E146" s="4" t="n">
        <v>63</v>
      </c>
      <c r="F146" s="5" t="n">
        <v>348.46</v>
      </c>
      <c r="G146" s="5" t="n">
        <f aca="false">D146*F146</f>
        <v>19862.22</v>
      </c>
      <c r="H146" s="4" t="s">
        <v>2490</v>
      </c>
    </row>
    <row r="147" customFormat="false" ht="16.4" hidden="false" customHeight="false" outlineLevel="0" collapsed="false">
      <c r="A147" s="4" t="s">
        <v>2628</v>
      </c>
      <c r="B147" s="4" t="s">
        <v>234</v>
      </c>
      <c r="C147" s="4" t="s">
        <v>2481</v>
      </c>
      <c r="D147" s="4" t="n">
        <v>411</v>
      </c>
      <c r="E147" s="4" t="n">
        <v>74</v>
      </c>
      <c r="F147" s="5" t="n">
        <v>159.31</v>
      </c>
      <c r="G147" s="5" t="n">
        <f aca="false">D147*F147</f>
        <v>65476.41</v>
      </c>
      <c r="H147" s="4" t="s">
        <v>2478</v>
      </c>
    </row>
    <row r="148" customFormat="false" ht="16.4" hidden="false" customHeight="false" outlineLevel="0" collapsed="false">
      <c r="A148" s="4" t="s">
        <v>2629</v>
      </c>
      <c r="B148" s="4" t="s">
        <v>424</v>
      </c>
      <c r="C148" s="4" t="s">
        <v>2481</v>
      </c>
      <c r="D148" s="4" t="n">
        <v>420</v>
      </c>
      <c r="E148" s="4" t="n">
        <v>109</v>
      </c>
      <c r="F148" s="5" t="n">
        <v>449.16</v>
      </c>
      <c r="G148" s="5" t="n">
        <f aca="false">D148*F148</f>
        <v>188647.2</v>
      </c>
      <c r="H148" s="4" t="s">
        <v>2478</v>
      </c>
    </row>
    <row r="149" customFormat="false" ht="16.4" hidden="false" customHeight="false" outlineLevel="0" collapsed="false">
      <c r="A149" s="4" t="s">
        <v>2630</v>
      </c>
      <c r="B149" s="4" t="s">
        <v>376</v>
      </c>
      <c r="C149" s="4" t="s">
        <v>2485</v>
      </c>
      <c r="D149" s="4" t="n">
        <v>10</v>
      </c>
      <c r="E149" s="4" t="n">
        <v>166</v>
      </c>
      <c r="F149" s="5" t="n">
        <v>566.35</v>
      </c>
      <c r="G149" s="5" t="n">
        <f aca="false">D149*F149</f>
        <v>5663.5</v>
      </c>
      <c r="H149" s="4" t="s">
        <v>2490</v>
      </c>
    </row>
    <row r="150" customFormat="false" ht="16.4" hidden="false" customHeight="false" outlineLevel="0" collapsed="false">
      <c r="A150" s="4" t="s">
        <v>2631</v>
      </c>
      <c r="B150" s="4" t="s">
        <v>276</v>
      </c>
      <c r="C150" s="4" t="s">
        <v>2505</v>
      </c>
      <c r="D150" s="4" t="n">
        <v>438</v>
      </c>
      <c r="E150" s="4" t="n">
        <v>75</v>
      </c>
      <c r="F150" s="5" t="n">
        <v>620.37</v>
      </c>
      <c r="G150" s="5" t="n">
        <f aca="false">D150*F150</f>
        <v>271722.06</v>
      </c>
      <c r="H150" s="4" t="s">
        <v>2478</v>
      </c>
    </row>
    <row r="151" customFormat="false" ht="16.4" hidden="false" customHeight="false" outlineLevel="0" collapsed="false">
      <c r="A151" s="4" t="s">
        <v>2632</v>
      </c>
      <c r="B151" s="4" t="s">
        <v>372</v>
      </c>
      <c r="C151" s="4" t="s">
        <v>2481</v>
      </c>
      <c r="D151" s="4" t="n">
        <v>26</v>
      </c>
      <c r="E151" s="4" t="n">
        <v>166</v>
      </c>
      <c r="F151" s="5" t="n">
        <v>790.63</v>
      </c>
      <c r="G151" s="5" t="n">
        <f aca="false">D151*F151</f>
        <v>20556.38</v>
      </c>
      <c r="H151" s="4" t="s">
        <v>2490</v>
      </c>
    </row>
    <row r="152" customFormat="false" ht="16.4" hidden="false" customHeight="false" outlineLevel="0" collapsed="false">
      <c r="A152" s="4" t="s">
        <v>2633</v>
      </c>
      <c r="B152" s="4" t="s">
        <v>208</v>
      </c>
      <c r="C152" s="4" t="s">
        <v>2477</v>
      </c>
      <c r="D152" s="4" t="n">
        <v>197</v>
      </c>
      <c r="E152" s="4" t="n">
        <v>77</v>
      </c>
      <c r="F152" s="5" t="n">
        <v>408.88</v>
      </c>
      <c r="G152" s="5" t="n">
        <f aca="false">D152*F152</f>
        <v>80549.36</v>
      </c>
      <c r="H152" s="4" t="s">
        <v>2478</v>
      </c>
    </row>
    <row r="153" customFormat="false" ht="16.4" hidden="false" customHeight="false" outlineLevel="0" collapsed="false">
      <c r="A153" s="4" t="s">
        <v>2634</v>
      </c>
      <c r="B153" s="4" t="s">
        <v>46</v>
      </c>
      <c r="C153" s="4" t="s">
        <v>2481</v>
      </c>
      <c r="D153" s="4" t="n">
        <v>69</v>
      </c>
      <c r="E153" s="4" t="n">
        <v>99</v>
      </c>
      <c r="F153" s="5" t="n">
        <v>157.75</v>
      </c>
      <c r="G153" s="5" t="n">
        <f aca="false">D153*F153</f>
        <v>10884.75</v>
      </c>
      <c r="H153" s="4" t="s">
        <v>2490</v>
      </c>
    </row>
    <row r="154" customFormat="false" ht="16.4" hidden="false" customHeight="false" outlineLevel="0" collapsed="false">
      <c r="A154" s="4" t="s">
        <v>2635</v>
      </c>
      <c r="B154" s="4" t="s">
        <v>104</v>
      </c>
      <c r="C154" s="4" t="s">
        <v>2505</v>
      </c>
      <c r="D154" s="4" t="n">
        <v>521</v>
      </c>
      <c r="E154" s="4" t="n">
        <v>115</v>
      </c>
      <c r="F154" s="5" t="n">
        <v>583.14</v>
      </c>
      <c r="G154" s="5" t="n">
        <f aca="false">D154*F154</f>
        <v>303815.94</v>
      </c>
      <c r="H154" s="4" t="s">
        <v>2478</v>
      </c>
    </row>
    <row r="155" customFormat="false" ht="16.4" hidden="false" customHeight="false" outlineLevel="0" collapsed="false">
      <c r="A155" s="4" t="s">
        <v>2636</v>
      </c>
      <c r="B155" s="4" t="s">
        <v>254</v>
      </c>
      <c r="C155" s="4" t="s">
        <v>2483</v>
      </c>
      <c r="D155" s="4" t="n">
        <v>492</v>
      </c>
      <c r="E155" s="4" t="n">
        <v>163</v>
      </c>
      <c r="F155" s="5" t="n">
        <v>101.76</v>
      </c>
      <c r="G155" s="5" t="n">
        <f aca="false">D155*F155</f>
        <v>50065.92</v>
      </c>
      <c r="H155" s="4" t="s">
        <v>2478</v>
      </c>
    </row>
    <row r="156" customFormat="false" ht="16.4" hidden="false" customHeight="false" outlineLevel="0" collapsed="false">
      <c r="A156" s="4" t="s">
        <v>2637</v>
      </c>
      <c r="B156" s="4" t="s">
        <v>164</v>
      </c>
      <c r="C156" s="4" t="s">
        <v>2477</v>
      </c>
      <c r="D156" s="4" t="n">
        <v>140</v>
      </c>
      <c r="E156" s="4" t="n">
        <v>61</v>
      </c>
      <c r="F156" s="5" t="n">
        <v>794.64</v>
      </c>
      <c r="G156" s="5" t="n">
        <f aca="false">D156*F156</f>
        <v>111249.6</v>
      </c>
      <c r="H156" s="4" t="s">
        <v>2478</v>
      </c>
    </row>
    <row r="157" customFormat="false" ht="16.4" hidden="false" customHeight="false" outlineLevel="0" collapsed="false">
      <c r="A157" s="4" t="s">
        <v>2638</v>
      </c>
      <c r="B157" s="4" t="s">
        <v>104</v>
      </c>
      <c r="C157" s="4" t="s">
        <v>2481</v>
      </c>
      <c r="D157" s="4" t="n">
        <v>319</v>
      </c>
      <c r="E157" s="4" t="n">
        <v>161</v>
      </c>
      <c r="F157" s="5" t="n">
        <v>583.14</v>
      </c>
      <c r="G157" s="5" t="n">
        <f aca="false">D157*F157</f>
        <v>186021.66</v>
      </c>
      <c r="H157" s="4" t="s">
        <v>2478</v>
      </c>
    </row>
    <row r="158" customFormat="false" ht="16.4" hidden="false" customHeight="false" outlineLevel="0" collapsed="false">
      <c r="A158" s="4" t="s">
        <v>2639</v>
      </c>
      <c r="B158" s="4" t="s">
        <v>372</v>
      </c>
      <c r="C158" s="4" t="s">
        <v>2481</v>
      </c>
      <c r="D158" s="4" t="n">
        <v>366</v>
      </c>
      <c r="E158" s="4" t="n">
        <v>129</v>
      </c>
      <c r="F158" s="5" t="n">
        <v>790.63</v>
      </c>
      <c r="G158" s="5" t="n">
        <f aca="false">D158*F158</f>
        <v>289370.58</v>
      </c>
      <c r="H158" s="4" t="s">
        <v>2478</v>
      </c>
    </row>
    <row r="159" customFormat="false" ht="16.4" hidden="false" customHeight="false" outlineLevel="0" collapsed="false">
      <c r="A159" s="4" t="s">
        <v>2640</v>
      </c>
      <c r="B159" s="4" t="s">
        <v>316</v>
      </c>
      <c r="C159" s="4" t="s">
        <v>2485</v>
      </c>
      <c r="D159" s="4" t="n">
        <v>149</v>
      </c>
      <c r="E159" s="4" t="n">
        <v>87</v>
      </c>
      <c r="F159" s="5" t="n">
        <v>437.64</v>
      </c>
      <c r="G159" s="5" t="n">
        <f aca="false">D159*F159</f>
        <v>65208.36</v>
      </c>
      <c r="H159" s="4" t="s">
        <v>2478</v>
      </c>
    </row>
    <row r="160" customFormat="false" ht="16.4" hidden="false" customHeight="false" outlineLevel="0" collapsed="false">
      <c r="A160" s="4" t="s">
        <v>2641</v>
      </c>
      <c r="B160" s="4" t="s">
        <v>198</v>
      </c>
      <c r="C160" s="4" t="s">
        <v>2505</v>
      </c>
      <c r="D160" s="4" t="n">
        <v>351</v>
      </c>
      <c r="E160" s="4" t="n">
        <v>124</v>
      </c>
      <c r="F160" s="5" t="n">
        <v>256.3</v>
      </c>
      <c r="G160" s="5" t="n">
        <f aca="false">D160*F160</f>
        <v>89961.3</v>
      </c>
      <c r="H160" s="4" t="s">
        <v>2478</v>
      </c>
    </row>
    <row r="161" customFormat="false" ht="16.4" hidden="false" customHeight="false" outlineLevel="0" collapsed="false">
      <c r="A161" s="4" t="s">
        <v>2642</v>
      </c>
      <c r="B161" s="4" t="s">
        <v>44</v>
      </c>
      <c r="C161" s="4" t="s">
        <v>2477</v>
      </c>
      <c r="D161" s="4" t="n">
        <v>530</v>
      </c>
      <c r="E161" s="4" t="n">
        <v>87</v>
      </c>
      <c r="F161" s="5" t="n">
        <v>26.25</v>
      </c>
      <c r="G161" s="5" t="n">
        <f aca="false">D161*F161</f>
        <v>13912.5</v>
      </c>
      <c r="H161" s="4" t="s">
        <v>2478</v>
      </c>
    </row>
    <row r="162" customFormat="false" ht="16.4" hidden="false" customHeight="false" outlineLevel="0" collapsed="false">
      <c r="A162" s="4" t="s">
        <v>2643</v>
      </c>
      <c r="B162" s="4" t="s">
        <v>160</v>
      </c>
      <c r="C162" s="4" t="s">
        <v>2485</v>
      </c>
      <c r="D162" s="4" t="n">
        <v>519</v>
      </c>
      <c r="E162" s="4" t="n">
        <v>63</v>
      </c>
      <c r="F162" s="5" t="n">
        <v>125.63</v>
      </c>
      <c r="G162" s="5" t="n">
        <f aca="false">D162*F162</f>
        <v>65201.97</v>
      </c>
      <c r="H162" s="4" t="s">
        <v>2478</v>
      </c>
    </row>
    <row r="163" customFormat="false" ht="16.4" hidden="false" customHeight="false" outlineLevel="0" collapsed="false">
      <c r="A163" s="4" t="s">
        <v>2644</v>
      </c>
      <c r="B163" s="4" t="s">
        <v>216</v>
      </c>
      <c r="C163" s="4" t="s">
        <v>2483</v>
      </c>
      <c r="D163" s="4" t="n">
        <v>200</v>
      </c>
      <c r="E163" s="4" t="n">
        <v>101</v>
      </c>
      <c r="F163" s="5" t="n">
        <v>233.11</v>
      </c>
      <c r="G163" s="5" t="n">
        <f aca="false">D163*F163</f>
        <v>46622</v>
      </c>
      <c r="H163" s="4" t="s">
        <v>2478</v>
      </c>
    </row>
    <row r="164" customFormat="false" ht="16.4" hidden="false" customHeight="false" outlineLevel="0" collapsed="false">
      <c r="A164" s="4" t="s">
        <v>2645</v>
      </c>
      <c r="B164" s="4" t="s">
        <v>74</v>
      </c>
      <c r="C164" s="4" t="s">
        <v>2485</v>
      </c>
      <c r="D164" s="4" t="n">
        <v>349</v>
      </c>
      <c r="E164" s="4" t="n">
        <v>98</v>
      </c>
      <c r="F164" s="5" t="n">
        <v>404.13</v>
      </c>
      <c r="G164" s="5" t="n">
        <f aca="false">D164*F164</f>
        <v>141041.37</v>
      </c>
      <c r="H164" s="4" t="s">
        <v>2478</v>
      </c>
    </row>
    <row r="165" customFormat="false" ht="16.4" hidden="false" customHeight="false" outlineLevel="0" collapsed="false">
      <c r="A165" s="4" t="s">
        <v>2646</v>
      </c>
      <c r="B165" s="4" t="s">
        <v>394</v>
      </c>
      <c r="C165" s="4" t="s">
        <v>2481</v>
      </c>
      <c r="D165" s="4" t="n">
        <v>478</v>
      </c>
      <c r="E165" s="4" t="n">
        <v>134</v>
      </c>
      <c r="F165" s="5" t="n">
        <v>611.21</v>
      </c>
      <c r="G165" s="5" t="n">
        <f aca="false">D165*F165</f>
        <v>292158.38</v>
      </c>
      <c r="H165" s="4" t="s">
        <v>2478</v>
      </c>
    </row>
    <row r="166" customFormat="false" ht="16.4" hidden="false" customHeight="false" outlineLevel="0" collapsed="false">
      <c r="A166" s="4" t="s">
        <v>2647</v>
      </c>
      <c r="B166" s="4" t="s">
        <v>328</v>
      </c>
      <c r="C166" s="4" t="s">
        <v>2485</v>
      </c>
      <c r="D166" s="4" t="n">
        <v>343</v>
      </c>
      <c r="E166" s="4" t="n">
        <v>126</v>
      </c>
      <c r="F166" s="5" t="n">
        <v>93.39</v>
      </c>
      <c r="G166" s="5" t="n">
        <f aca="false">D166*F166</f>
        <v>32032.77</v>
      </c>
      <c r="H166" s="4" t="s">
        <v>2478</v>
      </c>
    </row>
    <row r="167" customFormat="false" ht="16.4" hidden="false" customHeight="false" outlineLevel="0" collapsed="false">
      <c r="A167" s="4" t="s">
        <v>2648</v>
      </c>
      <c r="B167" s="4" t="s">
        <v>208</v>
      </c>
      <c r="C167" s="4" t="s">
        <v>2485</v>
      </c>
      <c r="D167" s="4" t="n">
        <v>166</v>
      </c>
      <c r="E167" s="4" t="n">
        <v>76</v>
      </c>
      <c r="F167" s="5" t="n">
        <v>408.88</v>
      </c>
      <c r="G167" s="5" t="n">
        <f aca="false">D167*F167</f>
        <v>67874.08</v>
      </c>
      <c r="H167" s="4" t="s">
        <v>2478</v>
      </c>
    </row>
    <row r="168" customFormat="false" ht="16.4" hidden="false" customHeight="false" outlineLevel="0" collapsed="false">
      <c r="A168" s="4" t="s">
        <v>2649</v>
      </c>
      <c r="B168" s="4" t="s">
        <v>60</v>
      </c>
      <c r="C168" s="4" t="s">
        <v>2477</v>
      </c>
      <c r="D168" s="4" t="n">
        <v>507</v>
      </c>
      <c r="E168" s="4" t="n">
        <v>106</v>
      </c>
      <c r="F168" s="5" t="n">
        <v>818.54</v>
      </c>
      <c r="G168" s="5" t="n">
        <f aca="false">D168*F168</f>
        <v>414999.78</v>
      </c>
      <c r="H168" s="4" t="s">
        <v>2478</v>
      </c>
    </row>
    <row r="169" customFormat="false" ht="16.4" hidden="false" customHeight="false" outlineLevel="0" collapsed="false">
      <c r="A169" s="4" t="s">
        <v>2650</v>
      </c>
      <c r="B169" s="4" t="s">
        <v>366</v>
      </c>
      <c r="C169" s="4" t="s">
        <v>2485</v>
      </c>
      <c r="D169" s="4" t="n">
        <v>228</v>
      </c>
      <c r="E169" s="4" t="n">
        <v>108</v>
      </c>
      <c r="F169" s="5" t="n">
        <v>107.03</v>
      </c>
      <c r="G169" s="5" t="n">
        <f aca="false">D169*F169</f>
        <v>24402.84</v>
      </c>
      <c r="H169" s="4" t="s">
        <v>2478</v>
      </c>
    </row>
    <row r="170" customFormat="false" ht="16.4" hidden="false" customHeight="false" outlineLevel="0" collapsed="false">
      <c r="A170" s="4" t="s">
        <v>2651</v>
      </c>
      <c r="B170" s="4" t="s">
        <v>358</v>
      </c>
      <c r="C170" s="4" t="s">
        <v>2485</v>
      </c>
      <c r="D170" s="4" t="n">
        <v>218</v>
      </c>
      <c r="E170" s="4" t="n">
        <v>111</v>
      </c>
      <c r="F170" s="5" t="n">
        <v>540.09</v>
      </c>
      <c r="G170" s="5" t="n">
        <f aca="false">D170*F170</f>
        <v>117739.62</v>
      </c>
      <c r="H170" s="4" t="s">
        <v>2478</v>
      </c>
    </row>
    <row r="171" customFormat="false" ht="16.4" hidden="false" customHeight="false" outlineLevel="0" collapsed="false">
      <c r="A171" s="4" t="s">
        <v>2652</v>
      </c>
      <c r="B171" s="4" t="s">
        <v>416</v>
      </c>
      <c r="C171" s="4" t="s">
        <v>2483</v>
      </c>
      <c r="D171" s="4" t="n">
        <v>339</v>
      </c>
      <c r="E171" s="4" t="n">
        <v>146</v>
      </c>
      <c r="F171" s="5" t="n">
        <v>568.9</v>
      </c>
      <c r="G171" s="5" t="n">
        <f aca="false">D171*F171</f>
        <v>192857.1</v>
      </c>
      <c r="H171" s="4" t="s">
        <v>2478</v>
      </c>
    </row>
    <row r="172" customFormat="false" ht="16.4" hidden="false" customHeight="false" outlineLevel="0" collapsed="false">
      <c r="A172" s="4" t="s">
        <v>2653</v>
      </c>
      <c r="B172" s="4" t="s">
        <v>244</v>
      </c>
      <c r="C172" s="4" t="s">
        <v>2505</v>
      </c>
      <c r="D172" s="4" t="n">
        <v>188</v>
      </c>
      <c r="E172" s="4" t="n">
        <v>51</v>
      </c>
      <c r="F172" s="5" t="n">
        <v>475.01</v>
      </c>
      <c r="G172" s="5" t="n">
        <f aca="false">D172*F172</f>
        <v>89301.88</v>
      </c>
      <c r="H172" s="4" t="s">
        <v>2478</v>
      </c>
    </row>
    <row r="173" customFormat="false" ht="16.4" hidden="false" customHeight="false" outlineLevel="0" collapsed="false">
      <c r="A173" s="4" t="s">
        <v>2654</v>
      </c>
      <c r="B173" s="4" t="s">
        <v>44</v>
      </c>
      <c r="C173" s="4" t="s">
        <v>2477</v>
      </c>
      <c r="D173" s="4" t="n">
        <v>75</v>
      </c>
      <c r="E173" s="4" t="n">
        <v>141</v>
      </c>
      <c r="F173" s="5" t="n">
        <v>26.25</v>
      </c>
      <c r="G173" s="5" t="n">
        <f aca="false">D173*F173</f>
        <v>1968.75</v>
      </c>
      <c r="H173" s="4" t="s">
        <v>2490</v>
      </c>
    </row>
    <row r="174" customFormat="false" ht="16.4" hidden="false" customHeight="false" outlineLevel="0" collapsed="false">
      <c r="A174" s="4" t="s">
        <v>2655</v>
      </c>
      <c r="B174" s="4" t="s">
        <v>324</v>
      </c>
      <c r="C174" s="4" t="s">
        <v>2505</v>
      </c>
      <c r="D174" s="4" t="n">
        <v>117</v>
      </c>
      <c r="E174" s="4" t="n">
        <v>86</v>
      </c>
      <c r="F174" s="5" t="n">
        <v>681.93</v>
      </c>
      <c r="G174" s="5" t="n">
        <f aca="false">D174*F174</f>
        <v>79785.81</v>
      </c>
      <c r="H174" s="4" t="s">
        <v>2478</v>
      </c>
    </row>
    <row r="175" customFormat="false" ht="16.4" hidden="false" customHeight="false" outlineLevel="0" collapsed="false">
      <c r="A175" s="4" t="s">
        <v>2656</v>
      </c>
      <c r="B175" s="4" t="s">
        <v>264</v>
      </c>
      <c r="C175" s="4" t="s">
        <v>2477</v>
      </c>
      <c r="D175" s="4" t="n">
        <v>199</v>
      </c>
      <c r="E175" s="4" t="n">
        <v>142</v>
      </c>
      <c r="F175" s="5" t="n">
        <v>148.29</v>
      </c>
      <c r="G175" s="5" t="n">
        <f aca="false">D175*F175</f>
        <v>29509.71</v>
      </c>
      <c r="H175" s="4" t="s">
        <v>2478</v>
      </c>
    </row>
    <row r="176" customFormat="false" ht="16.4" hidden="false" customHeight="false" outlineLevel="0" collapsed="false">
      <c r="A176" s="4" t="s">
        <v>2657</v>
      </c>
      <c r="B176" s="4" t="s">
        <v>54</v>
      </c>
      <c r="C176" s="4" t="s">
        <v>2505</v>
      </c>
      <c r="D176" s="4" t="n">
        <v>203</v>
      </c>
      <c r="E176" s="4" t="n">
        <v>100</v>
      </c>
      <c r="F176" s="5" t="n">
        <v>123.37</v>
      </c>
      <c r="G176" s="5" t="n">
        <f aca="false">D176*F176</f>
        <v>25044.11</v>
      </c>
      <c r="H176" s="4" t="s">
        <v>2478</v>
      </c>
    </row>
    <row r="177" customFormat="false" ht="16.4" hidden="false" customHeight="false" outlineLevel="0" collapsed="false">
      <c r="A177" s="4" t="s">
        <v>2658</v>
      </c>
      <c r="B177" s="4" t="s">
        <v>128</v>
      </c>
      <c r="C177" s="4" t="s">
        <v>2483</v>
      </c>
      <c r="D177" s="4" t="n">
        <v>224</v>
      </c>
      <c r="E177" s="4" t="n">
        <v>117</v>
      </c>
      <c r="F177" s="5" t="n">
        <v>131.57</v>
      </c>
      <c r="G177" s="5" t="n">
        <f aca="false">D177*F177</f>
        <v>29471.68</v>
      </c>
      <c r="H177" s="4" t="s">
        <v>2478</v>
      </c>
    </row>
    <row r="178" customFormat="false" ht="16.4" hidden="false" customHeight="false" outlineLevel="0" collapsed="false">
      <c r="A178" s="4" t="s">
        <v>2659</v>
      </c>
      <c r="B178" s="4" t="s">
        <v>212</v>
      </c>
      <c r="C178" s="4" t="s">
        <v>2483</v>
      </c>
      <c r="D178" s="4" t="n">
        <v>567</v>
      </c>
      <c r="E178" s="4" t="n">
        <v>112</v>
      </c>
      <c r="F178" s="5" t="n">
        <v>387.95</v>
      </c>
      <c r="G178" s="5" t="n">
        <f aca="false">D178*F178</f>
        <v>219967.65</v>
      </c>
      <c r="H178" s="4" t="s">
        <v>2478</v>
      </c>
    </row>
    <row r="179" customFormat="false" ht="16.4" hidden="false" customHeight="false" outlineLevel="0" collapsed="false">
      <c r="A179" s="4" t="s">
        <v>2660</v>
      </c>
      <c r="B179" s="4" t="s">
        <v>140</v>
      </c>
      <c r="C179" s="4" t="s">
        <v>2505</v>
      </c>
      <c r="D179" s="4" t="n">
        <v>22</v>
      </c>
      <c r="E179" s="4" t="n">
        <v>95</v>
      </c>
      <c r="F179" s="5" t="n">
        <v>382.61</v>
      </c>
      <c r="G179" s="5" t="n">
        <f aca="false">D179*F179</f>
        <v>8417.42</v>
      </c>
      <c r="H179" s="4" t="s">
        <v>2490</v>
      </c>
    </row>
    <row r="180" customFormat="false" ht="16.4" hidden="false" customHeight="false" outlineLevel="0" collapsed="false">
      <c r="A180" s="4" t="s">
        <v>2661</v>
      </c>
      <c r="B180" s="4" t="s">
        <v>90</v>
      </c>
      <c r="C180" s="4" t="s">
        <v>2485</v>
      </c>
      <c r="D180" s="4" t="n">
        <v>21</v>
      </c>
      <c r="E180" s="4" t="n">
        <v>85</v>
      </c>
      <c r="F180" s="5" t="n">
        <v>284.8</v>
      </c>
      <c r="G180" s="5" t="n">
        <f aca="false">D180*F180</f>
        <v>5980.8</v>
      </c>
      <c r="H180" s="4" t="s">
        <v>2490</v>
      </c>
    </row>
    <row r="181" customFormat="false" ht="16.4" hidden="false" customHeight="false" outlineLevel="0" collapsed="false">
      <c r="A181" s="4" t="s">
        <v>2662</v>
      </c>
      <c r="B181" s="4" t="s">
        <v>374</v>
      </c>
      <c r="C181" s="4" t="s">
        <v>2483</v>
      </c>
      <c r="D181" s="4" t="n">
        <v>113</v>
      </c>
      <c r="E181" s="4" t="n">
        <v>136</v>
      </c>
      <c r="F181" s="5" t="n">
        <v>460.04</v>
      </c>
      <c r="G181" s="5" t="n">
        <f aca="false">D181*F181</f>
        <v>51984.52</v>
      </c>
      <c r="H181" s="4" t="s">
        <v>2490</v>
      </c>
    </row>
    <row r="182" customFormat="false" ht="16.4" hidden="false" customHeight="false" outlineLevel="0" collapsed="false">
      <c r="A182" s="4" t="s">
        <v>2663</v>
      </c>
      <c r="B182" s="4" t="s">
        <v>196</v>
      </c>
      <c r="C182" s="4" t="s">
        <v>2505</v>
      </c>
      <c r="D182" s="4" t="n">
        <v>467</v>
      </c>
      <c r="E182" s="4" t="n">
        <v>111</v>
      </c>
      <c r="F182" s="5" t="n">
        <v>453.83</v>
      </c>
      <c r="G182" s="5" t="n">
        <f aca="false">D182*F182</f>
        <v>211938.61</v>
      </c>
      <c r="H182" s="4" t="s">
        <v>2478</v>
      </c>
    </row>
    <row r="183" customFormat="false" ht="16.4" hidden="false" customHeight="false" outlineLevel="0" collapsed="false">
      <c r="A183" s="4" t="s">
        <v>2664</v>
      </c>
      <c r="B183" s="4" t="s">
        <v>230</v>
      </c>
      <c r="C183" s="4" t="s">
        <v>2477</v>
      </c>
      <c r="D183" s="4" t="n">
        <v>175</v>
      </c>
      <c r="E183" s="4" t="n">
        <v>161</v>
      </c>
      <c r="F183" s="5" t="n">
        <v>397.78</v>
      </c>
      <c r="G183" s="5" t="n">
        <f aca="false">D183*F183</f>
        <v>69611.5</v>
      </c>
      <c r="H183" s="4" t="s">
        <v>2478</v>
      </c>
    </row>
    <row r="184" customFormat="false" ht="16.4" hidden="false" customHeight="false" outlineLevel="0" collapsed="false">
      <c r="A184" s="4" t="s">
        <v>2665</v>
      </c>
      <c r="B184" s="4" t="s">
        <v>100</v>
      </c>
      <c r="C184" s="4" t="s">
        <v>2483</v>
      </c>
      <c r="D184" s="4" t="n">
        <v>147</v>
      </c>
      <c r="E184" s="4" t="n">
        <v>83</v>
      </c>
      <c r="F184" s="5" t="n">
        <v>65.25</v>
      </c>
      <c r="G184" s="5" t="n">
        <f aca="false">D184*F184</f>
        <v>9591.75</v>
      </c>
      <c r="H184" s="4" t="s">
        <v>2478</v>
      </c>
    </row>
    <row r="185" customFormat="false" ht="16.4" hidden="false" customHeight="false" outlineLevel="0" collapsed="false">
      <c r="A185" s="4" t="s">
        <v>2666</v>
      </c>
      <c r="B185" s="4" t="s">
        <v>138</v>
      </c>
      <c r="C185" s="4" t="s">
        <v>2505</v>
      </c>
      <c r="D185" s="4" t="n">
        <v>545</v>
      </c>
      <c r="E185" s="4" t="n">
        <v>146</v>
      </c>
      <c r="F185" s="5" t="n">
        <v>13.93</v>
      </c>
      <c r="G185" s="5" t="n">
        <f aca="false">D185*F185</f>
        <v>7591.85</v>
      </c>
      <c r="H185" s="4" t="s">
        <v>2478</v>
      </c>
    </row>
    <row r="186" customFormat="false" ht="16.4" hidden="false" customHeight="false" outlineLevel="0" collapsed="false">
      <c r="A186" s="4" t="s">
        <v>2667</v>
      </c>
      <c r="B186" s="4" t="s">
        <v>202</v>
      </c>
      <c r="C186" s="4" t="s">
        <v>2477</v>
      </c>
      <c r="D186" s="4" t="n">
        <v>439</v>
      </c>
      <c r="E186" s="4" t="n">
        <v>112</v>
      </c>
      <c r="F186" s="5" t="n">
        <v>242.33</v>
      </c>
      <c r="G186" s="5" t="n">
        <f aca="false">D186*F186</f>
        <v>106382.87</v>
      </c>
      <c r="H186" s="4" t="s">
        <v>2478</v>
      </c>
    </row>
    <row r="187" customFormat="false" ht="16.4" hidden="false" customHeight="false" outlineLevel="0" collapsed="false">
      <c r="A187" s="4" t="s">
        <v>2668</v>
      </c>
      <c r="B187" s="4" t="s">
        <v>430</v>
      </c>
      <c r="C187" s="4" t="s">
        <v>2483</v>
      </c>
      <c r="D187" s="4" t="n">
        <v>193</v>
      </c>
      <c r="E187" s="4" t="n">
        <v>125</v>
      </c>
      <c r="F187" s="5" t="n">
        <v>536.83</v>
      </c>
      <c r="G187" s="5" t="n">
        <f aca="false">D187*F187</f>
        <v>103608.19</v>
      </c>
      <c r="H187" s="4" t="s">
        <v>2478</v>
      </c>
    </row>
    <row r="188" customFormat="false" ht="16.4" hidden="false" customHeight="false" outlineLevel="0" collapsed="false">
      <c r="A188" s="4" t="s">
        <v>2669</v>
      </c>
      <c r="B188" s="4" t="s">
        <v>206</v>
      </c>
      <c r="C188" s="4" t="s">
        <v>2505</v>
      </c>
      <c r="D188" s="4" t="n">
        <v>253</v>
      </c>
      <c r="E188" s="4" t="n">
        <v>63</v>
      </c>
      <c r="F188" s="5" t="n">
        <v>79.82</v>
      </c>
      <c r="G188" s="5" t="n">
        <f aca="false">D188*F188</f>
        <v>20194.46</v>
      </c>
      <c r="H188" s="4" t="s">
        <v>2478</v>
      </c>
    </row>
    <row r="189" customFormat="false" ht="16.4" hidden="false" customHeight="false" outlineLevel="0" collapsed="false">
      <c r="A189" s="4" t="s">
        <v>2670</v>
      </c>
      <c r="B189" s="4" t="s">
        <v>104</v>
      </c>
      <c r="C189" s="4" t="s">
        <v>2483</v>
      </c>
      <c r="D189" s="4" t="n">
        <v>520</v>
      </c>
      <c r="E189" s="4" t="n">
        <v>175</v>
      </c>
      <c r="F189" s="5" t="n">
        <v>583.14</v>
      </c>
      <c r="G189" s="5" t="n">
        <f aca="false">D189*F189</f>
        <v>303232.8</v>
      </c>
      <c r="H189" s="4" t="s">
        <v>2478</v>
      </c>
    </row>
    <row r="190" customFormat="false" ht="16.4" hidden="false" customHeight="false" outlineLevel="0" collapsed="false">
      <c r="A190" s="4" t="s">
        <v>2671</v>
      </c>
      <c r="B190" s="4" t="s">
        <v>412</v>
      </c>
      <c r="C190" s="4" t="s">
        <v>2481</v>
      </c>
      <c r="D190" s="4" t="n">
        <v>83</v>
      </c>
      <c r="E190" s="4" t="n">
        <v>170</v>
      </c>
      <c r="F190" s="5" t="n">
        <v>782.35</v>
      </c>
      <c r="G190" s="5" t="n">
        <f aca="false">D190*F190</f>
        <v>64935.05</v>
      </c>
      <c r="H190" s="4" t="s">
        <v>2490</v>
      </c>
    </row>
    <row r="191" customFormat="false" ht="16.4" hidden="false" customHeight="false" outlineLevel="0" collapsed="false">
      <c r="A191" s="4" t="s">
        <v>2672</v>
      </c>
      <c r="B191" s="4" t="s">
        <v>72</v>
      </c>
      <c r="C191" s="4" t="s">
        <v>2485</v>
      </c>
      <c r="D191" s="4" t="n">
        <v>171</v>
      </c>
      <c r="E191" s="4" t="n">
        <v>180</v>
      </c>
      <c r="F191" s="5" t="n">
        <v>186.87</v>
      </c>
      <c r="G191" s="5" t="n">
        <f aca="false">D191*F191</f>
        <v>31954.77</v>
      </c>
      <c r="H191" s="4" t="s">
        <v>2490</v>
      </c>
    </row>
    <row r="192" customFormat="false" ht="16.4" hidden="false" customHeight="false" outlineLevel="0" collapsed="false">
      <c r="A192" s="4" t="s">
        <v>2673</v>
      </c>
      <c r="B192" s="4" t="s">
        <v>424</v>
      </c>
      <c r="C192" s="4" t="s">
        <v>2485</v>
      </c>
      <c r="D192" s="4" t="n">
        <v>521</v>
      </c>
      <c r="E192" s="4" t="n">
        <v>145</v>
      </c>
      <c r="F192" s="5" t="n">
        <v>449.16</v>
      </c>
      <c r="G192" s="5" t="n">
        <f aca="false">D192*F192</f>
        <v>234012.36</v>
      </c>
      <c r="H192" s="4" t="s">
        <v>2478</v>
      </c>
    </row>
    <row r="193" customFormat="false" ht="16.4" hidden="false" customHeight="false" outlineLevel="0" collapsed="false">
      <c r="A193" s="4" t="s">
        <v>2674</v>
      </c>
      <c r="B193" s="4" t="s">
        <v>304</v>
      </c>
      <c r="C193" s="4" t="s">
        <v>2505</v>
      </c>
      <c r="D193" s="4" t="n">
        <v>475</v>
      </c>
      <c r="E193" s="4" t="n">
        <v>95</v>
      </c>
      <c r="F193" s="5" t="n">
        <v>550.93</v>
      </c>
      <c r="G193" s="5" t="n">
        <f aca="false">D193*F193</f>
        <v>261691.75</v>
      </c>
      <c r="H193" s="4" t="s">
        <v>2478</v>
      </c>
    </row>
    <row r="194" customFormat="false" ht="16.4" hidden="false" customHeight="false" outlineLevel="0" collapsed="false">
      <c r="A194" s="4" t="s">
        <v>2675</v>
      </c>
      <c r="B194" s="4" t="s">
        <v>404</v>
      </c>
      <c r="C194" s="4" t="s">
        <v>2485</v>
      </c>
      <c r="D194" s="4" t="n">
        <v>382</v>
      </c>
      <c r="E194" s="4" t="n">
        <v>173</v>
      </c>
      <c r="F194" s="5" t="n">
        <v>436.6</v>
      </c>
      <c r="G194" s="5" t="n">
        <f aca="false">D194*F194</f>
        <v>166781.2</v>
      </c>
      <c r="H194" s="4" t="s">
        <v>2478</v>
      </c>
    </row>
    <row r="195" customFormat="false" ht="16.4" hidden="false" customHeight="false" outlineLevel="0" collapsed="false">
      <c r="A195" s="4" t="s">
        <v>2676</v>
      </c>
      <c r="B195" s="4" t="s">
        <v>282</v>
      </c>
      <c r="C195" s="4" t="s">
        <v>2481</v>
      </c>
      <c r="D195" s="4" t="n">
        <v>274</v>
      </c>
      <c r="E195" s="4" t="n">
        <v>152</v>
      </c>
      <c r="F195" s="5" t="n">
        <v>92.85</v>
      </c>
      <c r="G195" s="5" t="n">
        <f aca="false">D195*F195</f>
        <v>25440.9</v>
      </c>
      <c r="H195" s="4" t="s">
        <v>2478</v>
      </c>
    </row>
    <row r="196" customFormat="false" ht="16.4" hidden="false" customHeight="false" outlineLevel="0" collapsed="false">
      <c r="A196" s="4" t="s">
        <v>2677</v>
      </c>
      <c r="B196" s="4" t="s">
        <v>372</v>
      </c>
      <c r="C196" s="4" t="s">
        <v>2483</v>
      </c>
      <c r="D196" s="4" t="n">
        <v>37</v>
      </c>
      <c r="E196" s="4" t="n">
        <v>103</v>
      </c>
      <c r="F196" s="5" t="n">
        <v>790.63</v>
      </c>
      <c r="G196" s="5" t="n">
        <f aca="false">D196*F196</f>
        <v>29253.31</v>
      </c>
      <c r="H196" s="4" t="s">
        <v>2490</v>
      </c>
    </row>
    <row r="197" customFormat="false" ht="16.4" hidden="false" customHeight="false" outlineLevel="0" collapsed="false">
      <c r="A197" s="4" t="s">
        <v>2678</v>
      </c>
      <c r="B197" s="4" t="s">
        <v>142</v>
      </c>
      <c r="C197" s="4" t="s">
        <v>2485</v>
      </c>
      <c r="D197" s="4" t="n">
        <v>462</v>
      </c>
      <c r="E197" s="4" t="n">
        <v>110</v>
      </c>
      <c r="F197" s="5" t="n">
        <v>108.45</v>
      </c>
      <c r="G197" s="5" t="n">
        <f aca="false">D197*F197</f>
        <v>50103.9</v>
      </c>
      <c r="H197" s="4" t="s">
        <v>2478</v>
      </c>
    </row>
    <row r="198" customFormat="false" ht="16.4" hidden="false" customHeight="false" outlineLevel="0" collapsed="false">
      <c r="A198" s="4" t="s">
        <v>2679</v>
      </c>
      <c r="B198" s="4" t="s">
        <v>150</v>
      </c>
      <c r="C198" s="4" t="s">
        <v>2485</v>
      </c>
      <c r="D198" s="4" t="n">
        <v>313</v>
      </c>
      <c r="E198" s="4" t="n">
        <v>158</v>
      </c>
      <c r="F198" s="5" t="n">
        <v>184.75</v>
      </c>
      <c r="G198" s="5" t="n">
        <f aca="false">D198*F198</f>
        <v>57826.75</v>
      </c>
      <c r="H198" s="4" t="s">
        <v>2478</v>
      </c>
    </row>
    <row r="199" customFormat="false" ht="16.4" hidden="false" customHeight="false" outlineLevel="0" collapsed="false">
      <c r="A199" s="4" t="s">
        <v>2680</v>
      </c>
      <c r="B199" s="4" t="s">
        <v>332</v>
      </c>
      <c r="C199" s="4" t="s">
        <v>2505</v>
      </c>
      <c r="D199" s="4" t="n">
        <v>160</v>
      </c>
      <c r="E199" s="4" t="n">
        <v>145</v>
      </c>
      <c r="F199" s="5" t="n">
        <v>470.06</v>
      </c>
      <c r="G199" s="5" t="n">
        <f aca="false">D199*F199</f>
        <v>75209.6</v>
      </c>
      <c r="H199" s="4" t="s">
        <v>2478</v>
      </c>
    </row>
    <row r="200" customFormat="false" ht="16.4" hidden="false" customHeight="false" outlineLevel="0" collapsed="false">
      <c r="A200" s="4" t="s">
        <v>2681</v>
      </c>
      <c r="B200" s="4" t="s">
        <v>320</v>
      </c>
      <c r="C200" s="4" t="s">
        <v>2477</v>
      </c>
      <c r="D200" s="4" t="n">
        <v>86</v>
      </c>
      <c r="E200" s="4" t="n">
        <v>84</v>
      </c>
      <c r="F200" s="5" t="n">
        <v>370.45</v>
      </c>
      <c r="G200" s="5" t="n">
        <f aca="false">D200*F200</f>
        <v>31858.7</v>
      </c>
      <c r="H200" s="4" t="s">
        <v>2478</v>
      </c>
    </row>
    <row r="201" customFormat="false" ht="16.4" hidden="false" customHeight="false" outlineLevel="0" collapsed="false">
      <c r="A201" s="4" t="s">
        <v>2682</v>
      </c>
      <c r="B201" s="4" t="s">
        <v>190</v>
      </c>
      <c r="C201" s="4" t="s">
        <v>2483</v>
      </c>
      <c r="D201" s="4" t="n">
        <v>455</v>
      </c>
      <c r="E201" s="4" t="n">
        <v>140</v>
      </c>
      <c r="F201" s="5" t="n">
        <v>770.78</v>
      </c>
      <c r="G201" s="5" t="n">
        <f aca="false">D201*F201</f>
        <v>350704.9</v>
      </c>
      <c r="H201" s="4" t="s">
        <v>2478</v>
      </c>
    </row>
    <row r="202" customFormat="false" ht="16.4" hidden="false" customHeight="false" outlineLevel="0" collapsed="false">
      <c r="A202" s="4" t="s">
        <v>2683</v>
      </c>
      <c r="B202" s="4" t="s">
        <v>338</v>
      </c>
      <c r="C202" s="4" t="s">
        <v>2481</v>
      </c>
      <c r="D202" s="4" t="n">
        <v>42</v>
      </c>
      <c r="E202" s="4" t="n">
        <v>169</v>
      </c>
      <c r="F202" s="5" t="n">
        <v>608.87</v>
      </c>
      <c r="G202" s="5" t="n">
        <f aca="false">D202*F202</f>
        <v>25572.54</v>
      </c>
      <c r="H202" s="4" t="s">
        <v>2490</v>
      </c>
    </row>
    <row r="203" customFormat="false" ht="16.4" hidden="false" customHeight="false" outlineLevel="0" collapsed="false">
      <c r="A203" s="4" t="s">
        <v>2684</v>
      </c>
      <c r="B203" s="4" t="s">
        <v>358</v>
      </c>
      <c r="C203" s="4" t="s">
        <v>2485</v>
      </c>
      <c r="D203" s="4" t="n">
        <v>344</v>
      </c>
      <c r="E203" s="4" t="n">
        <v>159</v>
      </c>
      <c r="F203" s="5" t="n">
        <v>540.09</v>
      </c>
      <c r="G203" s="5" t="n">
        <f aca="false">D203*F203</f>
        <v>185790.96</v>
      </c>
      <c r="H203" s="4" t="s">
        <v>2478</v>
      </c>
    </row>
    <row r="204" customFormat="false" ht="16.4" hidden="false" customHeight="false" outlineLevel="0" collapsed="false">
      <c r="A204" s="4" t="s">
        <v>2685</v>
      </c>
      <c r="B204" s="4" t="s">
        <v>278</v>
      </c>
      <c r="C204" s="4" t="s">
        <v>2505</v>
      </c>
      <c r="D204" s="4" t="n">
        <v>442</v>
      </c>
      <c r="E204" s="4" t="n">
        <v>154</v>
      </c>
      <c r="F204" s="5" t="n">
        <v>27.03</v>
      </c>
      <c r="G204" s="5" t="n">
        <f aca="false">D204*F204</f>
        <v>11947.26</v>
      </c>
      <c r="H204" s="4" t="s">
        <v>2478</v>
      </c>
    </row>
    <row r="205" customFormat="false" ht="16.4" hidden="false" customHeight="false" outlineLevel="0" collapsed="false">
      <c r="A205" s="4" t="s">
        <v>2686</v>
      </c>
      <c r="B205" s="4" t="s">
        <v>294</v>
      </c>
      <c r="C205" s="4" t="s">
        <v>2485</v>
      </c>
      <c r="D205" s="4" t="n">
        <v>324</v>
      </c>
      <c r="E205" s="4" t="n">
        <v>119</v>
      </c>
      <c r="F205" s="5" t="n">
        <v>604.38</v>
      </c>
      <c r="G205" s="5" t="n">
        <f aca="false">D205*F205</f>
        <v>195819.12</v>
      </c>
      <c r="H205" s="4" t="s">
        <v>2478</v>
      </c>
    </row>
    <row r="206" customFormat="false" ht="16.4" hidden="false" customHeight="false" outlineLevel="0" collapsed="false">
      <c r="A206" s="4" t="s">
        <v>2687</v>
      </c>
      <c r="B206" s="4" t="s">
        <v>52</v>
      </c>
      <c r="C206" s="4" t="s">
        <v>2483</v>
      </c>
      <c r="D206" s="4" t="n">
        <v>183</v>
      </c>
      <c r="E206" s="4" t="n">
        <v>163</v>
      </c>
      <c r="F206" s="5" t="n">
        <v>72.84</v>
      </c>
      <c r="G206" s="5" t="n">
        <f aca="false">D206*F206</f>
        <v>13329.72</v>
      </c>
      <c r="H206" s="4" t="s">
        <v>2478</v>
      </c>
    </row>
    <row r="207" customFormat="false" ht="16.4" hidden="false" customHeight="false" outlineLevel="0" collapsed="false">
      <c r="A207" s="4" t="s">
        <v>2688</v>
      </c>
      <c r="B207" s="4" t="s">
        <v>174</v>
      </c>
      <c r="C207" s="4" t="s">
        <v>2477</v>
      </c>
      <c r="D207" s="4" t="n">
        <v>77</v>
      </c>
      <c r="E207" s="4" t="n">
        <v>141</v>
      </c>
      <c r="F207" s="5" t="n">
        <v>525.13</v>
      </c>
      <c r="G207" s="5" t="n">
        <f aca="false">D207*F207</f>
        <v>40435.01</v>
      </c>
      <c r="H207" s="4" t="s">
        <v>2490</v>
      </c>
    </row>
    <row r="208" customFormat="false" ht="16.4" hidden="false" customHeight="false" outlineLevel="0" collapsed="false">
      <c r="A208" s="4" t="s">
        <v>2689</v>
      </c>
      <c r="B208" s="4" t="s">
        <v>190</v>
      </c>
      <c r="C208" s="4" t="s">
        <v>2505</v>
      </c>
      <c r="D208" s="4" t="n">
        <v>513</v>
      </c>
      <c r="E208" s="4" t="n">
        <v>70</v>
      </c>
      <c r="F208" s="5" t="n">
        <v>770.78</v>
      </c>
      <c r="G208" s="5" t="n">
        <f aca="false">D208*F208</f>
        <v>395410.14</v>
      </c>
      <c r="H208" s="4" t="s">
        <v>2478</v>
      </c>
    </row>
    <row r="209" customFormat="false" ht="16.4" hidden="false" customHeight="false" outlineLevel="0" collapsed="false">
      <c r="A209" s="4" t="s">
        <v>2690</v>
      </c>
      <c r="B209" s="4" t="s">
        <v>156</v>
      </c>
      <c r="C209" s="4" t="s">
        <v>2477</v>
      </c>
      <c r="D209" s="4" t="n">
        <v>100</v>
      </c>
      <c r="E209" s="4" t="n">
        <v>80</v>
      </c>
      <c r="F209" s="5" t="n">
        <v>382.69</v>
      </c>
      <c r="G209" s="5" t="n">
        <f aca="false">D209*F209</f>
        <v>38269</v>
      </c>
      <c r="H209" s="4" t="s">
        <v>2478</v>
      </c>
    </row>
    <row r="210" customFormat="false" ht="16.4" hidden="false" customHeight="false" outlineLevel="0" collapsed="false">
      <c r="A210" s="4" t="s">
        <v>2691</v>
      </c>
      <c r="B210" s="4" t="s">
        <v>224</v>
      </c>
      <c r="C210" s="4" t="s">
        <v>2505</v>
      </c>
      <c r="D210" s="4" t="n">
        <v>39</v>
      </c>
      <c r="E210" s="4" t="n">
        <v>101</v>
      </c>
      <c r="F210" s="5" t="n">
        <v>337.48</v>
      </c>
      <c r="G210" s="5" t="n">
        <f aca="false">D210*F210</f>
        <v>13161.72</v>
      </c>
      <c r="H210" s="4" t="s">
        <v>2490</v>
      </c>
    </row>
    <row r="211" customFormat="false" ht="16.4" hidden="false" customHeight="false" outlineLevel="0" collapsed="false">
      <c r="A211" s="4" t="s">
        <v>2692</v>
      </c>
      <c r="B211" s="4" t="s">
        <v>140</v>
      </c>
      <c r="C211" s="4" t="s">
        <v>2505</v>
      </c>
      <c r="D211" s="4" t="n">
        <v>337</v>
      </c>
      <c r="E211" s="4" t="n">
        <v>114</v>
      </c>
      <c r="F211" s="5" t="n">
        <v>382.61</v>
      </c>
      <c r="G211" s="5" t="n">
        <f aca="false">D211*F211</f>
        <v>128939.57</v>
      </c>
      <c r="H211" s="4" t="s">
        <v>2478</v>
      </c>
    </row>
    <row r="212" customFormat="false" ht="16.4" hidden="false" customHeight="false" outlineLevel="0" collapsed="false">
      <c r="A212" s="4" t="s">
        <v>2693</v>
      </c>
      <c r="B212" s="4" t="s">
        <v>420</v>
      </c>
      <c r="C212" s="4" t="s">
        <v>2481</v>
      </c>
      <c r="D212" s="4" t="n">
        <v>281</v>
      </c>
      <c r="E212" s="4" t="n">
        <v>98</v>
      </c>
      <c r="F212" s="5" t="n">
        <v>464.05</v>
      </c>
      <c r="G212" s="5" t="n">
        <f aca="false">D212*F212</f>
        <v>130398.05</v>
      </c>
      <c r="H212" s="4" t="s">
        <v>2478</v>
      </c>
    </row>
    <row r="213" customFormat="false" ht="16.4" hidden="false" customHeight="false" outlineLevel="0" collapsed="false">
      <c r="A213" s="4" t="s">
        <v>2694</v>
      </c>
      <c r="B213" s="4" t="s">
        <v>110</v>
      </c>
      <c r="C213" s="4" t="s">
        <v>2477</v>
      </c>
      <c r="D213" s="4" t="n">
        <v>556</v>
      </c>
      <c r="E213" s="4" t="n">
        <v>116</v>
      </c>
      <c r="F213" s="5" t="n">
        <v>249.51</v>
      </c>
      <c r="G213" s="5" t="n">
        <f aca="false">D213*F213</f>
        <v>138727.56</v>
      </c>
      <c r="H213" s="4" t="s">
        <v>2478</v>
      </c>
    </row>
    <row r="214" customFormat="false" ht="16.4" hidden="false" customHeight="false" outlineLevel="0" collapsed="false">
      <c r="A214" s="4" t="s">
        <v>2695</v>
      </c>
      <c r="B214" s="4" t="s">
        <v>434</v>
      </c>
      <c r="C214" s="4" t="s">
        <v>2505</v>
      </c>
      <c r="D214" s="4" t="n">
        <v>306</v>
      </c>
      <c r="E214" s="4" t="n">
        <v>122</v>
      </c>
      <c r="F214" s="5" t="n">
        <v>208.29</v>
      </c>
      <c r="G214" s="5" t="n">
        <f aca="false">D214*F214</f>
        <v>63736.74</v>
      </c>
      <c r="H214" s="4" t="s">
        <v>2478</v>
      </c>
    </row>
    <row r="215" customFormat="false" ht="16.4" hidden="false" customHeight="false" outlineLevel="0" collapsed="false">
      <c r="A215" s="4" t="s">
        <v>2696</v>
      </c>
      <c r="B215" s="4" t="s">
        <v>246</v>
      </c>
      <c r="C215" s="4" t="s">
        <v>2485</v>
      </c>
      <c r="D215" s="4" t="n">
        <v>415</v>
      </c>
      <c r="E215" s="4" t="n">
        <v>53</v>
      </c>
      <c r="F215" s="5" t="n">
        <v>227.08</v>
      </c>
      <c r="G215" s="5" t="n">
        <f aca="false">D215*F215</f>
        <v>94238.2</v>
      </c>
      <c r="H215" s="4" t="s">
        <v>2478</v>
      </c>
    </row>
    <row r="216" customFormat="false" ht="16.4" hidden="false" customHeight="false" outlineLevel="0" collapsed="false">
      <c r="A216" s="4" t="s">
        <v>2697</v>
      </c>
      <c r="B216" s="4" t="s">
        <v>374</v>
      </c>
      <c r="C216" s="4" t="s">
        <v>2485</v>
      </c>
      <c r="D216" s="4" t="n">
        <v>524</v>
      </c>
      <c r="E216" s="4" t="n">
        <v>88</v>
      </c>
      <c r="F216" s="5" t="n">
        <v>460.04</v>
      </c>
      <c r="G216" s="5" t="n">
        <f aca="false">D216*F216</f>
        <v>241060.96</v>
      </c>
      <c r="H216" s="4" t="s">
        <v>2478</v>
      </c>
    </row>
    <row r="217" customFormat="false" ht="16.4" hidden="false" customHeight="false" outlineLevel="0" collapsed="false">
      <c r="A217" s="4" t="s">
        <v>2698</v>
      </c>
      <c r="B217" s="4" t="s">
        <v>156</v>
      </c>
      <c r="C217" s="4" t="s">
        <v>2485</v>
      </c>
      <c r="D217" s="4" t="n">
        <v>232</v>
      </c>
      <c r="E217" s="4" t="n">
        <v>103</v>
      </c>
      <c r="F217" s="5" t="n">
        <v>382.69</v>
      </c>
      <c r="G217" s="5" t="n">
        <f aca="false">D217*F217</f>
        <v>88784.08</v>
      </c>
      <c r="H217" s="4" t="s">
        <v>2478</v>
      </c>
    </row>
    <row r="218" customFormat="false" ht="16.4" hidden="false" customHeight="false" outlineLevel="0" collapsed="false">
      <c r="A218" s="4" t="s">
        <v>2699</v>
      </c>
      <c r="B218" s="4" t="s">
        <v>158</v>
      </c>
      <c r="C218" s="4" t="s">
        <v>2485</v>
      </c>
      <c r="D218" s="4" t="n">
        <v>528</v>
      </c>
      <c r="E218" s="4" t="n">
        <v>169</v>
      </c>
      <c r="F218" s="5" t="n">
        <v>422.27</v>
      </c>
      <c r="G218" s="5" t="n">
        <f aca="false">D218*F218</f>
        <v>222958.56</v>
      </c>
      <c r="H218" s="4" t="s">
        <v>2478</v>
      </c>
    </row>
    <row r="219" customFormat="false" ht="16.4" hidden="false" customHeight="false" outlineLevel="0" collapsed="false">
      <c r="A219" s="4" t="s">
        <v>2700</v>
      </c>
      <c r="B219" s="4" t="s">
        <v>214</v>
      </c>
      <c r="C219" s="4" t="s">
        <v>2483</v>
      </c>
      <c r="D219" s="4" t="n">
        <v>87</v>
      </c>
      <c r="E219" s="4" t="n">
        <v>130</v>
      </c>
      <c r="F219" s="5" t="n">
        <v>409.35</v>
      </c>
      <c r="G219" s="5" t="n">
        <f aca="false">D219*F219</f>
        <v>35613.45</v>
      </c>
      <c r="H219" s="4" t="s">
        <v>2490</v>
      </c>
    </row>
    <row r="220" customFormat="false" ht="16.4" hidden="false" customHeight="false" outlineLevel="0" collapsed="false">
      <c r="A220" s="4" t="s">
        <v>2701</v>
      </c>
      <c r="B220" s="4" t="s">
        <v>258</v>
      </c>
      <c r="C220" s="4" t="s">
        <v>2485</v>
      </c>
      <c r="D220" s="4" t="n">
        <v>427</v>
      </c>
      <c r="E220" s="4" t="n">
        <v>103</v>
      </c>
      <c r="F220" s="5" t="n">
        <v>138.85</v>
      </c>
      <c r="G220" s="5" t="n">
        <f aca="false">D220*F220</f>
        <v>59288.95</v>
      </c>
      <c r="H220" s="4" t="s">
        <v>2478</v>
      </c>
    </row>
    <row r="221" customFormat="false" ht="16.4" hidden="false" customHeight="false" outlineLevel="0" collapsed="false">
      <c r="A221" s="4" t="s">
        <v>2702</v>
      </c>
      <c r="B221" s="4" t="s">
        <v>270</v>
      </c>
      <c r="C221" s="4" t="s">
        <v>2505</v>
      </c>
      <c r="D221" s="4" t="n">
        <v>571</v>
      </c>
      <c r="E221" s="4" t="n">
        <v>57</v>
      </c>
      <c r="F221" s="5" t="n">
        <v>443.23</v>
      </c>
      <c r="G221" s="5" t="n">
        <f aca="false">D221*F221</f>
        <v>253084.33</v>
      </c>
      <c r="H221" s="4" t="s">
        <v>2478</v>
      </c>
    </row>
    <row r="222" customFormat="false" ht="16.4" hidden="false" customHeight="false" outlineLevel="0" collapsed="false">
      <c r="A222" s="4" t="s">
        <v>2703</v>
      </c>
      <c r="B222" s="4" t="s">
        <v>110</v>
      </c>
      <c r="C222" s="4" t="s">
        <v>2505</v>
      </c>
      <c r="D222" s="4" t="n">
        <v>591</v>
      </c>
      <c r="E222" s="4" t="n">
        <v>82</v>
      </c>
      <c r="F222" s="5" t="n">
        <v>249.51</v>
      </c>
      <c r="G222" s="5" t="n">
        <f aca="false">D222*F222</f>
        <v>147460.41</v>
      </c>
      <c r="H222" s="4" t="s">
        <v>2478</v>
      </c>
    </row>
    <row r="223" customFormat="false" ht="16.4" hidden="false" customHeight="false" outlineLevel="0" collapsed="false">
      <c r="A223" s="4" t="s">
        <v>2704</v>
      </c>
      <c r="B223" s="4" t="s">
        <v>416</v>
      </c>
      <c r="C223" s="4" t="s">
        <v>2505</v>
      </c>
      <c r="D223" s="4" t="n">
        <v>9</v>
      </c>
      <c r="E223" s="4" t="n">
        <v>177</v>
      </c>
      <c r="F223" s="5" t="n">
        <v>568.9</v>
      </c>
      <c r="G223" s="5" t="n">
        <f aca="false">D223*F223</f>
        <v>5120.1</v>
      </c>
      <c r="H223" s="4" t="s">
        <v>2490</v>
      </c>
    </row>
    <row r="224" customFormat="false" ht="16.4" hidden="false" customHeight="false" outlineLevel="0" collapsed="false">
      <c r="A224" s="4" t="s">
        <v>2705</v>
      </c>
      <c r="B224" s="4" t="s">
        <v>212</v>
      </c>
      <c r="C224" s="4" t="s">
        <v>2485</v>
      </c>
      <c r="D224" s="4" t="n">
        <v>230</v>
      </c>
      <c r="E224" s="4" t="n">
        <v>157</v>
      </c>
      <c r="F224" s="5" t="n">
        <v>387.95</v>
      </c>
      <c r="G224" s="5" t="n">
        <f aca="false">D224*F224</f>
        <v>89228.5</v>
      </c>
      <c r="H224" s="4" t="s">
        <v>2478</v>
      </c>
    </row>
    <row r="225" customFormat="false" ht="16.4" hidden="false" customHeight="false" outlineLevel="0" collapsed="false">
      <c r="A225" s="4" t="s">
        <v>2706</v>
      </c>
      <c r="B225" s="4" t="s">
        <v>390</v>
      </c>
      <c r="C225" s="4" t="s">
        <v>2505</v>
      </c>
      <c r="D225" s="4" t="n">
        <v>413</v>
      </c>
      <c r="E225" s="4" t="n">
        <v>126</v>
      </c>
      <c r="F225" s="5" t="n">
        <v>396.04</v>
      </c>
      <c r="G225" s="5" t="n">
        <f aca="false">D225*F225</f>
        <v>163564.52</v>
      </c>
      <c r="H225" s="4" t="s">
        <v>2478</v>
      </c>
    </row>
    <row r="226" customFormat="false" ht="16.4" hidden="false" customHeight="false" outlineLevel="0" collapsed="false">
      <c r="A226" s="4" t="s">
        <v>2707</v>
      </c>
      <c r="B226" s="4" t="s">
        <v>340</v>
      </c>
      <c r="C226" s="4" t="s">
        <v>2483</v>
      </c>
      <c r="D226" s="4" t="n">
        <v>23</v>
      </c>
      <c r="E226" s="4" t="n">
        <v>58</v>
      </c>
      <c r="F226" s="5" t="n">
        <v>313.13</v>
      </c>
      <c r="G226" s="5" t="n">
        <f aca="false">D226*F226</f>
        <v>7201.99</v>
      </c>
      <c r="H226" s="4" t="s">
        <v>2490</v>
      </c>
    </row>
    <row r="227" customFormat="false" ht="16.4" hidden="false" customHeight="false" outlineLevel="0" collapsed="false">
      <c r="A227" s="4" t="s">
        <v>2708</v>
      </c>
      <c r="B227" s="4" t="s">
        <v>118</v>
      </c>
      <c r="C227" s="4" t="s">
        <v>2485</v>
      </c>
      <c r="D227" s="4" t="n">
        <v>338</v>
      </c>
      <c r="E227" s="4" t="n">
        <v>150</v>
      </c>
      <c r="F227" s="5" t="n">
        <v>421.07</v>
      </c>
      <c r="G227" s="5" t="n">
        <f aca="false">D227*F227</f>
        <v>142321.66</v>
      </c>
      <c r="H227" s="4" t="s">
        <v>2478</v>
      </c>
    </row>
    <row r="228" customFormat="false" ht="16.4" hidden="false" customHeight="false" outlineLevel="0" collapsed="false">
      <c r="A228" s="4" t="s">
        <v>2709</v>
      </c>
      <c r="B228" s="4" t="s">
        <v>144</v>
      </c>
      <c r="C228" s="4" t="s">
        <v>2481</v>
      </c>
      <c r="D228" s="4" t="n">
        <v>400</v>
      </c>
      <c r="E228" s="4" t="n">
        <v>66</v>
      </c>
      <c r="F228" s="5" t="n">
        <v>53.8</v>
      </c>
      <c r="G228" s="5" t="n">
        <f aca="false">D228*F228</f>
        <v>21520</v>
      </c>
      <c r="H228" s="4" t="s">
        <v>2478</v>
      </c>
    </row>
    <row r="229" customFormat="false" ht="16.4" hidden="false" customHeight="false" outlineLevel="0" collapsed="false">
      <c r="A229" s="4" t="s">
        <v>2710</v>
      </c>
      <c r="B229" s="4" t="s">
        <v>236</v>
      </c>
      <c r="C229" s="4" t="s">
        <v>2477</v>
      </c>
      <c r="D229" s="4" t="n">
        <v>192</v>
      </c>
      <c r="E229" s="4" t="n">
        <v>171</v>
      </c>
      <c r="F229" s="5" t="n">
        <v>124.01</v>
      </c>
      <c r="G229" s="5" t="n">
        <f aca="false">D229*F229</f>
        <v>23809.92</v>
      </c>
      <c r="H229" s="4" t="s">
        <v>2478</v>
      </c>
    </row>
    <row r="230" customFormat="false" ht="16.4" hidden="false" customHeight="false" outlineLevel="0" collapsed="false">
      <c r="A230" s="4" t="s">
        <v>2711</v>
      </c>
      <c r="B230" s="4" t="s">
        <v>208</v>
      </c>
      <c r="C230" s="4" t="s">
        <v>2505</v>
      </c>
      <c r="D230" s="4" t="n">
        <v>583</v>
      </c>
      <c r="E230" s="4" t="n">
        <v>165</v>
      </c>
      <c r="F230" s="5" t="n">
        <v>408.88</v>
      </c>
      <c r="G230" s="5" t="n">
        <f aca="false">D230*F230</f>
        <v>238377.04</v>
      </c>
      <c r="H230" s="4" t="s">
        <v>2478</v>
      </c>
    </row>
    <row r="231" customFormat="false" ht="16.4" hidden="false" customHeight="false" outlineLevel="0" collapsed="false">
      <c r="A231" s="4" t="s">
        <v>2712</v>
      </c>
      <c r="B231" s="4" t="s">
        <v>86</v>
      </c>
      <c r="C231" s="4" t="s">
        <v>2481</v>
      </c>
      <c r="D231" s="4" t="n">
        <v>175</v>
      </c>
      <c r="E231" s="4" t="n">
        <v>76</v>
      </c>
      <c r="F231" s="5" t="n">
        <v>367.51</v>
      </c>
      <c r="G231" s="5" t="n">
        <f aca="false">D231*F231</f>
        <v>64314.25</v>
      </c>
      <c r="H231" s="4" t="s">
        <v>2478</v>
      </c>
    </row>
    <row r="232" customFormat="false" ht="16.4" hidden="false" customHeight="false" outlineLevel="0" collapsed="false">
      <c r="A232" s="4" t="s">
        <v>2713</v>
      </c>
      <c r="B232" s="4" t="s">
        <v>130</v>
      </c>
      <c r="C232" s="4" t="s">
        <v>2477</v>
      </c>
      <c r="D232" s="4" t="n">
        <v>32</v>
      </c>
      <c r="E232" s="4" t="n">
        <v>175</v>
      </c>
      <c r="F232" s="5" t="n">
        <v>397.9</v>
      </c>
      <c r="G232" s="5" t="n">
        <f aca="false">D232*F232</f>
        <v>12732.8</v>
      </c>
      <c r="H232" s="4" t="s">
        <v>2490</v>
      </c>
    </row>
    <row r="233" customFormat="false" ht="16.4" hidden="false" customHeight="false" outlineLevel="0" collapsed="false">
      <c r="A233" s="4" t="s">
        <v>2714</v>
      </c>
      <c r="B233" s="4" t="s">
        <v>134</v>
      </c>
      <c r="C233" s="4" t="s">
        <v>2485</v>
      </c>
      <c r="D233" s="4" t="n">
        <v>203</v>
      </c>
      <c r="E233" s="4" t="n">
        <v>67</v>
      </c>
      <c r="F233" s="5" t="n">
        <v>767.72</v>
      </c>
      <c r="G233" s="5" t="n">
        <f aca="false">D233*F233</f>
        <v>155847.16</v>
      </c>
      <c r="H233" s="4" t="s">
        <v>2478</v>
      </c>
    </row>
    <row r="234" customFormat="false" ht="16.4" hidden="false" customHeight="false" outlineLevel="0" collapsed="false">
      <c r="A234" s="4" t="s">
        <v>2715</v>
      </c>
      <c r="B234" s="4" t="s">
        <v>184</v>
      </c>
      <c r="C234" s="4" t="s">
        <v>2505</v>
      </c>
      <c r="D234" s="4" t="n">
        <v>210</v>
      </c>
      <c r="E234" s="4" t="n">
        <v>109</v>
      </c>
      <c r="F234" s="5" t="n">
        <v>327.97</v>
      </c>
      <c r="G234" s="5" t="n">
        <f aca="false">D234*F234</f>
        <v>68873.7</v>
      </c>
      <c r="H234" s="4" t="s">
        <v>2478</v>
      </c>
    </row>
    <row r="235" customFormat="false" ht="16.4" hidden="false" customHeight="false" outlineLevel="0" collapsed="false">
      <c r="A235" s="4" t="s">
        <v>2716</v>
      </c>
      <c r="B235" s="4" t="s">
        <v>376</v>
      </c>
      <c r="C235" s="4" t="s">
        <v>2485</v>
      </c>
      <c r="D235" s="4" t="n">
        <v>536</v>
      </c>
      <c r="E235" s="4" t="n">
        <v>67</v>
      </c>
      <c r="F235" s="5" t="n">
        <v>566.35</v>
      </c>
      <c r="G235" s="5" t="n">
        <f aca="false">D235*F235</f>
        <v>303563.6</v>
      </c>
      <c r="H235" s="4" t="s">
        <v>2478</v>
      </c>
    </row>
    <row r="236" customFormat="false" ht="16.4" hidden="false" customHeight="false" outlineLevel="0" collapsed="false">
      <c r="A236" s="4" t="s">
        <v>2717</v>
      </c>
      <c r="B236" s="4" t="s">
        <v>68</v>
      </c>
      <c r="C236" s="4" t="s">
        <v>2483</v>
      </c>
      <c r="D236" s="4" t="n">
        <v>377</v>
      </c>
      <c r="E236" s="4" t="n">
        <v>52</v>
      </c>
      <c r="F236" s="5" t="n">
        <v>351.17</v>
      </c>
      <c r="G236" s="5" t="n">
        <f aca="false">D236*F236</f>
        <v>132391.09</v>
      </c>
      <c r="H236" s="4" t="s">
        <v>2478</v>
      </c>
    </row>
    <row r="237" customFormat="false" ht="16.4" hidden="false" customHeight="false" outlineLevel="0" collapsed="false">
      <c r="A237" s="4" t="s">
        <v>2718</v>
      </c>
      <c r="B237" s="4" t="s">
        <v>206</v>
      </c>
      <c r="C237" s="4" t="s">
        <v>2483</v>
      </c>
      <c r="D237" s="4" t="n">
        <v>420</v>
      </c>
      <c r="E237" s="4" t="n">
        <v>150</v>
      </c>
      <c r="F237" s="5" t="n">
        <v>79.82</v>
      </c>
      <c r="G237" s="5" t="n">
        <f aca="false">D237*F237</f>
        <v>33524.4</v>
      </c>
      <c r="H237" s="4" t="s">
        <v>2478</v>
      </c>
    </row>
    <row r="238" customFormat="false" ht="16.4" hidden="false" customHeight="false" outlineLevel="0" collapsed="false">
      <c r="A238" s="4" t="s">
        <v>2719</v>
      </c>
      <c r="B238" s="4" t="s">
        <v>96</v>
      </c>
      <c r="C238" s="4" t="s">
        <v>2485</v>
      </c>
      <c r="D238" s="4" t="n">
        <v>132</v>
      </c>
      <c r="E238" s="4" t="n">
        <v>157</v>
      </c>
      <c r="F238" s="5" t="n">
        <v>823.48</v>
      </c>
      <c r="G238" s="5" t="n">
        <f aca="false">D238*F238</f>
        <v>108699.36</v>
      </c>
      <c r="H238" s="4" t="s">
        <v>2490</v>
      </c>
    </row>
    <row r="239" customFormat="false" ht="16.4" hidden="false" customHeight="false" outlineLevel="0" collapsed="false">
      <c r="A239" s="4" t="s">
        <v>2720</v>
      </c>
      <c r="B239" s="4" t="s">
        <v>420</v>
      </c>
      <c r="C239" s="4" t="s">
        <v>2483</v>
      </c>
      <c r="D239" s="4" t="n">
        <v>70</v>
      </c>
      <c r="E239" s="4" t="n">
        <v>149</v>
      </c>
      <c r="F239" s="5" t="n">
        <v>464.05</v>
      </c>
      <c r="G239" s="5" t="n">
        <f aca="false">D239*F239</f>
        <v>32483.5</v>
      </c>
      <c r="H239" s="4" t="s">
        <v>2490</v>
      </c>
    </row>
    <row r="240" customFormat="false" ht="16.4" hidden="false" customHeight="false" outlineLevel="0" collapsed="false">
      <c r="A240" s="4" t="s">
        <v>2721</v>
      </c>
      <c r="B240" s="4" t="s">
        <v>106</v>
      </c>
      <c r="C240" s="4" t="s">
        <v>2485</v>
      </c>
      <c r="D240" s="4" t="n">
        <v>210</v>
      </c>
      <c r="E240" s="4" t="n">
        <v>129</v>
      </c>
      <c r="F240" s="5" t="n">
        <v>545.28</v>
      </c>
      <c r="G240" s="5" t="n">
        <f aca="false">D240*F240</f>
        <v>114508.8</v>
      </c>
      <c r="H240" s="4" t="s">
        <v>2478</v>
      </c>
    </row>
    <row r="241" customFormat="false" ht="16.4" hidden="false" customHeight="false" outlineLevel="0" collapsed="false">
      <c r="A241" s="4" t="s">
        <v>2722</v>
      </c>
      <c r="B241" s="4" t="s">
        <v>402</v>
      </c>
      <c r="C241" s="4" t="s">
        <v>2481</v>
      </c>
      <c r="D241" s="4" t="n">
        <v>486</v>
      </c>
      <c r="E241" s="4" t="n">
        <v>90</v>
      </c>
      <c r="F241" s="5" t="n">
        <v>177.64</v>
      </c>
      <c r="G241" s="5" t="n">
        <f aca="false">D241*F241</f>
        <v>86333.04</v>
      </c>
      <c r="H241" s="4" t="s">
        <v>2478</v>
      </c>
    </row>
    <row r="242" customFormat="false" ht="16.4" hidden="false" customHeight="false" outlineLevel="0" collapsed="false">
      <c r="A242" s="4" t="s">
        <v>2723</v>
      </c>
      <c r="B242" s="4" t="s">
        <v>334</v>
      </c>
      <c r="C242" s="4" t="s">
        <v>2481</v>
      </c>
      <c r="D242" s="4" t="n">
        <v>317</v>
      </c>
      <c r="E242" s="4" t="n">
        <v>101</v>
      </c>
      <c r="F242" s="5" t="n">
        <v>23.46</v>
      </c>
      <c r="G242" s="5" t="n">
        <f aca="false">D242*F242</f>
        <v>7436.82</v>
      </c>
      <c r="H242" s="4" t="s">
        <v>2478</v>
      </c>
    </row>
    <row r="243" customFormat="false" ht="16.4" hidden="false" customHeight="false" outlineLevel="0" collapsed="false">
      <c r="A243" s="4" t="s">
        <v>2724</v>
      </c>
      <c r="B243" s="4" t="s">
        <v>406</v>
      </c>
      <c r="C243" s="4" t="s">
        <v>2483</v>
      </c>
      <c r="D243" s="4" t="n">
        <v>469</v>
      </c>
      <c r="E243" s="4" t="n">
        <v>120</v>
      </c>
      <c r="F243" s="5" t="n">
        <v>645.34</v>
      </c>
      <c r="G243" s="5" t="n">
        <f aca="false">D243*F243</f>
        <v>302664.46</v>
      </c>
      <c r="H243" s="4" t="s">
        <v>2478</v>
      </c>
    </row>
    <row r="244" customFormat="false" ht="16.4" hidden="false" customHeight="false" outlineLevel="0" collapsed="false">
      <c r="A244" s="4" t="s">
        <v>2725</v>
      </c>
      <c r="B244" s="4" t="s">
        <v>42</v>
      </c>
      <c r="C244" s="4" t="s">
        <v>2477</v>
      </c>
      <c r="D244" s="4" t="n">
        <v>146</v>
      </c>
      <c r="E244" s="4" t="n">
        <v>164</v>
      </c>
      <c r="F244" s="5" t="n">
        <v>579.72</v>
      </c>
      <c r="G244" s="5" t="n">
        <f aca="false">D244*F244</f>
        <v>84639.12</v>
      </c>
      <c r="H244" s="4" t="s">
        <v>2490</v>
      </c>
    </row>
    <row r="245" customFormat="false" ht="16.4" hidden="false" customHeight="false" outlineLevel="0" collapsed="false">
      <c r="A245" s="4" t="s">
        <v>2726</v>
      </c>
      <c r="B245" s="4" t="s">
        <v>244</v>
      </c>
      <c r="C245" s="4" t="s">
        <v>2481</v>
      </c>
      <c r="D245" s="4" t="n">
        <v>252</v>
      </c>
      <c r="E245" s="4" t="n">
        <v>134</v>
      </c>
      <c r="F245" s="5" t="n">
        <v>475.01</v>
      </c>
      <c r="G245" s="5" t="n">
        <f aca="false">D245*F245</f>
        <v>119702.52</v>
      </c>
      <c r="H245" s="4" t="s">
        <v>2478</v>
      </c>
    </row>
    <row r="246" customFormat="false" ht="16.4" hidden="false" customHeight="false" outlineLevel="0" collapsed="false">
      <c r="A246" s="4" t="s">
        <v>2727</v>
      </c>
      <c r="B246" s="4" t="s">
        <v>290</v>
      </c>
      <c r="C246" s="4" t="s">
        <v>2481</v>
      </c>
      <c r="D246" s="4" t="n">
        <v>471</v>
      </c>
      <c r="E246" s="4" t="n">
        <v>168</v>
      </c>
      <c r="F246" s="5" t="n">
        <v>601.93</v>
      </c>
      <c r="G246" s="5" t="n">
        <f aca="false">D246*F246</f>
        <v>283509.03</v>
      </c>
      <c r="H246" s="4" t="s">
        <v>2478</v>
      </c>
    </row>
    <row r="247" customFormat="false" ht="16.4" hidden="false" customHeight="false" outlineLevel="0" collapsed="false">
      <c r="A247" s="4" t="s">
        <v>2728</v>
      </c>
      <c r="B247" s="4" t="s">
        <v>60</v>
      </c>
      <c r="C247" s="4" t="s">
        <v>2485</v>
      </c>
      <c r="D247" s="4" t="n">
        <v>93</v>
      </c>
      <c r="E247" s="4" t="n">
        <v>123</v>
      </c>
      <c r="F247" s="5" t="n">
        <v>818.54</v>
      </c>
      <c r="G247" s="5" t="n">
        <f aca="false">D247*F247</f>
        <v>76124.22</v>
      </c>
      <c r="H247" s="4" t="s">
        <v>2490</v>
      </c>
    </row>
    <row r="248" customFormat="false" ht="16.4" hidden="false" customHeight="false" outlineLevel="0" collapsed="false">
      <c r="A248" s="4" t="s">
        <v>2729</v>
      </c>
      <c r="B248" s="4" t="s">
        <v>216</v>
      </c>
      <c r="C248" s="4" t="s">
        <v>2481</v>
      </c>
      <c r="D248" s="4" t="n">
        <v>304</v>
      </c>
      <c r="E248" s="4" t="n">
        <v>150</v>
      </c>
      <c r="F248" s="5" t="n">
        <v>233.11</v>
      </c>
      <c r="G248" s="5" t="n">
        <f aca="false">D248*F248</f>
        <v>70865.44</v>
      </c>
      <c r="H248" s="4" t="s">
        <v>2478</v>
      </c>
    </row>
    <row r="249" customFormat="false" ht="16.4" hidden="false" customHeight="false" outlineLevel="0" collapsed="false">
      <c r="A249" s="4" t="s">
        <v>2730</v>
      </c>
      <c r="B249" s="4" t="s">
        <v>128</v>
      </c>
      <c r="C249" s="4" t="s">
        <v>2483</v>
      </c>
      <c r="D249" s="4" t="n">
        <v>425</v>
      </c>
      <c r="E249" s="4" t="n">
        <v>113</v>
      </c>
      <c r="F249" s="5" t="n">
        <v>131.57</v>
      </c>
      <c r="G249" s="5" t="n">
        <f aca="false">D249*F249</f>
        <v>55917.25</v>
      </c>
      <c r="H249" s="4" t="s">
        <v>2478</v>
      </c>
    </row>
    <row r="250" customFormat="false" ht="16.4" hidden="false" customHeight="false" outlineLevel="0" collapsed="false">
      <c r="A250" s="4" t="s">
        <v>2731</v>
      </c>
      <c r="B250" s="4" t="s">
        <v>356</v>
      </c>
      <c r="C250" s="4" t="s">
        <v>2485</v>
      </c>
      <c r="D250" s="4" t="n">
        <v>442</v>
      </c>
      <c r="E250" s="4" t="n">
        <v>167</v>
      </c>
      <c r="F250" s="5" t="n">
        <v>449.21</v>
      </c>
      <c r="G250" s="5" t="n">
        <f aca="false">D250*F250</f>
        <v>198550.82</v>
      </c>
      <c r="H250" s="4" t="s">
        <v>2478</v>
      </c>
    </row>
    <row r="251" customFormat="false" ht="16.4" hidden="false" customHeight="false" outlineLevel="0" collapsed="false">
      <c r="A251" s="4" t="s">
        <v>2732</v>
      </c>
      <c r="B251" s="4" t="s">
        <v>376</v>
      </c>
      <c r="C251" s="4" t="s">
        <v>2485</v>
      </c>
      <c r="D251" s="4" t="n">
        <v>187</v>
      </c>
      <c r="E251" s="4" t="n">
        <v>74</v>
      </c>
      <c r="F251" s="5" t="n">
        <v>566.35</v>
      </c>
      <c r="G251" s="5" t="n">
        <f aca="false">D251*F251</f>
        <v>105907.45</v>
      </c>
      <c r="H251" s="4" t="s">
        <v>2478</v>
      </c>
    </row>
    <row r="252" customFormat="false" ht="16.4" hidden="false" customHeight="false" outlineLevel="0" collapsed="false">
      <c r="A252" s="4" t="s">
        <v>2733</v>
      </c>
      <c r="B252" s="4" t="s">
        <v>396</v>
      </c>
      <c r="C252" s="4" t="s">
        <v>2483</v>
      </c>
      <c r="D252" s="4" t="n">
        <v>44</v>
      </c>
      <c r="E252" s="4" t="n">
        <v>111</v>
      </c>
      <c r="F252" s="5" t="n">
        <v>221.87</v>
      </c>
      <c r="G252" s="5" t="n">
        <f aca="false">D252*F252</f>
        <v>9762.28</v>
      </c>
      <c r="H252" s="4" t="s">
        <v>2490</v>
      </c>
    </row>
    <row r="253" customFormat="false" ht="16.4" hidden="false" customHeight="false" outlineLevel="0" collapsed="false">
      <c r="A253" s="4" t="s">
        <v>2734</v>
      </c>
      <c r="B253" s="4" t="s">
        <v>180</v>
      </c>
      <c r="C253" s="4" t="s">
        <v>2477</v>
      </c>
      <c r="D253" s="4" t="n">
        <v>550</v>
      </c>
      <c r="E253" s="4" t="n">
        <v>124</v>
      </c>
      <c r="F253" s="5" t="n">
        <v>711.24</v>
      </c>
      <c r="G253" s="5" t="n">
        <f aca="false">D253*F253</f>
        <v>391182</v>
      </c>
      <c r="H253" s="4" t="s">
        <v>2478</v>
      </c>
    </row>
    <row r="254" customFormat="false" ht="16.4" hidden="false" customHeight="false" outlineLevel="0" collapsed="false">
      <c r="A254" s="4" t="s">
        <v>2735</v>
      </c>
      <c r="B254" s="4" t="s">
        <v>396</v>
      </c>
      <c r="C254" s="4" t="s">
        <v>2485</v>
      </c>
      <c r="D254" s="4" t="n">
        <v>222</v>
      </c>
      <c r="E254" s="4" t="n">
        <v>176</v>
      </c>
      <c r="F254" s="5" t="n">
        <v>221.87</v>
      </c>
      <c r="G254" s="5" t="n">
        <f aca="false">D254*F254</f>
        <v>49255.14</v>
      </c>
      <c r="H254" s="4" t="s">
        <v>2478</v>
      </c>
    </row>
    <row r="255" customFormat="false" ht="16.4" hidden="false" customHeight="false" outlineLevel="0" collapsed="false">
      <c r="A255" s="4" t="s">
        <v>2736</v>
      </c>
      <c r="B255" s="4" t="s">
        <v>430</v>
      </c>
      <c r="C255" s="4" t="s">
        <v>2505</v>
      </c>
      <c r="D255" s="4" t="n">
        <v>566</v>
      </c>
      <c r="E255" s="4" t="n">
        <v>81</v>
      </c>
      <c r="F255" s="5" t="n">
        <v>536.83</v>
      </c>
      <c r="G255" s="5" t="n">
        <f aca="false">D255*F255</f>
        <v>303845.78</v>
      </c>
      <c r="H255" s="4" t="s">
        <v>2478</v>
      </c>
    </row>
    <row r="256" customFormat="false" ht="16.4" hidden="false" customHeight="false" outlineLevel="0" collapsed="false">
      <c r="A256" s="4" t="s">
        <v>2737</v>
      </c>
      <c r="B256" s="4" t="s">
        <v>78</v>
      </c>
      <c r="C256" s="4" t="s">
        <v>2505</v>
      </c>
      <c r="D256" s="4" t="n">
        <v>107</v>
      </c>
      <c r="E256" s="4" t="n">
        <v>179</v>
      </c>
      <c r="F256" s="5" t="n">
        <v>308.28</v>
      </c>
      <c r="G256" s="5" t="n">
        <f aca="false">D256*F256</f>
        <v>32985.96</v>
      </c>
      <c r="H256" s="4" t="s">
        <v>2490</v>
      </c>
    </row>
    <row r="257" customFormat="false" ht="16.4" hidden="false" customHeight="false" outlineLevel="0" collapsed="false">
      <c r="A257" s="4" t="s">
        <v>2738</v>
      </c>
      <c r="B257" s="4" t="s">
        <v>248</v>
      </c>
      <c r="C257" s="4" t="s">
        <v>2505</v>
      </c>
      <c r="D257" s="4" t="n">
        <v>461</v>
      </c>
      <c r="E257" s="4" t="n">
        <v>92</v>
      </c>
      <c r="F257" s="5" t="n">
        <v>147.93</v>
      </c>
      <c r="G257" s="5" t="n">
        <f aca="false">D257*F257</f>
        <v>68195.73</v>
      </c>
      <c r="H257" s="4" t="s">
        <v>2478</v>
      </c>
    </row>
    <row r="258" customFormat="false" ht="16.4" hidden="false" customHeight="false" outlineLevel="0" collapsed="false">
      <c r="A258" s="4" t="s">
        <v>2739</v>
      </c>
      <c r="B258" s="4" t="s">
        <v>146</v>
      </c>
      <c r="C258" s="4" t="s">
        <v>2485</v>
      </c>
      <c r="D258" s="4" t="n">
        <v>518</v>
      </c>
      <c r="E258" s="4" t="n">
        <v>61</v>
      </c>
      <c r="F258" s="5" t="n">
        <v>440.85</v>
      </c>
      <c r="G258" s="5" t="n">
        <f aca="false">D258*F258</f>
        <v>228360.3</v>
      </c>
      <c r="H258" s="4" t="s">
        <v>2478</v>
      </c>
    </row>
    <row r="259" customFormat="false" ht="16.4" hidden="false" customHeight="false" outlineLevel="0" collapsed="false">
      <c r="A259" s="4" t="s">
        <v>2740</v>
      </c>
      <c r="B259" s="4" t="s">
        <v>52</v>
      </c>
      <c r="C259" s="4" t="s">
        <v>2485</v>
      </c>
      <c r="D259" s="4" t="n">
        <v>74</v>
      </c>
      <c r="E259" s="4" t="n">
        <v>168</v>
      </c>
      <c r="F259" s="5" t="n">
        <v>72.84</v>
      </c>
      <c r="G259" s="5" t="n">
        <f aca="false">D259*F259</f>
        <v>5390.16</v>
      </c>
      <c r="H259" s="4" t="s">
        <v>2490</v>
      </c>
    </row>
    <row r="260" customFormat="false" ht="16.4" hidden="false" customHeight="false" outlineLevel="0" collapsed="false">
      <c r="A260" s="4" t="s">
        <v>2741</v>
      </c>
      <c r="B260" s="4" t="s">
        <v>214</v>
      </c>
      <c r="C260" s="4" t="s">
        <v>2485</v>
      </c>
      <c r="D260" s="4" t="n">
        <v>408</v>
      </c>
      <c r="E260" s="4" t="n">
        <v>99</v>
      </c>
      <c r="F260" s="5" t="n">
        <v>409.35</v>
      </c>
      <c r="G260" s="5" t="n">
        <f aca="false">D260*F260</f>
        <v>167014.8</v>
      </c>
      <c r="H260" s="4" t="s">
        <v>2478</v>
      </c>
    </row>
    <row r="261" customFormat="false" ht="16.4" hidden="false" customHeight="false" outlineLevel="0" collapsed="false">
      <c r="A261" s="4" t="s">
        <v>2742</v>
      </c>
      <c r="B261" s="4" t="s">
        <v>58</v>
      </c>
      <c r="C261" s="4" t="s">
        <v>2477</v>
      </c>
      <c r="D261" s="4" t="n">
        <v>10</v>
      </c>
      <c r="E261" s="4" t="n">
        <v>114</v>
      </c>
      <c r="F261" s="5" t="n">
        <v>94.81</v>
      </c>
      <c r="G261" s="5" t="n">
        <f aca="false">D261*F261</f>
        <v>948.1</v>
      </c>
      <c r="H261" s="4" t="s">
        <v>2490</v>
      </c>
    </row>
    <row r="262" customFormat="false" ht="16.4" hidden="false" customHeight="false" outlineLevel="0" collapsed="false">
      <c r="A262" s="4" t="s">
        <v>2743</v>
      </c>
      <c r="B262" s="4" t="s">
        <v>402</v>
      </c>
      <c r="C262" s="4" t="s">
        <v>2485</v>
      </c>
      <c r="D262" s="4" t="n">
        <v>139</v>
      </c>
      <c r="E262" s="4" t="n">
        <v>133</v>
      </c>
      <c r="F262" s="5" t="n">
        <v>177.64</v>
      </c>
      <c r="G262" s="5" t="n">
        <f aca="false">D262*F262</f>
        <v>24691.96</v>
      </c>
      <c r="H262" s="4" t="s">
        <v>2478</v>
      </c>
    </row>
    <row r="263" customFormat="false" ht="16.4" hidden="false" customHeight="false" outlineLevel="0" collapsed="false">
      <c r="A263" s="4" t="s">
        <v>2744</v>
      </c>
      <c r="B263" s="4" t="s">
        <v>288</v>
      </c>
      <c r="C263" s="4" t="s">
        <v>2477</v>
      </c>
      <c r="D263" s="4" t="n">
        <v>472</v>
      </c>
      <c r="E263" s="4" t="n">
        <v>67</v>
      </c>
      <c r="F263" s="5" t="n">
        <v>455.59</v>
      </c>
      <c r="G263" s="5" t="n">
        <f aca="false">D263*F263</f>
        <v>215038.48</v>
      </c>
      <c r="H263" s="4" t="s">
        <v>2478</v>
      </c>
    </row>
    <row r="264" customFormat="false" ht="16.4" hidden="false" customHeight="false" outlineLevel="0" collapsed="false">
      <c r="A264" s="4" t="s">
        <v>2745</v>
      </c>
      <c r="B264" s="4" t="s">
        <v>320</v>
      </c>
      <c r="C264" s="4" t="s">
        <v>2483</v>
      </c>
      <c r="D264" s="4" t="n">
        <v>248</v>
      </c>
      <c r="E264" s="4" t="n">
        <v>162</v>
      </c>
      <c r="F264" s="5" t="n">
        <v>370.45</v>
      </c>
      <c r="G264" s="5" t="n">
        <f aca="false">D264*F264</f>
        <v>91871.6</v>
      </c>
      <c r="H264" s="4" t="s">
        <v>2478</v>
      </c>
    </row>
    <row r="265" customFormat="false" ht="16.4" hidden="false" customHeight="false" outlineLevel="0" collapsed="false">
      <c r="A265" s="4" t="s">
        <v>2746</v>
      </c>
      <c r="B265" s="4" t="s">
        <v>280</v>
      </c>
      <c r="C265" s="4" t="s">
        <v>2483</v>
      </c>
      <c r="D265" s="4" t="n">
        <v>285</v>
      </c>
      <c r="E265" s="4" t="n">
        <v>91</v>
      </c>
      <c r="F265" s="5" t="n">
        <v>575.86</v>
      </c>
      <c r="G265" s="5" t="n">
        <f aca="false">D265*F265</f>
        <v>164120.1</v>
      </c>
      <c r="H265" s="4" t="s">
        <v>2478</v>
      </c>
    </row>
    <row r="266" customFormat="false" ht="16.4" hidden="false" customHeight="false" outlineLevel="0" collapsed="false">
      <c r="A266" s="4" t="s">
        <v>2747</v>
      </c>
      <c r="B266" s="4" t="s">
        <v>48</v>
      </c>
      <c r="C266" s="4" t="s">
        <v>2505</v>
      </c>
      <c r="D266" s="4" t="n">
        <v>102</v>
      </c>
      <c r="E266" s="4" t="n">
        <v>95</v>
      </c>
      <c r="F266" s="5" t="n">
        <v>255</v>
      </c>
      <c r="G266" s="5" t="n">
        <f aca="false">D266*F266</f>
        <v>26010</v>
      </c>
      <c r="H266" s="4" t="s">
        <v>2478</v>
      </c>
    </row>
    <row r="267" customFormat="false" ht="16.4" hidden="false" customHeight="false" outlineLevel="0" collapsed="false">
      <c r="A267" s="4" t="s">
        <v>2748</v>
      </c>
      <c r="B267" s="4" t="s">
        <v>102</v>
      </c>
      <c r="C267" s="4" t="s">
        <v>2483</v>
      </c>
      <c r="D267" s="4" t="n">
        <v>547</v>
      </c>
      <c r="E267" s="4" t="n">
        <v>150</v>
      </c>
      <c r="F267" s="5" t="n">
        <v>729.21</v>
      </c>
      <c r="G267" s="5" t="n">
        <f aca="false">D267*F267</f>
        <v>398877.87</v>
      </c>
      <c r="H267" s="4" t="s">
        <v>2478</v>
      </c>
    </row>
    <row r="268" customFormat="false" ht="16.4" hidden="false" customHeight="false" outlineLevel="0" collapsed="false">
      <c r="A268" s="4" t="s">
        <v>2749</v>
      </c>
      <c r="B268" s="4" t="s">
        <v>78</v>
      </c>
      <c r="C268" s="4" t="s">
        <v>2483</v>
      </c>
      <c r="D268" s="4" t="n">
        <v>11</v>
      </c>
      <c r="E268" s="4" t="n">
        <v>119</v>
      </c>
      <c r="F268" s="5" t="n">
        <v>308.28</v>
      </c>
      <c r="G268" s="5" t="n">
        <f aca="false">D268*F268</f>
        <v>3391.08</v>
      </c>
      <c r="H268" s="4" t="s">
        <v>2490</v>
      </c>
    </row>
    <row r="269" customFormat="false" ht="16.4" hidden="false" customHeight="false" outlineLevel="0" collapsed="false">
      <c r="A269" s="4" t="s">
        <v>2750</v>
      </c>
      <c r="B269" s="4" t="s">
        <v>264</v>
      </c>
      <c r="C269" s="4" t="s">
        <v>2483</v>
      </c>
      <c r="D269" s="4" t="n">
        <v>366</v>
      </c>
      <c r="E269" s="4" t="n">
        <v>95</v>
      </c>
      <c r="F269" s="5" t="n">
        <v>148.29</v>
      </c>
      <c r="G269" s="5" t="n">
        <f aca="false">D269*F269</f>
        <v>54274.14</v>
      </c>
      <c r="H269" s="4" t="s">
        <v>2478</v>
      </c>
    </row>
    <row r="270" customFormat="false" ht="16.4" hidden="false" customHeight="false" outlineLevel="0" collapsed="false">
      <c r="A270" s="4" t="s">
        <v>2751</v>
      </c>
      <c r="B270" s="4" t="s">
        <v>404</v>
      </c>
      <c r="C270" s="4" t="s">
        <v>2485</v>
      </c>
      <c r="D270" s="4" t="n">
        <v>35</v>
      </c>
      <c r="E270" s="4" t="n">
        <v>105</v>
      </c>
      <c r="F270" s="5" t="n">
        <v>436.6</v>
      </c>
      <c r="G270" s="5" t="n">
        <f aca="false">D270*F270</f>
        <v>15281</v>
      </c>
      <c r="H270" s="4" t="s">
        <v>2490</v>
      </c>
    </row>
    <row r="271" customFormat="false" ht="16.4" hidden="false" customHeight="false" outlineLevel="0" collapsed="false">
      <c r="A271" s="4" t="s">
        <v>2752</v>
      </c>
      <c r="B271" s="4" t="s">
        <v>396</v>
      </c>
      <c r="C271" s="4" t="s">
        <v>2485</v>
      </c>
      <c r="D271" s="4" t="n">
        <v>48</v>
      </c>
      <c r="E271" s="4" t="n">
        <v>76</v>
      </c>
      <c r="F271" s="5" t="n">
        <v>221.87</v>
      </c>
      <c r="G271" s="5" t="n">
        <f aca="false">D271*F271</f>
        <v>10649.76</v>
      </c>
      <c r="H271" s="4" t="s">
        <v>2490</v>
      </c>
    </row>
    <row r="272" customFormat="false" ht="16.4" hidden="false" customHeight="false" outlineLevel="0" collapsed="false">
      <c r="A272" s="4" t="s">
        <v>2753</v>
      </c>
      <c r="B272" s="4" t="s">
        <v>392</v>
      </c>
      <c r="C272" s="4" t="s">
        <v>2477</v>
      </c>
      <c r="D272" s="4" t="n">
        <v>315</v>
      </c>
      <c r="E272" s="4" t="n">
        <v>163</v>
      </c>
      <c r="F272" s="5" t="n">
        <v>339.69</v>
      </c>
      <c r="G272" s="5" t="n">
        <f aca="false">D272*F272</f>
        <v>107002.35</v>
      </c>
      <c r="H272" s="4" t="s">
        <v>2478</v>
      </c>
    </row>
    <row r="273" customFormat="false" ht="16.4" hidden="false" customHeight="false" outlineLevel="0" collapsed="false">
      <c r="A273" s="4" t="s">
        <v>2754</v>
      </c>
      <c r="B273" s="4" t="s">
        <v>346</v>
      </c>
      <c r="C273" s="4" t="s">
        <v>2485</v>
      </c>
      <c r="D273" s="4" t="n">
        <v>4</v>
      </c>
      <c r="E273" s="4" t="n">
        <v>62</v>
      </c>
      <c r="F273" s="5" t="n">
        <v>107.67</v>
      </c>
      <c r="G273" s="5" t="n">
        <f aca="false">D273*F273</f>
        <v>430.68</v>
      </c>
      <c r="H273" s="4" t="s">
        <v>2490</v>
      </c>
    </row>
    <row r="274" customFormat="false" ht="16.4" hidden="false" customHeight="false" outlineLevel="0" collapsed="false">
      <c r="A274" s="4" t="s">
        <v>2755</v>
      </c>
      <c r="B274" s="4" t="s">
        <v>432</v>
      </c>
      <c r="C274" s="4" t="s">
        <v>2505</v>
      </c>
      <c r="D274" s="4" t="n">
        <v>206</v>
      </c>
      <c r="E274" s="4" t="n">
        <v>113</v>
      </c>
      <c r="F274" s="5" t="n">
        <v>63.49</v>
      </c>
      <c r="G274" s="5" t="n">
        <f aca="false">D274*F274</f>
        <v>13078.94</v>
      </c>
      <c r="H274" s="4" t="s">
        <v>2478</v>
      </c>
    </row>
    <row r="275" customFormat="false" ht="16.4" hidden="false" customHeight="false" outlineLevel="0" collapsed="false">
      <c r="A275" s="4" t="s">
        <v>2756</v>
      </c>
      <c r="B275" s="4" t="s">
        <v>162</v>
      </c>
      <c r="C275" s="4" t="s">
        <v>2477</v>
      </c>
      <c r="D275" s="4" t="n">
        <v>204</v>
      </c>
      <c r="E275" s="4" t="n">
        <v>73</v>
      </c>
      <c r="F275" s="5" t="n">
        <v>189.69</v>
      </c>
      <c r="G275" s="5" t="n">
        <f aca="false">D275*F275</f>
        <v>38696.76</v>
      </c>
      <c r="H275" s="4" t="s">
        <v>2478</v>
      </c>
    </row>
    <row r="276" customFormat="false" ht="16.4" hidden="false" customHeight="false" outlineLevel="0" collapsed="false">
      <c r="A276" s="4" t="s">
        <v>2757</v>
      </c>
      <c r="B276" s="4" t="s">
        <v>254</v>
      </c>
      <c r="C276" s="4" t="s">
        <v>2505</v>
      </c>
      <c r="D276" s="4" t="n">
        <v>28</v>
      </c>
      <c r="E276" s="4" t="n">
        <v>53</v>
      </c>
      <c r="F276" s="5" t="n">
        <v>101.76</v>
      </c>
      <c r="G276" s="5" t="n">
        <f aca="false">D276*F276</f>
        <v>2849.28</v>
      </c>
      <c r="H276" s="4" t="s">
        <v>2490</v>
      </c>
    </row>
    <row r="277" customFormat="false" ht="16.4" hidden="false" customHeight="false" outlineLevel="0" collapsed="false">
      <c r="A277" s="4" t="s">
        <v>2758</v>
      </c>
      <c r="B277" s="4" t="s">
        <v>138</v>
      </c>
      <c r="C277" s="4" t="s">
        <v>2477</v>
      </c>
      <c r="D277" s="4" t="n">
        <v>64</v>
      </c>
      <c r="E277" s="4" t="n">
        <v>106</v>
      </c>
      <c r="F277" s="5" t="n">
        <v>13.93</v>
      </c>
      <c r="G277" s="5" t="n">
        <f aca="false">D277*F277</f>
        <v>891.52</v>
      </c>
      <c r="H277" s="4" t="s">
        <v>2490</v>
      </c>
    </row>
    <row r="278" customFormat="false" ht="16.4" hidden="false" customHeight="false" outlineLevel="0" collapsed="false">
      <c r="A278" s="4" t="s">
        <v>2759</v>
      </c>
      <c r="B278" s="4" t="s">
        <v>380</v>
      </c>
      <c r="C278" s="4" t="s">
        <v>2477</v>
      </c>
      <c r="D278" s="4" t="n">
        <v>171</v>
      </c>
      <c r="E278" s="4" t="n">
        <v>92</v>
      </c>
      <c r="F278" s="5" t="n">
        <v>563.08</v>
      </c>
      <c r="G278" s="5" t="n">
        <f aca="false">D278*F278</f>
        <v>96286.68</v>
      </c>
      <c r="H278" s="4" t="s">
        <v>2478</v>
      </c>
    </row>
    <row r="279" customFormat="false" ht="16.4" hidden="false" customHeight="false" outlineLevel="0" collapsed="false">
      <c r="A279" s="4" t="s">
        <v>2760</v>
      </c>
      <c r="B279" s="4" t="s">
        <v>252</v>
      </c>
      <c r="C279" s="4" t="s">
        <v>2505</v>
      </c>
      <c r="D279" s="4" t="n">
        <v>524</v>
      </c>
      <c r="E279" s="4" t="n">
        <v>77</v>
      </c>
      <c r="F279" s="5" t="n">
        <v>145.56</v>
      </c>
      <c r="G279" s="5" t="n">
        <f aca="false">D279*F279</f>
        <v>76273.44</v>
      </c>
      <c r="H279" s="4" t="s">
        <v>2478</v>
      </c>
    </row>
    <row r="280" customFormat="false" ht="16.4" hidden="false" customHeight="false" outlineLevel="0" collapsed="false">
      <c r="A280" s="4" t="s">
        <v>2761</v>
      </c>
      <c r="B280" s="4" t="s">
        <v>204</v>
      </c>
      <c r="C280" s="4" t="s">
        <v>2481</v>
      </c>
      <c r="D280" s="4" t="n">
        <v>575</v>
      </c>
      <c r="E280" s="4" t="n">
        <v>98</v>
      </c>
      <c r="F280" s="5" t="n">
        <v>118.5</v>
      </c>
      <c r="G280" s="5" t="n">
        <f aca="false">D280*F280</f>
        <v>68137.5</v>
      </c>
      <c r="H280" s="4" t="s">
        <v>2478</v>
      </c>
    </row>
    <row r="281" customFormat="false" ht="16.4" hidden="false" customHeight="false" outlineLevel="0" collapsed="false">
      <c r="A281" s="4" t="s">
        <v>2762</v>
      </c>
      <c r="B281" s="4" t="s">
        <v>146</v>
      </c>
      <c r="C281" s="4" t="s">
        <v>2485</v>
      </c>
      <c r="D281" s="4" t="n">
        <v>554</v>
      </c>
      <c r="E281" s="4" t="n">
        <v>151</v>
      </c>
      <c r="F281" s="5" t="n">
        <v>440.85</v>
      </c>
      <c r="G281" s="5" t="n">
        <f aca="false">D281*F281</f>
        <v>244230.9</v>
      </c>
      <c r="H281" s="4" t="s">
        <v>2478</v>
      </c>
    </row>
    <row r="282" customFormat="false" ht="16.4" hidden="false" customHeight="false" outlineLevel="0" collapsed="false">
      <c r="A282" s="4" t="s">
        <v>2763</v>
      </c>
      <c r="B282" s="4" t="s">
        <v>100</v>
      </c>
      <c r="C282" s="4" t="s">
        <v>2477</v>
      </c>
      <c r="D282" s="4" t="n">
        <v>237</v>
      </c>
      <c r="E282" s="4" t="n">
        <v>104</v>
      </c>
      <c r="F282" s="5" t="n">
        <v>65.25</v>
      </c>
      <c r="G282" s="5" t="n">
        <f aca="false">D282*F282</f>
        <v>15464.25</v>
      </c>
      <c r="H282" s="4" t="s">
        <v>2478</v>
      </c>
    </row>
    <row r="283" customFormat="false" ht="16.4" hidden="false" customHeight="false" outlineLevel="0" collapsed="false">
      <c r="A283" s="4" t="s">
        <v>2764</v>
      </c>
      <c r="B283" s="4" t="s">
        <v>222</v>
      </c>
      <c r="C283" s="4" t="s">
        <v>2477</v>
      </c>
      <c r="D283" s="4" t="n">
        <v>331</v>
      </c>
      <c r="E283" s="4" t="n">
        <v>94</v>
      </c>
      <c r="F283" s="5" t="n">
        <v>189.01</v>
      </c>
      <c r="G283" s="5" t="n">
        <f aca="false">D283*F283</f>
        <v>62562.31</v>
      </c>
      <c r="H283" s="4" t="s">
        <v>2478</v>
      </c>
    </row>
    <row r="284" customFormat="false" ht="16.4" hidden="false" customHeight="false" outlineLevel="0" collapsed="false">
      <c r="A284" s="4" t="s">
        <v>2765</v>
      </c>
      <c r="B284" s="4" t="s">
        <v>244</v>
      </c>
      <c r="C284" s="4" t="s">
        <v>2485</v>
      </c>
      <c r="D284" s="4" t="n">
        <v>323</v>
      </c>
      <c r="E284" s="4" t="n">
        <v>53</v>
      </c>
      <c r="F284" s="5" t="n">
        <v>475.01</v>
      </c>
      <c r="G284" s="5" t="n">
        <f aca="false">D284*F284</f>
        <v>153428.23</v>
      </c>
      <c r="H284" s="4" t="s">
        <v>2478</v>
      </c>
    </row>
    <row r="285" customFormat="false" ht="16.4" hidden="false" customHeight="false" outlineLevel="0" collapsed="false">
      <c r="A285" s="4" t="s">
        <v>2766</v>
      </c>
      <c r="B285" s="4" t="s">
        <v>148</v>
      </c>
      <c r="C285" s="4" t="s">
        <v>2477</v>
      </c>
      <c r="D285" s="4" t="n">
        <v>469</v>
      </c>
      <c r="E285" s="4" t="n">
        <v>106</v>
      </c>
      <c r="F285" s="5" t="n">
        <v>72.84</v>
      </c>
      <c r="G285" s="5" t="n">
        <f aca="false">D285*F285</f>
        <v>34161.96</v>
      </c>
      <c r="H285" s="4" t="s">
        <v>2478</v>
      </c>
    </row>
    <row r="286" customFormat="false" ht="16.4" hidden="false" customHeight="false" outlineLevel="0" collapsed="false">
      <c r="A286" s="4" t="s">
        <v>2767</v>
      </c>
      <c r="B286" s="4" t="s">
        <v>376</v>
      </c>
      <c r="C286" s="4" t="s">
        <v>2477</v>
      </c>
      <c r="D286" s="4" t="n">
        <v>285</v>
      </c>
      <c r="E286" s="4" t="n">
        <v>144</v>
      </c>
      <c r="F286" s="5" t="n">
        <v>566.35</v>
      </c>
      <c r="G286" s="5" t="n">
        <f aca="false">D286*F286</f>
        <v>161409.75</v>
      </c>
      <c r="H286" s="4" t="s">
        <v>2478</v>
      </c>
    </row>
    <row r="287" customFormat="false" ht="16.4" hidden="false" customHeight="false" outlineLevel="0" collapsed="false">
      <c r="A287" s="4" t="s">
        <v>2768</v>
      </c>
      <c r="B287" s="4" t="s">
        <v>74</v>
      </c>
      <c r="C287" s="4" t="s">
        <v>2505</v>
      </c>
      <c r="D287" s="4" t="n">
        <v>223</v>
      </c>
      <c r="E287" s="4" t="n">
        <v>155</v>
      </c>
      <c r="F287" s="5" t="n">
        <v>404.13</v>
      </c>
      <c r="G287" s="5" t="n">
        <f aca="false">D287*F287</f>
        <v>90120.99</v>
      </c>
      <c r="H287" s="4" t="s">
        <v>2478</v>
      </c>
    </row>
    <row r="288" customFormat="false" ht="16.4" hidden="false" customHeight="false" outlineLevel="0" collapsed="false">
      <c r="A288" s="4" t="s">
        <v>2769</v>
      </c>
      <c r="B288" s="4" t="s">
        <v>432</v>
      </c>
      <c r="C288" s="4" t="s">
        <v>2481</v>
      </c>
      <c r="D288" s="4" t="n">
        <v>511</v>
      </c>
      <c r="E288" s="4" t="n">
        <v>76</v>
      </c>
      <c r="F288" s="5" t="n">
        <v>63.49</v>
      </c>
      <c r="G288" s="5" t="n">
        <f aca="false">D288*F288</f>
        <v>32443.39</v>
      </c>
      <c r="H288" s="4" t="s">
        <v>2478</v>
      </c>
    </row>
    <row r="289" customFormat="false" ht="16.4" hidden="false" customHeight="false" outlineLevel="0" collapsed="false">
      <c r="A289" s="4" t="s">
        <v>2770</v>
      </c>
      <c r="B289" s="4" t="s">
        <v>330</v>
      </c>
      <c r="C289" s="4" t="s">
        <v>2477</v>
      </c>
      <c r="D289" s="4" t="n">
        <v>175</v>
      </c>
      <c r="E289" s="4" t="n">
        <v>114</v>
      </c>
      <c r="F289" s="5" t="n">
        <v>151.82</v>
      </c>
      <c r="G289" s="5" t="n">
        <f aca="false">D289*F289</f>
        <v>26568.5</v>
      </c>
      <c r="H289" s="4" t="s">
        <v>2478</v>
      </c>
    </row>
    <row r="290" customFormat="false" ht="16.4" hidden="false" customHeight="false" outlineLevel="0" collapsed="false">
      <c r="A290" s="4" t="s">
        <v>2771</v>
      </c>
      <c r="B290" s="4" t="s">
        <v>346</v>
      </c>
      <c r="C290" s="4" t="s">
        <v>2483</v>
      </c>
      <c r="D290" s="4" t="n">
        <v>332</v>
      </c>
      <c r="E290" s="4" t="n">
        <v>149</v>
      </c>
      <c r="F290" s="5" t="n">
        <v>107.67</v>
      </c>
      <c r="G290" s="5" t="n">
        <f aca="false">D290*F290</f>
        <v>35746.44</v>
      </c>
      <c r="H290" s="4" t="s">
        <v>2478</v>
      </c>
    </row>
    <row r="291" customFormat="false" ht="16.4" hidden="false" customHeight="false" outlineLevel="0" collapsed="false">
      <c r="A291" s="4" t="s">
        <v>2772</v>
      </c>
      <c r="B291" s="4" t="s">
        <v>210</v>
      </c>
      <c r="C291" s="4" t="s">
        <v>2485</v>
      </c>
      <c r="D291" s="4" t="n">
        <v>179</v>
      </c>
      <c r="E291" s="4" t="n">
        <v>131</v>
      </c>
      <c r="F291" s="5" t="n">
        <v>40.46</v>
      </c>
      <c r="G291" s="5" t="n">
        <f aca="false">D291*F291</f>
        <v>7242.34</v>
      </c>
      <c r="H291" s="4" t="s">
        <v>2478</v>
      </c>
    </row>
    <row r="292" customFormat="false" ht="16.4" hidden="false" customHeight="false" outlineLevel="0" collapsed="false">
      <c r="A292" s="4" t="s">
        <v>2773</v>
      </c>
      <c r="B292" s="4" t="s">
        <v>74</v>
      </c>
      <c r="C292" s="4" t="s">
        <v>2481</v>
      </c>
      <c r="D292" s="4" t="n">
        <v>343</v>
      </c>
      <c r="E292" s="4" t="n">
        <v>54</v>
      </c>
      <c r="F292" s="5" t="n">
        <v>404.13</v>
      </c>
      <c r="G292" s="5" t="n">
        <f aca="false">D292*F292</f>
        <v>138616.59</v>
      </c>
      <c r="H292" s="4" t="s">
        <v>2478</v>
      </c>
    </row>
    <row r="293" customFormat="false" ht="16.4" hidden="false" customHeight="false" outlineLevel="0" collapsed="false">
      <c r="A293" s="4" t="s">
        <v>2774</v>
      </c>
      <c r="B293" s="4" t="s">
        <v>338</v>
      </c>
      <c r="C293" s="4" t="s">
        <v>2481</v>
      </c>
      <c r="D293" s="4" t="n">
        <v>459</v>
      </c>
      <c r="E293" s="4" t="n">
        <v>147</v>
      </c>
      <c r="F293" s="5" t="n">
        <v>608.87</v>
      </c>
      <c r="G293" s="5" t="n">
        <f aca="false">D293*F293</f>
        <v>279471.33</v>
      </c>
      <c r="H293" s="4" t="s">
        <v>2478</v>
      </c>
    </row>
    <row r="294" customFormat="false" ht="16.4" hidden="false" customHeight="false" outlineLevel="0" collapsed="false">
      <c r="A294" s="4" t="s">
        <v>2775</v>
      </c>
      <c r="B294" s="4" t="s">
        <v>366</v>
      </c>
      <c r="C294" s="4" t="s">
        <v>2481</v>
      </c>
      <c r="D294" s="4" t="n">
        <v>238</v>
      </c>
      <c r="E294" s="4" t="n">
        <v>178</v>
      </c>
      <c r="F294" s="5" t="n">
        <v>107.03</v>
      </c>
      <c r="G294" s="5" t="n">
        <f aca="false">D294*F294</f>
        <v>25473.14</v>
      </c>
      <c r="H294" s="4" t="s">
        <v>2478</v>
      </c>
    </row>
    <row r="295" customFormat="false" ht="16.4" hidden="false" customHeight="false" outlineLevel="0" collapsed="false">
      <c r="A295" s="4" t="s">
        <v>2776</v>
      </c>
      <c r="B295" s="4" t="s">
        <v>400</v>
      </c>
      <c r="C295" s="4" t="s">
        <v>2477</v>
      </c>
      <c r="D295" s="4" t="n">
        <v>13</v>
      </c>
      <c r="E295" s="4" t="n">
        <v>109</v>
      </c>
      <c r="F295" s="5" t="n">
        <v>286.15</v>
      </c>
      <c r="G295" s="5" t="n">
        <f aca="false">D295*F295</f>
        <v>3719.95</v>
      </c>
      <c r="H295" s="4" t="s">
        <v>2490</v>
      </c>
    </row>
    <row r="296" customFormat="false" ht="16.4" hidden="false" customHeight="false" outlineLevel="0" collapsed="false">
      <c r="A296" s="4" t="s">
        <v>2777</v>
      </c>
      <c r="B296" s="4" t="s">
        <v>354</v>
      </c>
      <c r="C296" s="4" t="s">
        <v>2483</v>
      </c>
      <c r="D296" s="4" t="n">
        <v>127</v>
      </c>
      <c r="E296" s="4" t="n">
        <v>129</v>
      </c>
      <c r="F296" s="5" t="n">
        <v>87.11</v>
      </c>
      <c r="G296" s="5" t="n">
        <f aca="false">D296*F296</f>
        <v>11062.97</v>
      </c>
      <c r="H296" s="4" t="s">
        <v>2490</v>
      </c>
    </row>
    <row r="297" customFormat="false" ht="16.4" hidden="false" customHeight="false" outlineLevel="0" collapsed="false">
      <c r="A297" s="4" t="s">
        <v>2778</v>
      </c>
      <c r="B297" s="4" t="s">
        <v>416</v>
      </c>
      <c r="C297" s="4" t="s">
        <v>2481</v>
      </c>
      <c r="D297" s="4" t="n">
        <v>438</v>
      </c>
      <c r="E297" s="4" t="n">
        <v>112</v>
      </c>
      <c r="F297" s="5" t="n">
        <v>568.9</v>
      </c>
      <c r="G297" s="5" t="n">
        <f aca="false">D297*F297</f>
        <v>249178.2</v>
      </c>
      <c r="H297" s="4" t="s">
        <v>2478</v>
      </c>
    </row>
    <row r="298" customFormat="false" ht="16.4" hidden="false" customHeight="false" outlineLevel="0" collapsed="false">
      <c r="A298" s="4" t="s">
        <v>2779</v>
      </c>
      <c r="B298" s="4" t="s">
        <v>80</v>
      </c>
      <c r="C298" s="4" t="s">
        <v>2505</v>
      </c>
      <c r="D298" s="4" t="n">
        <v>61</v>
      </c>
      <c r="E298" s="4" t="n">
        <v>85</v>
      </c>
      <c r="F298" s="5" t="n">
        <v>240.97</v>
      </c>
      <c r="G298" s="5" t="n">
        <f aca="false">D298*F298</f>
        <v>14699.17</v>
      </c>
      <c r="H298" s="4" t="s">
        <v>2490</v>
      </c>
    </row>
    <row r="299" customFormat="false" ht="16.4" hidden="false" customHeight="false" outlineLevel="0" collapsed="false">
      <c r="A299" s="4" t="s">
        <v>2780</v>
      </c>
      <c r="B299" s="4" t="s">
        <v>294</v>
      </c>
      <c r="C299" s="4" t="s">
        <v>2483</v>
      </c>
      <c r="D299" s="4" t="n">
        <v>303</v>
      </c>
      <c r="E299" s="4" t="n">
        <v>101</v>
      </c>
      <c r="F299" s="5" t="n">
        <v>604.38</v>
      </c>
      <c r="G299" s="5" t="n">
        <f aca="false">D299*F299</f>
        <v>183127.14</v>
      </c>
      <c r="H299" s="4" t="s">
        <v>2478</v>
      </c>
    </row>
    <row r="300" customFormat="false" ht="16.4" hidden="false" customHeight="false" outlineLevel="0" collapsed="false">
      <c r="A300" s="4" t="s">
        <v>2781</v>
      </c>
      <c r="B300" s="4" t="s">
        <v>232</v>
      </c>
      <c r="C300" s="4" t="s">
        <v>2483</v>
      </c>
      <c r="D300" s="4" t="n">
        <v>209</v>
      </c>
      <c r="E300" s="4" t="n">
        <v>59</v>
      </c>
      <c r="F300" s="5" t="n">
        <v>488.61</v>
      </c>
      <c r="G300" s="5" t="n">
        <f aca="false">D300*F300</f>
        <v>102119.49</v>
      </c>
      <c r="H300" s="4" t="s">
        <v>2478</v>
      </c>
    </row>
    <row r="301" customFormat="false" ht="16.4" hidden="false" customHeight="false" outlineLevel="0" collapsed="false">
      <c r="A301" s="4" t="s">
        <v>2782</v>
      </c>
      <c r="B301" s="4" t="s">
        <v>410</v>
      </c>
      <c r="C301" s="4" t="s">
        <v>2483</v>
      </c>
      <c r="D301" s="4" t="n">
        <v>454</v>
      </c>
      <c r="E301" s="4" t="n">
        <v>134</v>
      </c>
      <c r="F301" s="5" t="n">
        <v>298.89</v>
      </c>
      <c r="G301" s="5" t="n">
        <f aca="false">D301*F301</f>
        <v>135696.06</v>
      </c>
      <c r="H301" s="4" t="s">
        <v>2478</v>
      </c>
    </row>
    <row r="302" customFormat="false" ht="16.4" hidden="false" customHeight="false" outlineLevel="0" collapsed="false">
      <c r="A302" s="4" t="s">
        <v>2783</v>
      </c>
      <c r="B302" s="4" t="s">
        <v>182</v>
      </c>
      <c r="C302" s="4" t="s">
        <v>2481</v>
      </c>
      <c r="D302" s="4" t="n">
        <v>325</v>
      </c>
      <c r="E302" s="4" t="n">
        <v>60</v>
      </c>
      <c r="F302" s="5" t="n">
        <v>290.33</v>
      </c>
      <c r="G302" s="5" t="n">
        <f aca="false">D302*F302</f>
        <v>94357.25</v>
      </c>
      <c r="H302" s="4" t="s">
        <v>2478</v>
      </c>
    </row>
    <row r="303" customFormat="false" ht="16.4" hidden="false" customHeight="false" outlineLevel="0" collapsed="false">
      <c r="A303" s="4" t="s">
        <v>2784</v>
      </c>
      <c r="B303" s="4" t="s">
        <v>252</v>
      </c>
      <c r="C303" s="4" t="s">
        <v>2483</v>
      </c>
      <c r="D303" s="4" t="n">
        <v>295</v>
      </c>
      <c r="E303" s="4" t="n">
        <v>56</v>
      </c>
      <c r="F303" s="5" t="n">
        <v>145.56</v>
      </c>
      <c r="G303" s="5" t="n">
        <f aca="false">D303*F303</f>
        <v>42940.2</v>
      </c>
      <c r="H303" s="4" t="s">
        <v>2478</v>
      </c>
    </row>
    <row r="304" customFormat="false" ht="16.4" hidden="false" customHeight="false" outlineLevel="0" collapsed="false">
      <c r="A304" s="4" t="s">
        <v>2785</v>
      </c>
      <c r="B304" s="4" t="s">
        <v>414</v>
      </c>
      <c r="C304" s="4" t="s">
        <v>2483</v>
      </c>
      <c r="D304" s="4" t="n">
        <v>339</v>
      </c>
      <c r="E304" s="4" t="n">
        <v>137</v>
      </c>
      <c r="F304" s="5" t="n">
        <v>328.89</v>
      </c>
      <c r="G304" s="5" t="n">
        <f aca="false">D304*F304</f>
        <v>111493.71</v>
      </c>
      <c r="H304" s="4" t="s">
        <v>2478</v>
      </c>
    </row>
    <row r="305" customFormat="false" ht="16.4" hidden="false" customHeight="false" outlineLevel="0" collapsed="false">
      <c r="A305" s="4" t="s">
        <v>2786</v>
      </c>
      <c r="B305" s="4" t="s">
        <v>144</v>
      </c>
      <c r="C305" s="4" t="s">
        <v>2483</v>
      </c>
      <c r="D305" s="4" t="n">
        <v>552</v>
      </c>
      <c r="E305" s="4" t="n">
        <v>63</v>
      </c>
      <c r="F305" s="5" t="n">
        <v>53.8</v>
      </c>
      <c r="G305" s="5" t="n">
        <f aca="false">D305*F305</f>
        <v>29697.6</v>
      </c>
      <c r="H305" s="4" t="s">
        <v>2478</v>
      </c>
    </row>
    <row r="306" customFormat="false" ht="16.4" hidden="false" customHeight="false" outlineLevel="0" collapsed="false">
      <c r="A306" s="4" t="s">
        <v>2787</v>
      </c>
      <c r="B306" s="4" t="s">
        <v>390</v>
      </c>
      <c r="C306" s="4" t="s">
        <v>2481</v>
      </c>
      <c r="D306" s="4" t="n">
        <v>227</v>
      </c>
      <c r="E306" s="4" t="n">
        <v>147</v>
      </c>
      <c r="F306" s="5" t="n">
        <v>396.04</v>
      </c>
      <c r="G306" s="5" t="n">
        <f aca="false">D306*F306</f>
        <v>89901.08</v>
      </c>
      <c r="H306" s="4" t="s">
        <v>2478</v>
      </c>
    </row>
    <row r="307" customFormat="false" ht="16.4" hidden="false" customHeight="false" outlineLevel="0" collapsed="false">
      <c r="A307" s="4" t="s">
        <v>2788</v>
      </c>
      <c r="B307" s="4" t="s">
        <v>204</v>
      </c>
      <c r="C307" s="4" t="s">
        <v>2477</v>
      </c>
      <c r="D307" s="4" t="n">
        <v>187</v>
      </c>
      <c r="E307" s="4" t="n">
        <v>163</v>
      </c>
      <c r="F307" s="5" t="n">
        <v>118.5</v>
      </c>
      <c r="G307" s="5" t="n">
        <f aca="false">D307*F307</f>
        <v>22159.5</v>
      </c>
      <c r="H307" s="4" t="s">
        <v>2478</v>
      </c>
    </row>
    <row r="308" customFormat="false" ht="16.4" hidden="false" customHeight="false" outlineLevel="0" collapsed="false">
      <c r="A308" s="4" t="s">
        <v>2789</v>
      </c>
      <c r="B308" s="4" t="s">
        <v>72</v>
      </c>
      <c r="C308" s="4" t="s">
        <v>2483</v>
      </c>
      <c r="D308" s="4" t="n">
        <v>503</v>
      </c>
      <c r="E308" s="4" t="n">
        <v>67</v>
      </c>
      <c r="F308" s="5" t="n">
        <v>186.87</v>
      </c>
      <c r="G308" s="5" t="n">
        <f aca="false">D308*F308</f>
        <v>93995.61</v>
      </c>
      <c r="H308" s="4" t="s">
        <v>2478</v>
      </c>
    </row>
    <row r="309" customFormat="false" ht="16.4" hidden="false" customHeight="false" outlineLevel="0" collapsed="false">
      <c r="A309" s="4" t="s">
        <v>2790</v>
      </c>
      <c r="B309" s="4" t="s">
        <v>66</v>
      </c>
      <c r="C309" s="4" t="s">
        <v>2483</v>
      </c>
      <c r="D309" s="4" t="n">
        <v>144</v>
      </c>
      <c r="E309" s="4" t="n">
        <v>102</v>
      </c>
      <c r="F309" s="5" t="n">
        <v>434.64</v>
      </c>
      <c r="G309" s="5" t="n">
        <f aca="false">D309*F309</f>
        <v>62588.16</v>
      </c>
      <c r="H309" s="4" t="s">
        <v>2478</v>
      </c>
    </row>
    <row r="310" customFormat="false" ht="16.4" hidden="false" customHeight="false" outlineLevel="0" collapsed="false">
      <c r="A310" s="4" t="s">
        <v>2791</v>
      </c>
      <c r="B310" s="4" t="s">
        <v>86</v>
      </c>
      <c r="C310" s="4" t="s">
        <v>2483</v>
      </c>
      <c r="D310" s="4" t="n">
        <v>177</v>
      </c>
      <c r="E310" s="4" t="n">
        <v>102</v>
      </c>
      <c r="F310" s="5" t="n">
        <v>367.51</v>
      </c>
      <c r="G310" s="5" t="n">
        <f aca="false">D310*F310</f>
        <v>65049.27</v>
      </c>
      <c r="H310" s="4" t="s">
        <v>2478</v>
      </c>
    </row>
    <row r="311" customFormat="false" ht="16.4" hidden="false" customHeight="false" outlineLevel="0" collapsed="false">
      <c r="A311" s="4" t="s">
        <v>2792</v>
      </c>
      <c r="B311" s="4" t="s">
        <v>298</v>
      </c>
      <c r="C311" s="4" t="s">
        <v>2485</v>
      </c>
      <c r="D311" s="4" t="n">
        <v>80</v>
      </c>
      <c r="E311" s="4" t="n">
        <v>159</v>
      </c>
      <c r="F311" s="5" t="n">
        <v>694.72</v>
      </c>
      <c r="G311" s="5" t="n">
        <f aca="false">D311*F311</f>
        <v>55577.6</v>
      </c>
      <c r="H311" s="4" t="s">
        <v>2490</v>
      </c>
    </row>
    <row r="312" customFormat="false" ht="16.4" hidden="false" customHeight="false" outlineLevel="0" collapsed="false">
      <c r="A312" s="4" t="s">
        <v>2793</v>
      </c>
      <c r="B312" s="4" t="s">
        <v>198</v>
      </c>
      <c r="C312" s="4" t="s">
        <v>2483</v>
      </c>
      <c r="D312" s="4" t="n">
        <v>168</v>
      </c>
      <c r="E312" s="4" t="n">
        <v>100</v>
      </c>
      <c r="F312" s="5" t="n">
        <v>256.3</v>
      </c>
      <c r="G312" s="5" t="n">
        <f aca="false">D312*F312</f>
        <v>43058.4</v>
      </c>
      <c r="H312" s="4" t="s">
        <v>2478</v>
      </c>
    </row>
    <row r="313" customFormat="false" ht="16.4" hidden="false" customHeight="false" outlineLevel="0" collapsed="false">
      <c r="A313" s="4" t="s">
        <v>2794</v>
      </c>
      <c r="B313" s="4" t="s">
        <v>256</v>
      </c>
      <c r="C313" s="4" t="s">
        <v>2505</v>
      </c>
      <c r="D313" s="4" t="n">
        <v>180</v>
      </c>
      <c r="E313" s="4" t="n">
        <v>113</v>
      </c>
      <c r="F313" s="5" t="n">
        <v>247.19</v>
      </c>
      <c r="G313" s="5" t="n">
        <f aca="false">D313*F313</f>
        <v>44494.2</v>
      </c>
      <c r="H313" s="4" t="s">
        <v>2478</v>
      </c>
    </row>
    <row r="314" customFormat="false" ht="16.4" hidden="false" customHeight="false" outlineLevel="0" collapsed="false">
      <c r="A314" s="4" t="s">
        <v>2795</v>
      </c>
      <c r="B314" s="4" t="s">
        <v>186</v>
      </c>
      <c r="C314" s="4" t="s">
        <v>2483</v>
      </c>
      <c r="D314" s="4" t="n">
        <v>590</v>
      </c>
      <c r="E314" s="4" t="n">
        <v>164</v>
      </c>
      <c r="F314" s="5" t="n">
        <v>122.28</v>
      </c>
      <c r="G314" s="5" t="n">
        <f aca="false">D314*F314</f>
        <v>72145.2</v>
      </c>
      <c r="H314" s="4" t="s">
        <v>2478</v>
      </c>
    </row>
    <row r="315" customFormat="false" ht="16.4" hidden="false" customHeight="false" outlineLevel="0" collapsed="false">
      <c r="A315" s="4" t="s">
        <v>2796</v>
      </c>
      <c r="B315" s="4" t="s">
        <v>178</v>
      </c>
      <c r="C315" s="4" t="s">
        <v>2505</v>
      </c>
      <c r="D315" s="4" t="n">
        <v>492</v>
      </c>
      <c r="E315" s="4" t="n">
        <v>70</v>
      </c>
      <c r="F315" s="5" t="n">
        <v>350.8</v>
      </c>
      <c r="G315" s="5" t="n">
        <f aca="false">D315*F315</f>
        <v>172593.6</v>
      </c>
      <c r="H315" s="4" t="s">
        <v>2478</v>
      </c>
    </row>
    <row r="316" customFormat="false" ht="16.4" hidden="false" customHeight="false" outlineLevel="0" collapsed="false">
      <c r="A316" s="4" t="s">
        <v>2797</v>
      </c>
      <c r="B316" s="4" t="s">
        <v>242</v>
      </c>
      <c r="C316" s="4" t="s">
        <v>2485</v>
      </c>
      <c r="D316" s="4" t="n">
        <v>386</v>
      </c>
      <c r="E316" s="4" t="n">
        <v>92</v>
      </c>
      <c r="F316" s="5" t="n">
        <v>596.46</v>
      </c>
      <c r="G316" s="5" t="n">
        <f aca="false">D316*F316</f>
        <v>230233.56</v>
      </c>
      <c r="H316" s="4" t="s">
        <v>2478</v>
      </c>
    </row>
    <row r="317" customFormat="false" ht="16.4" hidden="false" customHeight="false" outlineLevel="0" collapsed="false">
      <c r="A317" s="4" t="s">
        <v>2798</v>
      </c>
      <c r="B317" s="4" t="s">
        <v>264</v>
      </c>
      <c r="C317" s="4" t="s">
        <v>2481</v>
      </c>
      <c r="D317" s="4" t="n">
        <v>432</v>
      </c>
      <c r="E317" s="4" t="n">
        <v>179</v>
      </c>
      <c r="F317" s="5" t="n">
        <v>148.29</v>
      </c>
      <c r="G317" s="5" t="n">
        <f aca="false">D317*F317</f>
        <v>64061.28</v>
      </c>
      <c r="H317" s="4" t="s">
        <v>2478</v>
      </c>
    </row>
    <row r="318" customFormat="false" ht="16.4" hidden="false" customHeight="false" outlineLevel="0" collapsed="false">
      <c r="A318" s="4" t="s">
        <v>2799</v>
      </c>
      <c r="B318" s="4" t="s">
        <v>416</v>
      </c>
      <c r="C318" s="4" t="s">
        <v>2485</v>
      </c>
      <c r="D318" s="4" t="n">
        <v>443</v>
      </c>
      <c r="E318" s="4" t="n">
        <v>89</v>
      </c>
      <c r="F318" s="5" t="n">
        <v>568.9</v>
      </c>
      <c r="G318" s="5" t="n">
        <f aca="false">D318*F318</f>
        <v>252022.7</v>
      </c>
      <c r="H318" s="4" t="s">
        <v>2478</v>
      </c>
    </row>
    <row r="319" customFormat="false" ht="16.4" hidden="false" customHeight="false" outlineLevel="0" collapsed="false">
      <c r="A319" s="4" t="s">
        <v>2800</v>
      </c>
      <c r="B319" s="4" t="s">
        <v>50</v>
      </c>
      <c r="C319" s="4" t="s">
        <v>2477</v>
      </c>
      <c r="D319" s="4" t="n">
        <v>390</v>
      </c>
      <c r="E319" s="4" t="n">
        <v>159</v>
      </c>
      <c r="F319" s="5" t="n">
        <v>410.91</v>
      </c>
      <c r="G319" s="5" t="n">
        <f aca="false">D319*F319</f>
        <v>160254.9</v>
      </c>
      <c r="H319" s="4" t="s">
        <v>2478</v>
      </c>
    </row>
    <row r="320" customFormat="false" ht="16.4" hidden="false" customHeight="false" outlineLevel="0" collapsed="false">
      <c r="A320" s="4" t="s">
        <v>2801</v>
      </c>
      <c r="B320" s="4" t="s">
        <v>428</v>
      </c>
      <c r="C320" s="4" t="s">
        <v>2481</v>
      </c>
      <c r="D320" s="4" t="n">
        <v>307</v>
      </c>
      <c r="E320" s="4" t="n">
        <v>89</v>
      </c>
      <c r="F320" s="5" t="n">
        <v>708.78</v>
      </c>
      <c r="G320" s="5" t="n">
        <f aca="false">D320*F320</f>
        <v>217595.46</v>
      </c>
      <c r="H320" s="4" t="s">
        <v>2478</v>
      </c>
    </row>
    <row r="321" customFormat="false" ht="16.4" hidden="false" customHeight="false" outlineLevel="0" collapsed="false">
      <c r="A321" s="4" t="s">
        <v>2802</v>
      </c>
      <c r="B321" s="4" t="s">
        <v>412</v>
      </c>
      <c r="C321" s="4" t="s">
        <v>2485</v>
      </c>
      <c r="D321" s="4" t="n">
        <v>179</v>
      </c>
      <c r="E321" s="4" t="n">
        <v>115</v>
      </c>
      <c r="F321" s="5" t="n">
        <v>782.35</v>
      </c>
      <c r="G321" s="5" t="n">
        <f aca="false">D321*F321</f>
        <v>140040.65</v>
      </c>
      <c r="H321" s="4" t="s">
        <v>2478</v>
      </c>
    </row>
    <row r="322" customFormat="false" ht="16.4" hidden="false" customHeight="false" outlineLevel="0" collapsed="false">
      <c r="A322" s="4" t="s">
        <v>2803</v>
      </c>
      <c r="B322" s="4" t="s">
        <v>276</v>
      </c>
      <c r="C322" s="4" t="s">
        <v>2505</v>
      </c>
      <c r="D322" s="4" t="n">
        <v>313</v>
      </c>
      <c r="E322" s="4" t="n">
        <v>166</v>
      </c>
      <c r="F322" s="5" t="n">
        <v>620.37</v>
      </c>
      <c r="G322" s="5" t="n">
        <f aca="false">D322*F322</f>
        <v>194175.81</v>
      </c>
      <c r="H322" s="4" t="s">
        <v>2478</v>
      </c>
    </row>
    <row r="323" customFormat="false" ht="16.4" hidden="false" customHeight="false" outlineLevel="0" collapsed="false">
      <c r="A323" s="4" t="s">
        <v>2804</v>
      </c>
      <c r="B323" s="4" t="s">
        <v>232</v>
      </c>
      <c r="C323" s="4" t="s">
        <v>2477</v>
      </c>
      <c r="D323" s="4" t="n">
        <v>575</v>
      </c>
      <c r="E323" s="4" t="n">
        <v>173</v>
      </c>
      <c r="F323" s="5" t="n">
        <v>488.61</v>
      </c>
      <c r="G323" s="5" t="n">
        <f aca="false">D323*F323</f>
        <v>280950.75</v>
      </c>
      <c r="H323" s="4" t="s">
        <v>2478</v>
      </c>
    </row>
    <row r="324" customFormat="false" ht="16.4" hidden="false" customHeight="false" outlineLevel="0" collapsed="false">
      <c r="A324" s="4" t="s">
        <v>2805</v>
      </c>
      <c r="B324" s="4" t="s">
        <v>210</v>
      </c>
      <c r="C324" s="4" t="s">
        <v>2483</v>
      </c>
      <c r="D324" s="4" t="n">
        <v>139</v>
      </c>
      <c r="E324" s="4" t="n">
        <v>170</v>
      </c>
      <c r="F324" s="5" t="n">
        <v>40.46</v>
      </c>
      <c r="G324" s="5" t="n">
        <f aca="false">D324*F324</f>
        <v>5623.94</v>
      </c>
      <c r="H324" s="4" t="s">
        <v>2490</v>
      </c>
    </row>
    <row r="325" customFormat="false" ht="16.4" hidden="false" customHeight="false" outlineLevel="0" collapsed="false">
      <c r="A325" s="4" t="s">
        <v>2806</v>
      </c>
      <c r="B325" s="4" t="s">
        <v>118</v>
      </c>
      <c r="C325" s="4" t="s">
        <v>2477</v>
      </c>
      <c r="D325" s="4" t="n">
        <v>194</v>
      </c>
      <c r="E325" s="4" t="n">
        <v>51</v>
      </c>
      <c r="F325" s="5" t="n">
        <v>421.07</v>
      </c>
      <c r="G325" s="5" t="n">
        <f aca="false">D325*F325</f>
        <v>81687.58</v>
      </c>
      <c r="H325" s="4" t="s">
        <v>2478</v>
      </c>
    </row>
    <row r="326" customFormat="false" ht="16.4" hidden="false" customHeight="false" outlineLevel="0" collapsed="false">
      <c r="A326" s="4" t="s">
        <v>2807</v>
      </c>
      <c r="B326" s="4" t="s">
        <v>296</v>
      </c>
      <c r="C326" s="4" t="s">
        <v>2485</v>
      </c>
      <c r="D326" s="4" t="n">
        <v>383</v>
      </c>
      <c r="E326" s="4" t="n">
        <v>175</v>
      </c>
      <c r="F326" s="5" t="n">
        <v>400.1</v>
      </c>
      <c r="G326" s="5" t="n">
        <f aca="false">D326*F326</f>
        <v>153238.3</v>
      </c>
      <c r="H326" s="4" t="s">
        <v>2478</v>
      </c>
    </row>
    <row r="327" customFormat="false" ht="16.4" hidden="false" customHeight="false" outlineLevel="0" collapsed="false">
      <c r="A327" s="4" t="s">
        <v>2808</v>
      </c>
      <c r="B327" s="4" t="s">
        <v>252</v>
      </c>
      <c r="C327" s="4" t="s">
        <v>2485</v>
      </c>
      <c r="D327" s="4" t="n">
        <v>404</v>
      </c>
      <c r="E327" s="4" t="n">
        <v>145</v>
      </c>
      <c r="F327" s="5" t="n">
        <v>145.56</v>
      </c>
      <c r="G327" s="5" t="n">
        <f aca="false">D327*F327</f>
        <v>58806.24</v>
      </c>
      <c r="H327" s="4" t="s">
        <v>2478</v>
      </c>
    </row>
    <row r="328" customFormat="false" ht="16.4" hidden="false" customHeight="false" outlineLevel="0" collapsed="false">
      <c r="A328" s="4" t="s">
        <v>2809</v>
      </c>
      <c r="B328" s="4" t="s">
        <v>290</v>
      </c>
      <c r="C328" s="4" t="s">
        <v>2485</v>
      </c>
      <c r="D328" s="4" t="n">
        <v>315</v>
      </c>
      <c r="E328" s="4" t="n">
        <v>68</v>
      </c>
      <c r="F328" s="5" t="n">
        <v>601.93</v>
      </c>
      <c r="G328" s="5" t="n">
        <f aca="false">D328*F328</f>
        <v>189607.95</v>
      </c>
      <c r="H328" s="4" t="s">
        <v>2478</v>
      </c>
    </row>
    <row r="329" customFormat="false" ht="16.4" hidden="false" customHeight="false" outlineLevel="0" collapsed="false">
      <c r="A329" s="4" t="s">
        <v>2810</v>
      </c>
      <c r="B329" s="4" t="s">
        <v>58</v>
      </c>
      <c r="C329" s="4" t="s">
        <v>2481</v>
      </c>
      <c r="D329" s="4" t="n">
        <v>127</v>
      </c>
      <c r="E329" s="4" t="n">
        <v>148</v>
      </c>
      <c r="F329" s="5" t="n">
        <v>94.81</v>
      </c>
      <c r="G329" s="5" t="n">
        <f aca="false">D329*F329</f>
        <v>12040.87</v>
      </c>
      <c r="H329" s="4" t="s">
        <v>2490</v>
      </c>
    </row>
    <row r="330" customFormat="false" ht="16.4" hidden="false" customHeight="false" outlineLevel="0" collapsed="false">
      <c r="A330" s="4" t="s">
        <v>2811</v>
      </c>
      <c r="B330" s="4" t="s">
        <v>122</v>
      </c>
      <c r="C330" s="4" t="s">
        <v>2505</v>
      </c>
      <c r="D330" s="4" t="n">
        <v>198</v>
      </c>
      <c r="E330" s="4" t="n">
        <v>161</v>
      </c>
      <c r="F330" s="5" t="n">
        <v>393.03</v>
      </c>
      <c r="G330" s="5" t="n">
        <f aca="false">D330*F330</f>
        <v>77819.94</v>
      </c>
      <c r="H330" s="4" t="s">
        <v>2478</v>
      </c>
    </row>
    <row r="331" customFormat="false" ht="16.4" hidden="false" customHeight="false" outlineLevel="0" collapsed="false">
      <c r="A331" s="4" t="s">
        <v>2812</v>
      </c>
      <c r="B331" s="4" t="s">
        <v>434</v>
      </c>
      <c r="C331" s="4" t="s">
        <v>2485</v>
      </c>
      <c r="D331" s="4" t="n">
        <v>356</v>
      </c>
      <c r="E331" s="4" t="n">
        <v>180</v>
      </c>
      <c r="F331" s="5" t="n">
        <v>208.29</v>
      </c>
      <c r="G331" s="5" t="n">
        <f aca="false">D331*F331</f>
        <v>74151.24</v>
      </c>
      <c r="H331" s="4" t="s">
        <v>2478</v>
      </c>
    </row>
    <row r="332" customFormat="false" ht="16.4" hidden="false" customHeight="false" outlineLevel="0" collapsed="false">
      <c r="A332" s="4" t="s">
        <v>2813</v>
      </c>
      <c r="B332" s="4" t="s">
        <v>364</v>
      </c>
      <c r="C332" s="4" t="s">
        <v>2485</v>
      </c>
      <c r="D332" s="4" t="n">
        <v>377</v>
      </c>
      <c r="E332" s="4" t="n">
        <v>64</v>
      </c>
      <c r="F332" s="5" t="n">
        <v>45.35</v>
      </c>
      <c r="G332" s="5" t="n">
        <f aca="false">D332*F332</f>
        <v>17096.95</v>
      </c>
      <c r="H332" s="4" t="s">
        <v>2478</v>
      </c>
    </row>
    <row r="333" customFormat="false" ht="16.4" hidden="false" customHeight="false" outlineLevel="0" collapsed="false">
      <c r="A333" s="4" t="s">
        <v>2814</v>
      </c>
      <c r="B333" s="4" t="s">
        <v>256</v>
      </c>
      <c r="C333" s="4" t="s">
        <v>2485</v>
      </c>
      <c r="D333" s="4" t="n">
        <v>252</v>
      </c>
      <c r="E333" s="4" t="n">
        <v>112</v>
      </c>
      <c r="F333" s="5" t="n">
        <v>247.19</v>
      </c>
      <c r="G333" s="5" t="n">
        <f aca="false">D333*F333</f>
        <v>62291.88</v>
      </c>
      <c r="H333" s="4" t="s">
        <v>2478</v>
      </c>
    </row>
    <row r="334" customFormat="false" ht="16.4" hidden="false" customHeight="false" outlineLevel="0" collapsed="false">
      <c r="A334" s="4" t="s">
        <v>2815</v>
      </c>
      <c r="B334" s="4" t="s">
        <v>56</v>
      </c>
      <c r="C334" s="4" t="s">
        <v>2483</v>
      </c>
      <c r="D334" s="4" t="n">
        <v>370</v>
      </c>
      <c r="E334" s="4" t="n">
        <v>57</v>
      </c>
      <c r="F334" s="5" t="n">
        <v>54.95</v>
      </c>
      <c r="G334" s="5" t="n">
        <f aca="false">D334*F334</f>
        <v>20331.5</v>
      </c>
      <c r="H334" s="4" t="s">
        <v>2478</v>
      </c>
    </row>
    <row r="335" customFormat="false" ht="16.4" hidden="false" customHeight="false" outlineLevel="0" collapsed="false">
      <c r="A335" s="4" t="s">
        <v>2816</v>
      </c>
      <c r="B335" s="4" t="s">
        <v>172</v>
      </c>
      <c r="C335" s="4" t="s">
        <v>2505</v>
      </c>
      <c r="D335" s="4" t="n">
        <v>466</v>
      </c>
      <c r="E335" s="4" t="n">
        <v>87</v>
      </c>
      <c r="F335" s="5" t="n">
        <v>278.76</v>
      </c>
      <c r="G335" s="5" t="n">
        <f aca="false">D335*F335</f>
        <v>129902.16</v>
      </c>
      <c r="H335" s="4" t="s">
        <v>2478</v>
      </c>
    </row>
    <row r="336" customFormat="false" ht="16.4" hidden="false" customHeight="false" outlineLevel="0" collapsed="false">
      <c r="A336" s="4" t="s">
        <v>2817</v>
      </c>
      <c r="B336" s="4" t="s">
        <v>166</v>
      </c>
      <c r="C336" s="4" t="s">
        <v>2477</v>
      </c>
      <c r="D336" s="4" t="n">
        <v>592</v>
      </c>
      <c r="E336" s="4" t="n">
        <v>91</v>
      </c>
      <c r="F336" s="5" t="n">
        <v>231.85</v>
      </c>
      <c r="G336" s="5" t="n">
        <f aca="false">D336*F336</f>
        <v>137255.2</v>
      </c>
      <c r="H336" s="4" t="s">
        <v>2478</v>
      </c>
    </row>
    <row r="337" customFormat="false" ht="16.4" hidden="false" customHeight="false" outlineLevel="0" collapsed="false">
      <c r="A337" s="4" t="s">
        <v>2818</v>
      </c>
      <c r="B337" s="4" t="s">
        <v>98</v>
      </c>
      <c r="C337" s="4" t="s">
        <v>2485</v>
      </c>
      <c r="D337" s="4" t="n">
        <v>94</v>
      </c>
      <c r="E337" s="4" t="n">
        <v>148</v>
      </c>
      <c r="F337" s="5" t="n">
        <v>34.56</v>
      </c>
      <c r="G337" s="5" t="n">
        <f aca="false">D337*F337</f>
        <v>3248.64</v>
      </c>
      <c r="H337" s="4" t="s">
        <v>2490</v>
      </c>
    </row>
    <row r="338" customFormat="false" ht="16.4" hidden="false" customHeight="false" outlineLevel="0" collapsed="false">
      <c r="A338" s="4" t="s">
        <v>2819</v>
      </c>
      <c r="B338" s="4" t="s">
        <v>400</v>
      </c>
      <c r="C338" s="4" t="s">
        <v>2481</v>
      </c>
      <c r="D338" s="4" t="n">
        <v>600</v>
      </c>
      <c r="E338" s="4" t="n">
        <v>70</v>
      </c>
      <c r="F338" s="5" t="n">
        <v>286.15</v>
      </c>
      <c r="G338" s="5" t="n">
        <f aca="false">D338*F338</f>
        <v>171690</v>
      </c>
      <c r="H338" s="4" t="s">
        <v>2478</v>
      </c>
    </row>
    <row r="339" customFormat="false" ht="16.4" hidden="false" customHeight="false" outlineLevel="0" collapsed="false">
      <c r="A339" s="4" t="s">
        <v>2820</v>
      </c>
      <c r="B339" s="4" t="s">
        <v>136</v>
      </c>
      <c r="C339" s="4" t="s">
        <v>2485</v>
      </c>
      <c r="D339" s="4" t="n">
        <v>433</v>
      </c>
      <c r="E339" s="4" t="n">
        <v>92</v>
      </c>
      <c r="F339" s="5" t="n">
        <v>410.98</v>
      </c>
      <c r="G339" s="5" t="n">
        <f aca="false">D339*F339</f>
        <v>177954.34</v>
      </c>
      <c r="H339" s="4" t="s">
        <v>2478</v>
      </c>
    </row>
    <row r="340" customFormat="false" ht="16.4" hidden="false" customHeight="false" outlineLevel="0" collapsed="false">
      <c r="A340" s="4" t="s">
        <v>2821</v>
      </c>
      <c r="B340" s="4" t="s">
        <v>168</v>
      </c>
      <c r="C340" s="4" t="s">
        <v>2481</v>
      </c>
      <c r="D340" s="4" t="n">
        <v>309</v>
      </c>
      <c r="E340" s="4" t="n">
        <v>178</v>
      </c>
      <c r="F340" s="5" t="n">
        <v>63.1</v>
      </c>
      <c r="G340" s="5" t="n">
        <f aca="false">D340*F340</f>
        <v>19497.9</v>
      </c>
      <c r="H340" s="4" t="s">
        <v>2478</v>
      </c>
    </row>
    <row r="341" customFormat="false" ht="16.4" hidden="false" customHeight="false" outlineLevel="0" collapsed="false">
      <c r="A341" s="4" t="s">
        <v>2822</v>
      </c>
      <c r="B341" s="4" t="s">
        <v>376</v>
      </c>
      <c r="C341" s="4" t="s">
        <v>2485</v>
      </c>
      <c r="D341" s="4" t="n">
        <v>391</v>
      </c>
      <c r="E341" s="4" t="n">
        <v>128</v>
      </c>
      <c r="F341" s="5" t="n">
        <v>566.35</v>
      </c>
      <c r="G341" s="5" t="n">
        <f aca="false">D341*F341</f>
        <v>221442.85</v>
      </c>
      <c r="H341" s="4" t="s">
        <v>2478</v>
      </c>
    </row>
    <row r="342" customFormat="false" ht="16.4" hidden="false" customHeight="false" outlineLevel="0" collapsed="false">
      <c r="A342" s="4" t="s">
        <v>2823</v>
      </c>
      <c r="B342" s="4" t="s">
        <v>424</v>
      </c>
      <c r="C342" s="4" t="s">
        <v>2481</v>
      </c>
      <c r="D342" s="4" t="n">
        <v>91</v>
      </c>
      <c r="E342" s="4" t="n">
        <v>77</v>
      </c>
      <c r="F342" s="5" t="n">
        <v>449.16</v>
      </c>
      <c r="G342" s="5" t="n">
        <f aca="false">D342*F342</f>
        <v>40873.56</v>
      </c>
      <c r="H342" s="4" t="s">
        <v>2478</v>
      </c>
    </row>
    <row r="343" customFormat="false" ht="16.4" hidden="false" customHeight="false" outlineLevel="0" collapsed="false">
      <c r="A343" s="4" t="s">
        <v>2824</v>
      </c>
      <c r="B343" s="4" t="s">
        <v>436</v>
      </c>
      <c r="C343" s="4" t="s">
        <v>2505</v>
      </c>
      <c r="D343" s="4" t="n">
        <v>352</v>
      </c>
      <c r="E343" s="4" t="n">
        <v>86</v>
      </c>
      <c r="F343" s="5" t="n">
        <v>103.58</v>
      </c>
      <c r="G343" s="5" t="n">
        <f aca="false">D343*F343</f>
        <v>36460.16</v>
      </c>
      <c r="H343" s="4" t="s">
        <v>2478</v>
      </c>
    </row>
    <row r="344" customFormat="false" ht="16.4" hidden="false" customHeight="false" outlineLevel="0" collapsed="false">
      <c r="A344" s="4" t="s">
        <v>2825</v>
      </c>
      <c r="B344" s="4" t="s">
        <v>422</v>
      </c>
      <c r="C344" s="4" t="s">
        <v>2505</v>
      </c>
      <c r="D344" s="4" t="n">
        <v>214</v>
      </c>
      <c r="E344" s="4" t="n">
        <v>151</v>
      </c>
      <c r="F344" s="5" t="n">
        <v>553.57</v>
      </c>
      <c r="G344" s="5" t="n">
        <f aca="false">D344*F344</f>
        <v>118463.98</v>
      </c>
      <c r="H344" s="4" t="s">
        <v>2478</v>
      </c>
    </row>
    <row r="345" customFormat="false" ht="16.4" hidden="false" customHeight="false" outlineLevel="0" collapsed="false">
      <c r="A345" s="4" t="s">
        <v>2826</v>
      </c>
      <c r="B345" s="4" t="s">
        <v>42</v>
      </c>
      <c r="C345" s="4" t="s">
        <v>2477</v>
      </c>
      <c r="D345" s="4" t="n">
        <v>172</v>
      </c>
      <c r="E345" s="4" t="n">
        <v>175</v>
      </c>
      <c r="F345" s="5" t="n">
        <v>579.72</v>
      </c>
      <c r="G345" s="5" t="n">
        <f aca="false">D345*F345</f>
        <v>99711.84</v>
      </c>
      <c r="H345" s="4" t="s">
        <v>2490</v>
      </c>
    </row>
    <row r="346" customFormat="false" ht="16.4" hidden="false" customHeight="false" outlineLevel="0" collapsed="false">
      <c r="A346" s="4" t="s">
        <v>2827</v>
      </c>
      <c r="B346" s="4" t="s">
        <v>88</v>
      </c>
      <c r="C346" s="4" t="s">
        <v>2481</v>
      </c>
      <c r="D346" s="4" t="n">
        <v>71</v>
      </c>
      <c r="E346" s="4" t="n">
        <v>156</v>
      </c>
      <c r="F346" s="5" t="n">
        <v>596.48</v>
      </c>
      <c r="G346" s="5" t="n">
        <f aca="false">D346*F346</f>
        <v>42350.08</v>
      </c>
      <c r="H346" s="4" t="s">
        <v>2490</v>
      </c>
    </row>
    <row r="347" customFormat="false" ht="16.4" hidden="false" customHeight="false" outlineLevel="0" collapsed="false">
      <c r="A347" s="4" t="s">
        <v>2828</v>
      </c>
      <c r="B347" s="4" t="s">
        <v>252</v>
      </c>
      <c r="C347" s="4" t="s">
        <v>2483</v>
      </c>
      <c r="D347" s="4" t="n">
        <v>295</v>
      </c>
      <c r="E347" s="4" t="n">
        <v>160</v>
      </c>
      <c r="F347" s="5" t="n">
        <v>145.56</v>
      </c>
      <c r="G347" s="5" t="n">
        <f aca="false">D347*F347</f>
        <v>42940.2</v>
      </c>
      <c r="H347" s="4" t="s">
        <v>2478</v>
      </c>
    </row>
    <row r="348" customFormat="false" ht="16.4" hidden="false" customHeight="false" outlineLevel="0" collapsed="false">
      <c r="A348" s="4" t="s">
        <v>2829</v>
      </c>
      <c r="B348" s="4" t="s">
        <v>130</v>
      </c>
      <c r="C348" s="4" t="s">
        <v>2483</v>
      </c>
      <c r="D348" s="4" t="n">
        <v>383</v>
      </c>
      <c r="E348" s="4" t="n">
        <v>97</v>
      </c>
      <c r="F348" s="5" t="n">
        <v>397.9</v>
      </c>
      <c r="G348" s="5" t="n">
        <f aca="false">D348*F348</f>
        <v>152395.7</v>
      </c>
      <c r="H348" s="4" t="s">
        <v>2478</v>
      </c>
    </row>
    <row r="349" customFormat="false" ht="16.4" hidden="false" customHeight="false" outlineLevel="0" collapsed="false">
      <c r="A349" s="4" t="s">
        <v>2830</v>
      </c>
      <c r="B349" s="4" t="s">
        <v>140</v>
      </c>
      <c r="C349" s="4" t="s">
        <v>2481</v>
      </c>
      <c r="D349" s="4" t="n">
        <v>498</v>
      </c>
      <c r="E349" s="4" t="n">
        <v>96</v>
      </c>
      <c r="F349" s="5" t="n">
        <v>382.61</v>
      </c>
      <c r="G349" s="5" t="n">
        <f aca="false">D349*F349</f>
        <v>190539.78</v>
      </c>
      <c r="H349" s="4" t="s">
        <v>2478</v>
      </c>
    </row>
    <row r="350" customFormat="false" ht="16.4" hidden="false" customHeight="false" outlineLevel="0" collapsed="false">
      <c r="A350" s="4" t="s">
        <v>2831</v>
      </c>
      <c r="B350" s="4" t="s">
        <v>96</v>
      </c>
      <c r="C350" s="4" t="s">
        <v>2483</v>
      </c>
      <c r="D350" s="4" t="n">
        <v>461</v>
      </c>
      <c r="E350" s="4" t="n">
        <v>104</v>
      </c>
      <c r="F350" s="5" t="n">
        <v>823.48</v>
      </c>
      <c r="G350" s="5" t="n">
        <f aca="false">D350*F350</f>
        <v>379624.28</v>
      </c>
      <c r="H350" s="4" t="s">
        <v>2478</v>
      </c>
    </row>
    <row r="351" customFormat="false" ht="16.4" hidden="false" customHeight="false" outlineLevel="0" collapsed="false">
      <c r="A351" s="4" t="s">
        <v>2832</v>
      </c>
      <c r="B351" s="4" t="s">
        <v>142</v>
      </c>
      <c r="C351" s="4" t="s">
        <v>2483</v>
      </c>
      <c r="D351" s="4" t="n">
        <v>60</v>
      </c>
      <c r="E351" s="4" t="n">
        <v>96</v>
      </c>
      <c r="F351" s="5" t="n">
        <v>108.45</v>
      </c>
      <c r="G351" s="5" t="n">
        <f aca="false">D351*F351</f>
        <v>6507</v>
      </c>
      <c r="H351" s="4" t="s">
        <v>2490</v>
      </c>
    </row>
    <row r="352" customFormat="false" ht="16.4" hidden="false" customHeight="false" outlineLevel="0" collapsed="false">
      <c r="A352" s="4" t="s">
        <v>2833</v>
      </c>
      <c r="B352" s="4" t="s">
        <v>172</v>
      </c>
      <c r="C352" s="4" t="s">
        <v>2481</v>
      </c>
      <c r="D352" s="4" t="n">
        <v>418</v>
      </c>
      <c r="E352" s="4" t="n">
        <v>162</v>
      </c>
      <c r="F352" s="5" t="n">
        <v>278.76</v>
      </c>
      <c r="G352" s="5" t="n">
        <f aca="false">D352*F352</f>
        <v>116521.68</v>
      </c>
      <c r="H352" s="4" t="s">
        <v>2478</v>
      </c>
    </row>
    <row r="353" customFormat="false" ht="16.4" hidden="false" customHeight="false" outlineLevel="0" collapsed="false">
      <c r="A353" s="4" t="s">
        <v>2834</v>
      </c>
      <c r="B353" s="4" t="s">
        <v>94</v>
      </c>
      <c r="C353" s="4" t="s">
        <v>2505</v>
      </c>
      <c r="D353" s="4" t="n">
        <v>170</v>
      </c>
      <c r="E353" s="4" t="n">
        <v>70</v>
      </c>
      <c r="F353" s="5" t="n">
        <v>304.46</v>
      </c>
      <c r="G353" s="5" t="n">
        <f aca="false">D353*F353</f>
        <v>51758.2</v>
      </c>
      <c r="H353" s="4" t="s">
        <v>2478</v>
      </c>
    </row>
    <row r="354" customFormat="false" ht="16.4" hidden="false" customHeight="false" outlineLevel="0" collapsed="false">
      <c r="A354" s="4" t="s">
        <v>2835</v>
      </c>
      <c r="B354" s="4" t="s">
        <v>82</v>
      </c>
      <c r="C354" s="4" t="s">
        <v>2505</v>
      </c>
      <c r="D354" s="4" t="n">
        <v>386</v>
      </c>
      <c r="E354" s="4" t="n">
        <v>81</v>
      </c>
      <c r="F354" s="5" t="n">
        <v>508.29</v>
      </c>
      <c r="G354" s="5" t="n">
        <f aca="false">D354*F354</f>
        <v>196199.94</v>
      </c>
      <c r="H354" s="4" t="s">
        <v>2478</v>
      </c>
    </row>
    <row r="355" customFormat="false" ht="16.4" hidden="false" customHeight="false" outlineLevel="0" collapsed="false">
      <c r="A355" s="4" t="s">
        <v>2836</v>
      </c>
      <c r="B355" s="4" t="s">
        <v>72</v>
      </c>
      <c r="C355" s="4" t="s">
        <v>2481</v>
      </c>
      <c r="D355" s="4" t="n">
        <v>350</v>
      </c>
      <c r="E355" s="4" t="n">
        <v>57</v>
      </c>
      <c r="F355" s="5" t="n">
        <v>186.87</v>
      </c>
      <c r="G355" s="5" t="n">
        <f aca="false">D355*F355</f>
        <v>65404.5</v>
      </c>
      <c r="H355" s="4" t="s">
        <v>2478</v>
      </c>
    </row>
    <row r="356" customFormat="false" ht="16.4" hidden="false" customHeight="false" outlineLevel="0" collapsed="false">
      <c r="A356" s="4" t="s">
        <v>2837</v>
      </c>
      <c r="B356" s="4" t="s">
        <v>160</v>
      </c>
      <c r="C356" s="4" t="s">
        <v>2477</v>
      </c>
      <c r="D356" s="4" t="n">
        <v>489</v>
      </c>
      <c r="E356" s="4" t="n">
        <v>174</v>
      </c>
      <c r="F356" s="5" t="n">
        <v>125.63</v>
      </c>
      <c r="G356" s="5" t="n">
        <f aca="false">D356*F356</f>
        <v>61433.07</v>
      </c>
      <c r="H356" s="4" t="s">
        <v>2478</v>
      </c>
    </row>
    <row r="357" customFormat="false" ht="16.4" hidden="false" customHeight="false" outlineLevel="0" collapsed="false">
      <c r="A357" s="4" t="s">
        <v>2838</v>
      </c>
      <c r="B357" s="4" t="s">
        <v>44</v>
      </c>
      <c r="C357" s="4" t="s">
        <v>2477</v>
      </c>
      <c r="D357" s="4" t="n">
        <v>62</v>
      </c>
      <c r="E357" s="4" t="n">
        <v>118</v>
      </c>
      <c r="F357" s="5" t="n">
        <v>26.25</v>
      </c>
      <c r="G357" s="5" t="n">
        <f aca="false">D357*F357</f>
        <v>1627.5</v>
      </c>
      <c r="H357" s="4" t="s">
        <v>2490</v>
      </c>
    </row>
    <row r="358" customFormat="false" ht="16.4" hidden="false" customHeight="false" outlineLevel="0" collapsed="false">
      <c r="A358" s="4" t="s">
        <v>2839</v>
      </c>
      <c r="B358" s="4" t="s">
        <v>380</v>
      </c>
      <c r="C358" s="4" t="s">
        <v>2477</v>
      </c>
      <c r="D358" s="4" t="n">
        <v>596</v>
      </c>
      <c r="E358" s="4" t="n">
        <v>60</v>
      </c>
      <c r="F358" s="5" t="n">
        <v>563.08</v>
      </c>
      <c r="G358" s="5" t="n">
        <f aca="false">D358*F358</f>
        <v>335595.68</v>
      </c>
      <c r="H358" s="4" t="s">
        <v>2478</v>
      </c>
    </row>
    <row r="359" customFormat="false" ht="16.4" hidden="false" customHeight="false" outlineLevel="0" collapsed="false">
      <c r="A359" s="4" t="s">
        <v>2840</v>
      </c>
      <c r="B359" s="4" t="s">
        <v>148</v>
      </c>
      <c r="C359" s="4" t="s">
        <v>2485</v>
      </c>
      <c r="D359" s="4" t="n">
        <v>534</v>
      </c>
      <c r="E359" s="4" t="n">
        <v>51</v>
      </c>
      <c r="F359" s="5" t="n">
        <v>72.84</v>
      </c>
      <c r="G359" s="5" t="n">
        <f aca="false">D359*F359</f>
        <v>38896.56</v>
      </c>
      <c r="H359" s="4" t="s">
        <v>2478</v>
      </c>
    </row>
    <row r="360" customFormat="false" ht="16.4" hidden="false" customHeight="false" outlineLevel="0" collapsed="false">
      <c r="A360" s="4" t="s">
        <v>2841</v>
      </c>
      <c r="B360" s="4" t="s">
        <v>348</v>
      </c>
      <c r="C360" s="4" t="s">
        <v>2485</v>
      </c>
      <c r="D360" s="4" t="n">
        <v>532</v>
      </c>
      <c r="E360" s="4" t="n">
        <v>118</v>
      </c>
      <c r="F360" s="5" t="n">
        <v>336.68</v>
      </c>
      <c r="G360" s="5" t="n">
        <f aca="false">D360*F360</f>
        <v>179113.76</v>
      </c>
      <c r="H360" s="4" t="s">
        <v>2478</v>
      </c>
    </row>
    <row r="361" customFormat="false" ht="16.4" hidden="false" customHeight="false" outlineLevel="0" collapsed="false">
      <c r="A361" s="4" t="s">
        <v>2842</v>
      </c>
      <c r="B361" s="4" t="s">
        <v>282</v>
      </c>
      <c r="C361" s="4" t="s">
        <v>2505</v>
      </c>
      <c r="D361" s="4" t="n">
        <v>345</v>
      </c>
      <c r="E361" s="4" t="n">
        <v>159</v>
      </c>
      <c r="F361" s="5" t="n">
        <v>92.85</v>
      </c>
      <c r="G361" s="5" t="n">
        <f aca="false">D361*F361</f>
        <v>32033.25</v>
      </c>
      <c r="H361" s="4" t="s">
        <v>2478</v>
      </c>
    </row>
    <row r="362" customFormat="false" ht="16.4" hidden="false" customHeight="false" outlineLevel="0" collapsed="false">
      <c r="A362" s="4" t="s">
        <v>2843</v>
      </c>
      <c r="B362" s="4" t="s">
        <v>228</v>
      </c>
      <c r="C362" s="4" t="s">
        <v>2483</v>
      </c>
      <c r="D362" s="4" t="n">
        <v>351</v>
      </c>
      <c r="E362" s="4" t="n">
        <v>130</v>
      </c>
      <c r="F362" s="5" t="n">
        <v>641.77</v>
      </c>
      <c r="G362" s="5" t="n">
        <f aca="false">D362*F362</f>
        <v>225261.27</v>
      </c>
      <c r="H362" s="4" t="s">
        <v>2478</v>
      </c>
    </row>
    <row r="363" customFormat="false" ht="16.4" hidden="false" customHeight="false" outlineLevel="0" collapsed="false">
      <c r="A363" s="4" t="s">
        <v>2844</v>
      </c>
      <c r="B363" s="4" t="s">
        <v>224</v>
      </c>
      <c r="C363" s="4" t="s">
        <v>2481</v>
      </c>
      <c r="D363" s="4" t="n">
        <v>408</v>
      </c>
      <c r="E363" s="4" t="n">
        <v>146</v>
      </c>
      <c r="F363" s="5" t="n">
        <v>337.48</v>
      </c>
      <c r="G363" s="5" t="n">
        <f aca="false">D363*F363</f>
        <v>137691.84</v>
      </c>
      <c r="H363" s="4" t="s">
        <v>2478</v>
      </c>
    </row>
    <row r="364" customFormat="false" ht="16.4" hidden="false" customHeight="false" outlineLevel="0" collapsed="false">
      <c r="A364" s="4" t="s">
        <v>2845</v>
      </c>
      <c r="B364" s="4" t="s">
        <v>68</v>
      </c>
      <c r="C364" s="4" t="s">
        <v>2477</v>
      </c>
      <c r="D364" s="4" t="n">
        <v>364</v>
      </c>
      <c r="E364" s="4" t="n">
        <v>134</v>
      </c>
      <c r="F364" s="5" t="n">
        <v>351.17</v>
      </c>
      <c r="G364" s="5" t="n">
        <f aca="false">D364*F364</f>
        <v>127825.88</v>
      </c>
      <c r="H364" s="4" t="s">
        <v>2478</v>
      </c>
    </row>
    <row r="365" customFormat="false" ht="16.4" hidden="false" customHeight="false" outlineLevel="0" collapsed="false">
      <c r="A365" s="4" t="s">
        <v>2846</v>
      </c>
      <c r="B365" s="4" t="s">
        <v>40</v>
      </c>
      <c r="C365" s="4" t="s">
        <v>2483</v>
      </c>
      <c r="D365" s="4" t="n">
        <v>467</v>
      </c>
      <c r="E365" s="4" t="n">
        <v>152</v>
      </c>
      <c r="F365" s="5" t="n">
        <v>25.02</v>
      </c>
      <c r="G365" s="5" t="n">
        <f aca="false">D365*F365</f>
        <v>11684.34</v>
      </c>
      <c r="H365" s="4" t="s">
        <v>2478</v>
      </c>
    </row>
    <row r="366" customFormat="false" ht="16.4" hidden="false" customHeight="false" outlineLevel="0" collapsed="false">
      <c r="A366" s="4" t="s">
        <v>2847</v>
      </c>
      <c r="B366" s="4" t="s">
        <v>52</v>
      </c>
      <c r="C366" s="4" t="s">
        <v>2483</v>
      </c>
      <c r="D366" s="4" t="n">
        <v>125</v>
      </c>
      <c r="E366" s="4" t="n">
        <v>121</v>
      </c>
      <c r="F366" s="5" t="n">
        <v>72.84</v>
      </c>
      <c r="G366" s="5" t="n">
        <f aca="false">D366*F366</f>
        <v>9105</v>
      </c>
      <c r="H366" s="4" t="s">
        <v>2478</v>
      </c>
    </row>
    <row r="367" customFormat="false" ht="16.4" hidden="false" customHeight="false" outlineLevel="0" collapsed="false">
      <c r="A367" s="4" t="s">
        <v>2848</v>
      </c>
      <c r="B367" s="4" t="s">
        <v>228</v>
      </c>
      <c r="C367" s="4" t="s">
        <v>2481</v>
      </c>
      <c r="D367" s="4" t="n">
        <v>462</v>
      </c>
      <c r="E367" s="4" t="n">
        <v>171</v>
      </c>
      <c r="F367" s="5" t="n">
        <v>641.77</v>
      </c>
      <c r="G367" s="5" t="n">
        <f aca="false">D367*F367</f>
        <v>296497.74</v>
      </c>
      <c r="H367" s="4" t="s">
        <v>2478</v>
      </c>
    </row>
    <row r="368" customFormat="false" ht="16.4" hidden="false" customHeight="false" outlineLevel="0" collapsed="false">
      <c r="A368" s="4" t="s">
        <v>2849</v>
      </c>
      <c r="B368" s="4" t="s">
        <v>250</v>
      </c>
      <c r="C368" s="4" t="s">
        <v>2505</v>
      </c>
      <c r="D368" s="4" t="n">
        <v>192</v>
      </c>
      <c r="E368" s="4" t="n">
        <v>50</v>
      </c>
      <c r="F368" s="5" t="n">
        <v>264.92</v>
      </c>
      <c r="G368" s="5" t="n">
        <f aca="false">D368*F368</f>
        <v>50864.64</v>
      </c>
      <c r="H368" s="4" t="s">
        <v>2478</v>
      </c>
    </row>
    <row r="369" customFormat="false" ht="16.4" hidden="false" customHeight="false" outlineLevel="0" collapsed="false">
      <c r="A369" s="4" t="s">
        <v>2850</v>
      </c>
      <c r="B369" s="4" t="s">
        <v>48</v>
      </c>
      <c r="C369" s="4" t="s">
        <v>2505</v>
      </c>
      <c r="D369" s="4" t="n">
        <v>368</v>
      </c>
      <c r="E369" s="4" t="n">
        <v>61</v>
      </c>
      <c r="F369" s="5" t="n">
        <v>255</v>
      </c>
      <c r="G369" s="5" t="n">
        <f aca="false">D369*F369</f>
        <v>93840</v>
      </c>
      <c r="H369" s="4" t="s">
        <v>2478</v>
      </c>
    </row>
    <row r="370" customFormat="false" ht="16.4" hidden="false" customHeight="false" outlineLevel="0" collapsed="false">
      <c r="A370" s="4" t="s">
        <v>2851</v>
      </c>
      <c r="B370" s="4" t="s">
        <v>386</v>
      </c>
      <c r="C370" s="4" t="s">
        <v>2481</v>
      </c>
      <c r="D370" s="4" t="n">
        <v>454</v>
      </c>
      <c r="E370" s="4" t="n">
        <v>109</v>
      </c>
      <c r="F370" s="5" t="n">
        <v>348.46</v>
      </c>
      <c r="G370" s="5" t="n">
        <f aca="false">D370*F370</f>
        <v>158200.84</v>
      </c>
      <c r="H370" s="4" t="s">
        <v>2478</v>
      </c>
    </row>
    <row r="371" customFormat="false" ht="16.4" hidden="false" customHeight="false" outlineLevel="0" collapsed="false">
      <c r="A371" s="4" t="s">
        <v>2852</v>
      </c>
      <c r="B371" s="4" t="s">
        <v>288</v>
      </c>
      <c r="C371" s="4" t="s">
        <v>2505</v>
      </c>
      <c r="D371" s="4" t="n">
        <v>409</v>
      </c>
      <c r="E371" s="4" t="n">
        <v>70</v>
      </c>
      <c r="F371" s="5" t="n">
        <v>455.59</v>
      </c>
      <c r="G371" s="5" t="n">
        <f aca="false">D371*F371</f>
        <v>186336.31</v>
      </c>
      <c r="H371" s="4" t="s">
        <v>2478</v>
      </c>
    </row>
    <row r="372" customFormat="false" ht="16.4" hidden="false" customHeight="false" outlineLevel="0" collapsed="false">
      <c r="A372" s="4" t="s">
        <v>2853</v>
      </c>
      <c r="B372" s="4" t="s">
        <v>258</v>
      </c>
      <c r="C372" s="4" t="s">
        <v>2485</v>
      </c>
      <c r="D372" s="4" t="n">
        <v>487</v>
      </c>
      <c r="E372" s="4" t="n">
        <v>75</v>
      </c>
      <c r="F372" s="5" t="n">
        <v>138.85</v>
      </c>
      <c r="G372" s="5" t="n">
        <f aca="false">D372*F372</f>
        <v>67619.95</v>
      </c>
      <c r="H372" s="4" t="s">
        <v>2478</v>
      </c>
    </row>
    <row r="373" customFormat="false" ht="16.4" hidden="false" customHeight="false" outlineLevel="0" collapsed="false">
      <c r="A373" s="4" t="s">
        <v>2854</v>
      </c>
      <c r="B373" s="4" t="s">
        <v>190</v>
      </c>
      <c r="C373" s="4" t="s">
        <v>2481</v>
      </c>
      <c r="D373" s="4" t="n">
        <v>199</v>
      </c>
      <c r="E373" s="4" t="n">
        <v>86</v>
      </c>
      <c r="F373" s="5" t="n">
        <v>770.78</v>
      </c>
      <c r="G373" s="5" t="n">
        <f aca="false">D373*F373</f>
        <v>153385.22</v>
      </c>
      <c r="H373" s="4" t="s">
        <v>2478</v>
      </c>
    </row>
    <row r="374" customFormat="false" ht="16.4" hidden="false" customHeight="false" outlineLevel="0" collapsed="false">
      <c r="A374" s="4" t="s">
        <v>2855</v>
      </c>
      <c r="B374" s="4" t="s">
        <v>332</v>
      </c>
      <c r="C374" s="4" t="s">
        <v>2483</v>
      </c>
      <c r="D374" s="4" t="n">
        <v>516</v>
      </c>
      <c r="E374" s="4" t="n">
        <v>58</v>
      </c>
      <c r="F374" s="5" t="n">
        <v>470.06</v>
      </c>
      <c r="G374" s="5" t="n">
        <f aca="false">D374*F374</f>
        <v>242550.96</v>
      </c>
      <c r="H374" s="4" t="s">
        <v>2478</v>
      </c>
    </row>
    <row r="375" customFormat="false" ht="16.4" hidden="false" customHeight="false" outlineLevel="0" collapsed="false">
      <c r="A375" s="4" t="s">
        <v>2856</v>
      </c>
      <c r="B375" s="4" t="s">
        <v>294</v>
      </c>
      <c r="C375" s="4" t="s">
        <v>2481</v>
      </c>
      <c r="D375" s="4" t="n">
        <v>89</v>
      </c>
      <c r="E375" s="4" t="n">
        <v>127</v>
      </c>
      <c r="F375" s="5" t="n">
        <v>604.38</v>
      </c>
      <c r="G375" s="5" t="n">
        <f aca="false">D375*F375</f>
        <v>53789.82</v>
      </c>
      <c r="H375" s="4" t="s">
        <v>2490</v>
      </c>
    </row>
    <row r="376" customFormat="false" ht="16.4" hidden="false" customHeight="false" outlineLevel="0" collapsed="false">
      <c r="A376" s="4" t="s">
        <v>2857</v>
      </c>
      <c r="B376" s="4" t="s">
        <v>278</v>
      </c>
      <c r="C376" s="4" t="s">
        <v>2477</v>
      </c>
      <c r="D376" s="4" t="n">
        <v>172</v>
      </c>
      <c r="E376" s="4" t="n">
        <v>164</v>
      </c>
      <c r="F376" s="5" t="n">
        <v>27.03</v>
      </c>
      <c r="G376" s="5" t="n">
        <f aca="false">D376*F376</f>
        <v>4649.16</v>
      </c>
      <c r="H376" s="4" t="s">
        <v>2478</v>
      </c>
    </row>
    <row r="377" customFormat="false" ht="16.4" hidden="false" customHeight="false" outlineLevel="0" collapsed="false">
      <c r="A377" s="4" t="s">
        <v>2858</v>
      </c>
      <c r="B377" s="4" t="s">
        <v>286</v>
      </c>
      <c r="C377" s="4" t="s">
        <v>2483</v>
      </c>
      <c r="D377" s="4" t="n">
        <v>553</v>
      </c>
      <c r="E377" s="4" t="n">
        <v>111</v>
      </c>
      <c r="F377" s="5" t="n">
        <v>386.29</v>
      </c>
      <c r="G377" s="5" t="n">
        <f aca="false">D377*F377</f>
        <v>213618.37</v>
      </c>
      <c r="H377" s="4" t="s">
        <v>2478</v>
      </c>
    </row>
    <row r="378" customFormat="false" ht="16.4" hidden="false" customHeight="false" outlineLevel="0" collapsed="false">
      <c r="A378" s="4" t="s">
        <v>2859</v>
      </c>
      <c r="B378" s="4" t="s">
        <v>148</v>
      </c>
      <c r="C378" s="4" t="s">
        <v>2477</v>
      </c>
      <c r="D378" s="4" t="n">
        <v>174</v>
      </c>
      <c r="E378" s="4" t="n">
        <v>72</v>
      </c>
      <c r="F378" s="5" t="n">
        <v>72.84</v>
      </c>
      <c r="G378" s="5" t="n">
        <f aca="false">D378*F378</f>
        <v>12674.16</v>
      </c>
      <c r="H378" s="4" t="s">
        <v>2478</v>
      </c>
    </row>
    <row r="379" customFormat="false" ht="16.4" hidden="false" customHeight="false" outlineLevel="0" collapsed="false">
      <c r="A379" s="4" t="s">
        <v>2860</v>
      </c>
      <c r="B379" s="4" t="s">
        <v>262</v>
      </c>
      <c r="C379" s="4" t="s">
        <v>2505</v>
      </c>
      <c r="D379" s="4" t="n">
        <v>29</v>
      </c>
      <c r="E379" s="4" t="n">
        <v>91</v>
      </c>
      <c r="F379" s="5" t="n">
        <v>751.7</v>
      </c>
      <c r="G379" s="5" t="n">
        <f aca="false">D379*F379</f>
        <v>21799.3</v>
      </c>
      <c r="H379" s="4" t="s">
        <v>2490</v>
      </c>
    </row>
    <row r="380" customFormat="false" ht="16.4" hidden="false" customHeight="false" outlineLevel="0" collapsed="false">
      <c r="A380" s="4" t="s">
        <v>2861</v>
      </c>
      <c r="B380" s="4" t="s">
        <v>236</v>
      </c>
      <c r="C380" s="4" t="s">
        <v>2505</v>
      </c>
      <c r="D380" s="4" t="n">
        <v>287</v>
      </c>
      <c r="E380" s="4" t="n">
        <v>106</v>
      </c>
      <c r="F380" s="5" t="n">
        <v>124.01</v>
      </c>
      <c r="G380" s="5" t="n">
        <f aca="false">D380*F380</f>
        <v>35590.87</v>
      </c>
      <c r="H380" s="4" t="s">
        <v>2478</v>
      </c>
    </row>
    <row r="381" customFormat="false" ht="16.4" hidden="false" customHeight="false" outlineLevel="0" collapsed="false">
      <c r="A381" s="4" t="s">
        <v>2862</v>
      </c>
      <c r="B381" s="4" t="s">
        <v>380</v>
      </c>
      <c r="C381" s="4" t="s">
        <v>2483</v>
      </c>
      <c r="D381" s="4" t="n">
        <v>487</v>
      </c>
      <c r="E381" s="4" t="n">
        <v>81</v>
      </c>
      <c r="F381" s="5" t="n">
        <v>563.08</v>
      </c>
      <c r="G381" s="5" t="n">
        <f aca="false">D381*F381</f>
        <v>274219.96</v>
      </c>
      <c r="H381" s="4" t="s">
        <v>2478</v>
      </c>
    </row>
    <row r="382" customFormat="false" ht="16.4" hidden="false" customHeight="false" outlineLevel="0" collapsed="false">
      <c r="A382" s="4" t="s">
        <v>2863</v>
      </c>
      <c r="B382" s="4" t="s">
        <v>312</v>
      </c>
      <c r="C382" s="4" t="s">
        <v>2505</v>
      </c>
      <c r="D382" s="4" t="n">
        <v>503</v>
      </c>
      <c r="E382" s="4" t="n">
        <v>73</v>
      </c>
      <c r="F382" s="5" t="n">
        <v>103.78</v>
      </c>
      <c r="G382" s="5" t="n">
        <f aca="false">D382*F382</f>
        <v>52201.34</v>
      </c>
      <c r="H382" s="4" t="s">
        <v>2478</v>
      </c>
    </row>
    <row r="383" customFormat="false" ht="16.4" hidden="false" customHeight="false" outlineLevel="0" collapsed="false">
      <c r="A383" s="4" t="s">
        <v>2864</v>
      </c>
      <c r="B383" s="4" t="s">
        <v>154</v>
      </c>
      <c r="C383" s="4" t="s">
        <v>2505</v>
      </c>
      <c r="D383" s="4" t="n">
        <v>589</v>
      </c>
      <c r="E383" s="4" t="n">
        <v>66</v>
      </c>
      <c r="F383" s="5" t="n">
        <v>386.21</v>
      </c>
      <c r="G383" s="5" t="n">
        <f aca="false">D383*F383</f>
        <v>227477.69</v>
      </c>
      <c r="H383" s="4" t="s">
        <v>2478</v>
      </c>
    </row>
    <row r="384" customFormat="false" ht="16.4" hidden="false" customHeight="false" outlineLevel="0" collapsed="false">
      <c r="A384" s="4" t="s">
        <v>2865</v>
      </c>
      <c r="B384" s="4" t="s">
        <v>232</v>
      </c>
      <c r="C384" s="4" t="s">
        <v>2483</v>
      </c>
      <c r="D384" s="4" t="n">
        <v>390</v>
      </c>
      <c r="E384" s="4" t="n">
        <v>161</v>
      </c>
      <c r="F384" s="5" t="n">
        <v>488.61</v>
      </c>
      <c r="G384" s="5" t="n">
        <f aca="false">D384*F384</f>
        <v>190557.9</v>
      </c>
      <c r="H384" s="4" t="s">
        <v>2478</v>
      </c>
    </row>
    <row r="385" customFormat="false" ht="16.4" hidden="false" customHeight="false" outlineLevel="0" collapsed="false">
      <c r="A385" s="4" t="s">
        <v>2866</v>
      </c>
      <c r="B385" s="4" t="s">
        <v>154</v>
      </c>
      <c r="C385" s="4" t="s">
        <v>2505</v>
      </c>
      <c r="D385" s="4" t="n">
        <v>265</v>
      </c>
      <c r="E385" s="4" t="n">
        <v>79</v>
      </c>
      <c r="F385" s="5" t="n">
        <v>386.21</v>
      </c>
      <c r="G385" s="5" t="n">
        <f aca="false">D385*F385</f>
        <v>102345.65</v>
      </c>
      <c r="H385" s="4" t="s">
        <v>2478</v>
      </c>
    </row>
    <row r="386" customFormat="false" ht="16.4" hidden="false" customHeight="false" outlineLevel="0" collapsed="false">
      <c r="A386" s="4" t="s">
        <v>2867</v>
      </c>
      <c r="B386" s="4" t="s">
        <v>84</v>
      </c>
      <c r="C386" s="4" t="s">
        <v>2505</v>
      </c>
      <c r="D386" s="4" t="n">
        <v>114</v>
      </c>
      <c r="E386" s="4" t="n">
        <v>72</v>
      </c>
      <c r="F386" s="5" t="n">
        <v>354.32</v>
      </c>
      <c r="G386" s="5" t="n">
        <f aca="false">D386*F386</f>
        <v>40392.48</v>
      </c>
      <c r="H386" s="4" t="s">
        <v>2478</v>
      </c>
    </row>
    <row r="387" customFormat="false" ht="16.4" hidden="false" customHeight="false" outlineLevel="0" collapsed="false">
      <c r="A387" s="4" t="s">
        <v>2868</v>
      </c>
      <c r="B387" s="4" t="s">
        <v>418</v>
      </c>
      <c r="C387" s="4" t="s">
        <v>2481</v>
      </c>
      <c r="D387" s="4" t="n">
        <v>192</v>
      </c>
      <c r="E387" s="4" t="n">
        <v>79</v>
      </c>
      <c r="F387" s="5" t="n">
        <v>791.27</v>
      </c>
      <c r="G387" s="5" t="n">
        <f aca="false">D387*F387</f>
        <v>151923.84</v>
      </c>
      <c r="H387" s="4" t="s">
        <v>2478</v>
      </c>
    </row>
    <row r="388" customFormat="false" ht="16.4" hidden="false" customHeight="false" outlineLevel="0" collapsed="false">
      <c r="A388" s="4" t="s">
        <v>2869</v>
      </c>
      <c r="B388" s="4" t="s">
        <v>228</v>
      </c>
      <c r="C388" s="4" t="s">
        <v>2485</v>
      </c>
      <c r="D388" s="4" t="n">
        <v>130</v>
      </c>
      <c r="E388" s="4" t="n">
        <v>130</v>
      </c>
      <c r="F388" s="5" t="n">
        <v>641.77</v>
      </c>
      <c r="G388" s="5" t="n">
        <f aca="false">D388*F388</f>
        <v>83430.1</v>
      </c>
      <c r="H388" s="4" t="s">
        <v>2478</v>
      </c>
    </row>
    <row r="389" customFormat="false" ht="16.4" hidden="false" customHeight="false" outlineLevel="0" collapsed="false">
      <c r="A389" s="4" t="s">
        <v>2870</v>
      </c>
      <c r="B389" s="4" t="s">
        <v>334</v>
      </c>
      <c r="C389" s="4" t="s">
        <v>2477</v>
      </c>
      <c r="D389" s="4" t="n">
        <v>1</v>
      </c>
      <c r="E389" s="4" t="n">
        <v>129</v>
      </c>
      <c r="F389" s="5" t="n">
        <v>23.46</v>
      </c>
      <c r="G389" s="5" t="n">
        <f aca="false">D389*F389</f>
        <v>23.46</v>
      </c>
      <c r="H389" s="4" t="s">
        <v>2490</v>
      </c>
    </row>
    <row r="390" customFormat="false" ht="16.4" hidden="false" customHeight="false" outlineLevel="0" collapsed="false">
      <c r="A390" s="4" t="s">
        <v>2871</v>
      </c>
      <c r="B390" s="4" t="s">
        <v>342</v>
      </c>
      <c r="C390" s="4" t="s">
        <v>2485</v>
      </c>
      <c r="D390" s="4" t="n">
        <v>548</v>
      </c>
      <c r="E390" s="4" t="n">
        <v>98</v>
      </c>
      <c r="F390" s="5" t="n">
        <v>505.69</v>
      </c>
      <c r="G390" s="5" t="n">
        <f aca="false">D390*F390</f>
        <v>277118.12</v>
      </c>
      <c r="H390" s="4" t="s">
        <v>2478</v>
      </c>
    </row>
    <row r="391" customFormat="false" ht="16.4" hidden="false" customHeight="false" outlineLevel="0" collapsed="false">
      <c r="A391" s="4" t="s">
        <v>2872</v>
      </c>
      <c r="B391" s="4" t="s">
        <v>256</v>
      </c>
      <c r="C391" s="4" t="s">
        <v>2483</v>
      </c>
      <c r="D391" s="4" t="n">
        <v>327</v>
      </c>
      <c r="E391" s="4" t="n">
        <v>143</v>
      </c>
      <c r="F391" s="5" t="n">
        <v>247.19</v>
      </c>
      <c r="G391" s="5" t="n">
        <f aca="false">D391*F391</f>
        <v>80831.13</v>
      </c>
      <c r="H391" s="4" t="s">
        <v>2478</v>
      </c>
    </row>
    <row r="392" customFormat="false" ht="16.4" hidden="false" customHeight="false" outlineLevel="0" collapsed="false">
      <c r="A392" s="4" t="s">
        <v>2873</v>
      </c>
      <c r="B392" s="4" t="s">
        <v>306</v>
      </c>
      <c r="C392" s="4" t="s">
        <v>2485</v>
      </c>
      <c r="D392" s="4" t="n">
        <v>227</v>
      </c>
      <c r="E392" s="4" t="n">
        <v>77</v>
      </c>
      <c r="F392" s="5" t="n">
        <v>584.2</v>
      </c>
      <c r="G392" s="5" t="n">
        <f aca="false">D392*F392</f>
        <v>132613.4</v>
      </c>
      <c r="H392" s="4" t="s">
        <v>2478</v>
      </c>
    </row>
    <row r="393" customFormat="false" ht="16.4" hidden="false" customHeight="false" outlineLevel="0" collapsed="false">
      <c r="A393" s="4" t="s">
        <v>2874</v>
      </c>
      <c r="B393" s="4" t="s">
        <v>44</v>
      </c>
      <c r="C393" s="4" t="s">
        <v>2505</v>
      </c>
      <c r="D393" s="4" t="n">
        <v>551</v>
      </c>
      <c r="E393" s="4" t="n">
        <v>167</v>
      </c>
      <c r="F393" s="5" t="n">
        <v>26.25</v>
      </c>
      <c r="G393" s="5" t="n">
        <f aca="false">D393*F393</f>
        <v>14463.75</v>
      </c>
      <c r="H393" s="4" t="s">
        <v>2478</v>
      </c>
    </row>
    <row r="394" customFormat="false" ht="16.4" hidden="false" customHeight="false" outlineLevel="0" collapsed="false">
      <c r="A394" s="4" t="s">
        <v>2875</v>
      </c>
      <c r="B394" s="4" t="s">
        <v>114</v>
      </c>
      <c r="C394" s="4" t="s">
        <v>2485</v>
      </c>
      <c r="D394" s="4" t="n">
        <v>303</v>
      </c>
      <c r="E394" s="4" t="n">
        <v>106</v>
      </c>
      <c r="F394" s="5" t="n">
        <v>320.02</v>
      </c>
      <c r="G394" s="5" t="n">
        <f aca="false">D394*F394</f>
        <v>96966.06</v>
      </c>
      <c r="H394" s="4" t="s">
        <v>2478</v>
      </c>
    </row>
    <row r="395" customFormat="false" ht="16.4" hidden="false" customHeight="false" outlineLevel="0" collapsed="false">
      <c r="A395" s="4" t="s">
        <v>2876</v>
      </c>
      <c r="B395" s="4" t="s">
        <v>388</v>
      </c>
      <c r="C395" s="4" t="s">
        <v>2481</v>
      </c>
      <c r="D395" s="4" t="n">
        <v>466</v>
      </c>
      <c r="E395" s="4" t="n">
        <v>87</v>
      </c>
      <c r="F395" s="5" t="n">
        <v>49.43</v>
      </c>
      <c r="G395" s="5" t="n">
        <f aca="false">D395*F395</f>
        <v>23034.38</v>
      </c>
      <c r="H395" s="4" t="s">
        <v>2478</v>
      </c>
    </row>
    <row r="396" customFormat="false" ht="16.4" hidden="false" customHeight="false" outlineLevel="0" collapsed="false">
      <c r="A396" s="4" t="s">
        <v>2877</v>
      </c>
      <c r="B396" s="4" t="s">
        <v>184</v>
      </c>
      <c r="C396" s="4" t="s">
        <v>2481</v>
      </c>
      <c r="D396" s="4" t="n">
        <v>149</v>
      </c>
      <c r="E396" s="4" t="n">
        <v>58</v>
      </c>
      <c r="F396" s="5" t="n">
        <v>327.97</v>
      </c>
      <c r="G396" s="5" t="n">
        <f aca="false">D396*F396</f>
        <v>48867.53</v>
      </c>
      <c r="H396" s="4" t="s">
        <v>2478</v>
      </c>
    </row>
    <row r="397" customFormat="false" ht="16.4" hidden="false" customHeight="false" outlineLevel="0" collapsed="false">
      <c r="A397" s="4" t="s">
        <v>2878</v>
      </c>
      <c r="B397" s="4" t="s">
        <v>202</v>
      </c>
      <c r="C397" s="4" t="s">
        <v>2477</v>
      </c>
      <c r="D397" s="4" t="n">
        <v>316</v>
      </c>
      <c r="E397" s="4" t="n">
        <v>178</v>
      </c>
      <c r="F397" s="5" t="n">
        <v>242.33</v>
      </c>
      <c r="G397" s="5" t="n">
        <f aca="false">D397*F397</f>
        <v>76576.28</v>
      </c>
      <c r="H397" s="4" t="s">
        <v>2478</v>
      </c>
    </row>
    <row r="398" customFormat="false" ht="16.4" hidden="false" customHeight="false" outlineLevel="0" collapsed="false">
      <c r="A398" s="4" t="s">
        <v>2879</v>
      </c>
      <c r="B398" s="4" t="s">
        <v>180</v>
      </c>
      <c r="C398" s="4" t="s">
        <v>2483</v>
      </c>
      <c r="D398" s="4" t="n">
        <v>587</v>
      </c>
      <c r="E398" s="4" t="n">
        <v>172</v>
      </c>
      <c r="F398" s="5" t="n">
        <v>711.24</v>
      </c>
      <c r="G398" s="5" t="n">
        <f aca="false">D398*F398</f>
        <v>417497.88</v>
      </c>
      <c r="H398" s="4" t="s">
        <v>2478</v>
      </c>
    </row>
    <row r="399" customFormat="false" ht="16.4" hidden="false" customHeight="false" outlineLevel="0" collapsed="false">
      <c r="A399" s="4" t="s">
        <v>2880</v>
      </c>
      <c r="B399" s="4" t="s">
        <v>292</v>
      </c>
      <c r="C399" s="4" t="s">
        <v>2477</v>
      </c>
      <c r="D399" s="4" t="n">
        <v>298</v>
      </c>
      <c r="E399" s="4" t="n">
        <v>146</v>
      </c>
      <c r="F399" s="5" t="n">
        <v>491.69</v>
      </c>
      <c r="G399" s="5" t="n">
        <f aca="false">D399*F399</f>
        <v>146523.62</v>
      </c>
      <c r="H399" s="4" t="s">
        <v>2478</v>
      </c>
    </row>
    <row r="400" customFormat="false" ht="16.4" hidden="false" customHeight="false" outlineLevel="0" collapsed="false">
      <c r="A400" s="4" t="s">
        <v>2881</v>
      </c>
      <c r="B400" s="4" t="s">
        <v>210</v>
      </c>
      <c r="C400" s="4" t="s">
        <v>2483</v>
      </c>
      <c r="D400" s="4" t="n">
        <v>156</v>
      </c>
      <c r="E400" s="4" t="n">
        <v>103</v>
      </c>
      <c r="F400" s="5" t="n">
        <v>40.46</v>
      </c>
      <c r="G400" s="5" t="n">
        <f aca="false">D400*F400</f>
        <v>6311.76</v>
      </c>
      <c r="H400" s="4" t="s">
        <v>2478</v>
      </c>
    </row>
    <row r="401" customFormat="false" ht="16.4" hidden="false" customHeight="false" outlineLevel="0" collapsed="false">
      <c r="A401" s="4" t="s">
        <v>2882</v>
      </c>
      <c r="B401" s="4" t="s">
        <v>398</v>
      </c>
      <c r="C401" s="4" t="s">
        <v>2485</v>
      </c>
      <c r="D401" s="4" t="n">
        <v>53</v>
      </c>
      <c r="E401" s="4" t="n">
        <v>95</v>
      </c>
      <c r="F401" s="5" t="n">
        <v>693.02</v>
      </c>
      <c r="G401" s="5" t="n">
        <f aca="false">D401*F401</f>
        <v>36730.06</v>
      </c>
      <c r="H401" s="4" t="s">
        <v>2490</v>
      </c>
    </row>
    <row r="402" customFormat="false" ht="16.4" hidden="false" customHeight="false" outlineLevel="0" collapsed="false">
      <c r="A402" s="4" t="s">
        <v>2883</v>
      </c>
      <c r="B402" s="4" t="s">
        <v>412</v>
      </c>
      <c r="C402" s="4" t="s">
        <v>2483</v>
      </c>
      <c r="D402" s="4" t="n">
        <v>401</v>
      </c>
      <c r="E402" s="4" t="n">
        <v>126</v>
      </c>
      <c r="F402" s="5" t="n">
        <v>782.35</v>
      </c>
      <c r="G402" s="5" t="n">
        <f aca="false">D402*F402</f>
        <v>313722.35</v>
      </c>
      <c r="H402" s="4" t="s">
        <v>2478</v>
      </c>
    </row>
    <row r="403" customFormat="false" ht="16.4" hidden="false" customHeight="false" outlineLevel="0" collapsed="false">
      <c r="A403" s="4" t="s">
        <v>2884</v>
      </c>
      <c r="B403" s="4" t="s">
        <v>50</v>
      </c>
      <c r="C403" s="4" t="s">
        <v>2505</v>
      </c>
      <c r="D403" s="4" t="n">
        <v>561</v>
      </c>
      <c r="E403" s="4" t="n">
        <v>150</v>
      </c>
      <c r="F403" s="5" t="n">
        <v>410.91</v>
      </c>
      <c r="G403" s="5" t="n">
        <f aca="false">D403*F403</f>
        <v>230520.51</v>
      </c>
      <c r="H403" s="4" t="s">
        <v>2478</v>
      </c>
    </row>
    <row r="404" customFormat="false" ht="16.4" hidden="false" customHeight="false" outlineLevel="0" collapsed="false">
      <c r="A404" s="4" t="s">
        <v>2885</v>
      </c>
      <c r="B404" s="4" t="s">
        <v>256</v>
      </c>
      <c r="C404" s="4" t="s">
        <v>2485</v>
      </c>
      <c r="D404" s="4" t="n">
        <v>484</v>
      </c>
      <c r="E404" s="4" t="n">
        <v>139</v>
      </c>
      <c r="F404" s="5" t="n">
        <v>247.19</v>
      </c>
      <c r="G404" s="5" t="n">
        <f aca="false">D404*F404</f>
        <v>119639.96</v>
      </c>
      <c r="H404" s="4" t="s">
        <v>2478</v>
      </c>
    </row>
    <row r="405" customFormat="false" ht="16.4" hidden="false" customHeight="false" outlineLevel="0" collapsed="false">
      <c r="A405" s="4" t="s">
        <v>2886</v>
      </c>
      <c r="B405" s="4" t="s">
        <v>240</v>
      </c>
      <c r="C405" s="4" t="s">
        <v>2505</v>
      </c>
      <c r="D405" s="4" t="n">
        <v>73</v>
      </c>
      <c r="E405" s="4" t="n">
        <v>122</v>
      </c>
      <c r="F405" s="5" t="n">
        <v>487.52</v>
      </c>
      <c r="G405" s="5" t="n">
        <f aca="false">D405*F405</f>
        <v>35588.96</v>
      </c>
      <c r="H405" s="4" t="s">
        <v>2490</v>
      </c>
    </row>
    <row r="406" customFormat="false" ht="16.4" hidden="false" customHeight="false" outlineLevel="0" collapsed="false">
      <c r="A406" s="4" t="s">
        <v>2887</v>
      </c>
      <c r="B406" s="4" t="s">
        <v>396</v>
      </c>
      <c r="C406" s="4" t="s">
        <v>2477</v>
      </c>
      <c r="D406" s="4" t="n">
        <v>199</v>
      </c>
      <c r="E406" s="4" t="n">
        <v>150</v>
      </c>
      <c r="F406" s="5" t="n">
        <v>221.87</v>
      </c>
      <c r="G406" s="5" t="n">
        <f aca="false">D406*F406</f>
        <v>44152.13</v>
      </c>
      <c r="H406" s="4" t="s">
        <v>2478</v>
      </c>
    </row>
    <row r="407" customFormat="false" ht="16.4" hidden="false" customHeight="false" outlineLevel="0" collapsed="false">
      <c r="A407" s="4" t="s">
        <v>2888</v>
      </c>
      <c r="B407" s="4" t="s">
        <v>106</v>
      </c>
      <c r="C407" s="4" t="s">
        <v>2505</v>
      </c>
      <c r="D407" s="4" t="n">
        <v>331</v>
      </c>
      <c r="E407" s="4" t="n">
        <v>63</v>
      </c>
      <c r="F407" s="5" t="n">
        <v>545.28</v>
      </c>
      <c r="G407" s="5" t="n">
        <f aca="false">D407*F407</f>
        <v>180487.68</v>
      </c>
      <c r="H407" s="4" t="s">
        <v>2478</v>
      </c>
    </row>
    <row r="408" customFormat="false" ht="16.4" hidden="false" customHeight="false" outlineLevel="0" collapsed="false">
      <c r="A408" s="4" t="s">
        <v>2889</v>
      </c>
      <c r="B408" s="4" t="s">
        <v>274</v>
      </c>
      <c r="C408" s="4" t="s">
        <v>2485</v>
      </c>
      <c r="D408" s="4" t="n">
        <v>167</v>
      </c>
      <c r="E408" s="4" t="n">
        <v>85</v>
      </c>
      <c r="F408" s="5" t="n">
        <v>131.58</v>
      </c>
      <c r="G408" s="5" t="n">
        <f aca="false">D408*F408</f>
        <v>21973.86</v>
      </c>
      <c r="H408" s="4" t="s">
        <v>2478</v>
      </c>
    </row>
    <row r="409" customFormat="false" ht="16.4" hidden="false" customHeight="false" outlineLevel="0" collapsed="false">
      <c r="A409" s="4" t="s">
        <v>2890</v>
      </c>
      <c r="B409" s="4" t="s">
        <v>396</v>
      </c>
      <c r="C409" s="4" t="s">
        <v>2483</v>
      </c>
      <c r="D409" s="4" t="n">
        <v>494</v>
      </c>
      <c r="E409" s="4" t="n">
        <v>124</v>
      </c>
      <c r="F409" s="5" t="n">
        <v>221.87</v>
      </c>
      <c r="G409" s="5" t="n">
        <f aca="false">D409*F409</f>
        <v>109603.78</v>
      </c>
      <c r="H409" s="4" t="s">
        <v>2478</v>
      </c>
    </row>
    <row r="410" customFormat="false" ht="16.4" hidden="false" customHeight="false" outlineLevel="0" collapsed="false">
      <c r="A410" s="4" t="s">
        <v>2891</v>
      </c>
      <c r="B410" s="4" t="s">
        <v>146</v>
      </c>
      <c r="C410" s="4" t="s">
        <v>2477</v>
      </c>
      <c r="D410" s="4" t="n">
        <v>223</v>
      </c>
      <c r="E410" s="4" t="n">
        <v>100</v>
      </c>
      <c r="F410" s="5" t="n">
        <v>440.85</v>
      </c>
      <c r="G410" s="5" t="n">
        <f aca="false">D410*F410</f>
        <v>98309.55</v>
      </c>
      <c r="H410" s="4" t="s">
        <v>2478</v>
      </c>
    </row>
    <row r="411" customFormat="false" ht="16.4" hidden="false" customHeight="false" outlineLevel="0" collapsed="false">
      <c r="A411" s="4" t="s">
        <v>2892</v>
      </c>
      <c r="B411" s="4" t="s">
        <v>224</v>
      </c>
      <c r="C411" s="4" t="s">
        <v>2483</v>
      </c>
      <c r="D411" s="4" t="n">
        <v>589</v>
      </c>
      <c r="E411" s="4" t="n">
        <v>76</v>
      </c>
      <c r="F411" s="5" t="n">
        <v>337.48</v>
      </c>
      <c r="G411" s="5" t="n">
        <f aca="false">D411*F411</f>
        <v>198775.72</v>
      </c>
      <c r="H411" s="4" t="s">
        <v>2478</v>
      </c>
    </row>
    <row r="412" customFormat="false" ht="16.4" hidden="false" customHeight="false" outlineLevel="0" collapsed="false">
      <c r="A412" s="4" t="s">
        <v>2893</v>
      </c>
      <c r="B412" s="4" t="s">
        <v>232</v>
      </c>
      <c r="C412" s="4" t="s">
        <v>2477</v>
      </c>
      <c r="D412" s="4" t="n">
        <v>437</v>
      </c>
      <c r="E412" s="4" t="n">
        <v>93</v>
      </c>
      <c r="F412" s="5" t="n">
        <v>488.61</v>
      </c>
      <c r="G412" s="5" t="n">
        <f aca="false">D412*F412</f>
        <v>213522.57</v>
      </c>
      <c r="H412" s="4" t="s">
        <v>2478</v>
      </c>
    </row>
    <row r="413" customFormat="false" ht="16.4" hidden="false" customHeight="false" outlineLevel="0" collapsed="false">
      <c r="A413" s="4" t="s">
        <v>2894</v>
      </c>
      <c r="B413" s="4" t="s">
        <v>88</v>
      </c>
      <c r="C413" s="4" t="s">
        <v>2483</v>
      </c>
      <c r="D413" s="4" t="n">
        <v>364</v>
      </c>
      <c r="E413" s="4" t="n">
        <v>171</v>
      </c>
      <c r="F413" s="5" t="n">
        <v>596.48</v>
      </c>
      <c r="G413" s="5" t="n">
        <f aca="false">D413*F413</f>
        <v>217118.72</v>
      </c>
      <c r="H413" s="4" t="s">
        <v>2478</v>
      </c>
    </row>
    <row r="414" customFormat="false" ht="16.4" hidden="false" customHeight="false" outlineLevel="0" collapsed="false">
      <c r="A414" s="4" t="s">
        <v>2895</v>
      </c>
      <c r="B414" s="4" t="s">
        <v>66</v>
      </c>
      <c r="C414" s="4" t="s">
        <v>2481</v>
      </c>
      <c r="D414" s="4" t="n">
        <v>120</v>
      </c>
      <c r="E414" s="4" t="n">
        <v>136</v>
      </c>
      <c r="F414" s="5" t="n">
        <v>434.64</v>
      </c>
      <c r="G414" s="5" t="n">
        <f aca="false">D414*F414</f>
        <v>52156.8</v>
      </c>
      <c r="H414" s="4" t="s">
        <v>2490</v>
      </c>
    </row>
    <row r="415" customFormat="false" ht="16.4" hidden="false" customHeight="false" outlineLevel="0" collapsed="false">
      <c r="A415" s="4" t="s">
        <v>2896</v>
      </c>
      <c r="B415" s="4" t="s">
        <v>262</v>
      </c>
      <c r="C415" s="4" t="s">
        <v>2483</v>
      </c>
      <c r="D415" s="4" t="n">
        <v>152</v>
      </c>
      <c r="E415" s="4" t="n">
        <v>153</v>
      </c>
      <c r="F415" s="5" t="n">
        <v>751.7</v>
      </c>
      <c r="G415" s="5" t="n">
        <f aca="false">D415*F415</f>
        <v>114258.4</v>
      </c>
      <c r="H415" s="4" t="s">
        <v>2490</v>
      </c>
    </row>
    <row r="416" customFormat="false" ht="16.4" hidden="false" customHeight="false" outlineLevel="0" collapsed="false">
      <c r="A416" s="4" t="s">
        <v>2897</v>
      </c>
      <c r="B416" s="4" t="s">
        <v>56</v>
      </c>
      <c r="C416" s="4" t="s">
        <v>2485</v>
      </c>
      <c r="D416" s="4" t="n">
        <v>121</v>
      </c>
      <c r="E416" s="4" t="n">
        <v>111</v>
      </c>
      <c r="F416" s="5" t="n">
        <v>54.95</v>
      </c>
      <c r="G416" s="5" t="n">
        <f aca="false">D416*F416</f>
        <v>6648.95</v>
      </c>
      <c r="H416" s="4" t="s">
        <v>2478</v>
      </c>
    </row>
    <row r="417" customFormat="false" ht="16.4" hidden="false" customHeight="false" outlineLevel="0" collapsed="false">
      <c r="A417" s="4" t="s">
        <v>2898</v>
      </c>
      <c r="B417" s="4" t="s">
        <v>290</v>
      </c>
      <c r="C417" s="4" t="s">
        <v>2485</v>
      </c>
      <c r="D417" s="4" t="n">
        <v>309</v>
      </c>
      <c r="E417" s="4" t="n">
        <v>94</v>
      </c>
      <c r="F417" s="5" t="n">
        <v>601.93</v>
      </c>
      <c r="G417" s="5" t="n">
        <f aca="false">D417*F417</f>
        <v>185996.37</v>
      </c>
      <c r="H417" s="4" t="s">
        <v>2478</v>
      </c>
    </row>
    <row r="418" customFormat="false" ht="16.4" hidden="false" customHeight="false" outlineLevel="0" collapsed="false">
      <c r="A418" s="4" t="s">
        <v>2899</v>
      </c>
      <c r="B418" s="4" t="s">
        <v>436</v>
      </c>
      <c r="C418" s="4" t="s">
        <v>2485</v>
      </c>
      <c r="D418" s="4" t="n">
        <v>91</v>
      </c>
      <c r="E418" s="4" t="n">
        <v>168</v>
      </c>
      <c r="F418" s="5" t="n">
        <v>103.58</v>
      </c>
      <c r="G418" s="5" t="n">
        <f aca="false">D418*F418</f>
        <v>9425.78</v>
      </c>
      <c r="H418" s="4" t="s">
        <v>2490</v>
      </c>
    </row>
    <row r="419" customFormat="false" ht="16.4" hidden="false" customHeight="false" outlineLevel="0" collapsed="false">
      <c r="A419" s="4" t="s">
        <v>2900</v>
      </c>
      <c r="B419" s="4" t="s">
        <v>180</v>
      </c>
      <c r="C419" s="4" t="s">
        <v>2477</v>
      </c>
      <c r="D419" s="4" t="n">
        <v>455</v>
      </c>
      <c r="E419" s="4" t="n">
        <v>144</v>
      </c>
      <c r="F419" s="5" t="n">
        <v>711.24</v>
      </c>
      <c r="G419" s="5" t="n">
        <f aca="false">D419*F419</f>
        <v>323614.2</v>
      </c>
      <c r="H419" s="4" t="s">
        <v>2478</v>
      </c>
    </row>
    <row r="420" customFormat="false" ht="16.4" hidden="false" customHeight="false" outlineLevel="0" collapsed="false">
      <c r="A420" s="4" t="s">
        <v>2901</v>
      </c>
      <c r="B420" s="4" t="s">
        <v>100</v>
      </c>
      <c r="C420" s="4" t="s">
        <v>2477</v>
      </c>
      <c r="D420" s="4" t="n">
        <v>119</v>
      </c>
      <c r="E420" s="4" t="n">
        <v>71</v>
      </c>
      <c r="F420" s="5" t="n">
        <v>65.25</v>
      </c>
      <c r="G420" s="5" t="n">
        <f aca="false">D420*F420</f>
        <v>7764.75</v>
      </c>
      <c r="H420" s="4" t="s">
        <v>2478</v>
      </c>
    </row>
    <row r="421" customFormat="false" ht="16.4" hidden="false" customHeight="false" outlineLevel="0" collapsed="false">
      <c r="A421" s="4" t="s">
        <v>2902</v>
      </c>
      <c r="B421" s="4" t="s">
        <v>290</v>
      </c>
      <c r="C421" s="4" t="s">
        <v>2477</v>
      </c>
      <c r="D421" s="4" t="n">
        <v>521</v>
      </c>
      <c r="E421" s="4" t="n">
        <v>107</v>
      </c>
      <c r="F421" s="5" t="n">
        <v>601.93</v>
      </c>
      <c r="G421" s="5" t="n">
        <f aca="false">D421*F421</f>
        <v>313605.53</v>
      </c>
      <c r="H421" s="4" t="s">
        <v>2478</v>
      </c>
    </row>
    <row r="422" customFormat="false" ht="16.4" hidden="false" customHeight="false" outlineLevel="0" collapsed="false">
      <c r="A422" s="4" t="s">
        <v>2903</v>
      </c>
      <c r="B422" s="4" t="s">
        <v>340</v>
      </c>
      <c r="C422" s="4" t="s">
        <v>2505</v>
      </c>
      <c r="D422" s="4" t="n">
        <v>586</v>
      </c>
      <c r="E422" s="4" t="n">
        <v>172</v>
      </c>
      <c r="F422" s="5" t="n">
        <v>313.13</v>
      </c>
      <c r="G422" s="5" t="n">
        <f aca="false">D422*F422</f>
        <v>183494.18</v>
      </c>
      <c r="H422" s="4" t="s">
        <v>2478</v>
      </c>
    </row>
    <row r="423" customFormat="false" ht="16.4" hidden="false" customHeight="false" outlineLevel="0" collapsed="false">
      <c r="A423" s="4" t="s">
        <v>2904</v>
      </c>
      <c r="B423" s="4" t="s">
        <v>394</v>
      </c>
      <c r="C423" s="4" t="s">
        <v>2485</v>
      </c>
      <c r="D423" s="4" t="n">
        <v>96</v>
      </c>
      <c r="E423" s="4" t="n">
        <v>96</v>
      </c>
      <c r="F423" s="5" t="n">
        <v>611.21</v>
      </c>
      <c r="G423" s="5" t="n">
        <f aca="false">D423*F423</f>
        <v>58676.16</v>
      </c>
      <c r="H423" s="4" t="s">
        <v>2478</v>
      </c>
    </row>
    <row r="424" customFormat="false" ht="16.4" hidden="false" customHeight="false" outlineLevel="0" collapsed="false">
      <c r="A424" s="4" t="s">
        <v>2905</v>
      </c>
      <c r="B424" s="4" t="s">
        <v>286</v>
      </c>
      <c r="C424" s="4" t="s">
        <v>2481</v>
      </c>
      <c r="D424" s="4" t="n">
        <v>444</v>
      </c>
      <c r="E424" s="4" t="n">
        <v>126</v>
      </c>
      <c r="F424" s="5" t="n">
        <v>386.29</v>
      </c>
      <c r="G424" s="5" t="n">
        <f aca="false">D424*F424</f>
        <v>171512.76</v>
      </c>
      <c r="H424" s="4" t="s">
        <v>2478</v>
      </c>
    </row>
    <row r="425" customFormat="false" ht="16.4" hidden="false" customHeight="false" outlineLevel="0" collapsed="false">
      <c r="A425" s="4" t="s">
        <v>2906</v>
      </c>
      <c r="B425" s="4" t="s">
        <v>104</v>
      </c>
      <c r="C425" s="4" t="s">
        <v>2477</v>
      </c>
      <c r="D425" s="4" t="n">
        <v>101</v>
      </c>
      <c r="E425" s="4" t="n">
        <v>133</v>
      </c>
      <c r="F425" s="5" t="n">
        <v>583.14</v>
      </c>
      <c r="G425" s="5" t="n">
        <f aca="false">D425*F425</f>
        <v>58897.14</v>
      </c>
      <c r="H425" s="4" t="s">
        <v>2490</v>
      </c>
    </row>
    <row r="426" customFormat="false" ht="16.4" hidden="false" customHeight="false" outlineLevel="0" collapsed="false">
      <c r="A426" s="4" t="s">
        <v>2907</v>
      </c>
      <c r="B426" s="4" t="s">
        <v>404</v>
      </c>
      <c r="C426" s="4" t="s">
        <v>2485</v>
      </c>
      <c r="D426" s="4" t="n">
        <v>550</v>
      </c>
      <c r="E426" s="4" t="n">
        <v>97</v>
      </c>
      <c r="F426" s="5" t="n">
        <v>436.6</v>
      </c>
      <c r="G426" s="5" t="n">
        <f aca="false">D426*F426</f>
        <v>240130</v>
      </c>
      <c r="H426" s="4" t="s">
        <v>2478</v>
      </c>
    </row>
    <row r="427" customFormat="false" ht="16.4" hidden="false" customHeight="false" outlineLevel="0" collapsed="false">
      <c r="A427" s="4" t="s">
        <v>2908</v>
      </c>
      <c r="B427" s="4" t="s">
        <v>398</v>
      </c>
      <c r="C427" s="4" t="s">
        <v>2481</v>
      </c>
      <c r="D427" s="4" t="n">
        <v>20</v>
      </c>
      <c r="E427" s="4" t="n">
        <v>150</v>
      </c>
      <c r="F427" s="5" t="n">
        <v>693.02</v>
      </c>
      <c r="G427" s="5" t="n">
        <f aca="false">D427*F427</f>
        <v>13860.4</v>
      </c>
      <c r="H427" s="4" t="s">
        <v>2490</v>
      </c>
    </row>
    <row r="428" customFormat="false" ht="16.4" hidden="false" customHeight="false" outlineLevel="0" collapsed="false">
      <c r="A428" s="4" t="s">
        <v>2909</v>
      </c>
      <c r="B428" s="4" t="s">
        <v>314</v>
      </c>
      <c r="C428" s="4" t="s">
        <v>2477</v>
      </c>
      <c r="D428" s="4" t="n">
        <v>542</v>
      </c>
      <c r="E428" s="4" t="n">
        <v>175</v>
      </c>
      <c r="F428" s="5" t="n">
        <v>208.08</v>
      </c>
      <c r="G428" s="5" t="n">
        <f aca="false">D428*F428</f>
        <v>112779.36</v>
      </c>
      <c r="H428" s="4" t="s">
        <v>2478</v>
      </c>
    </row>
    <row r="429" customFormat="false" ht="16.4" hidden="false" customHeight="false" outlineLevel="0" collapsed="false">
      <c r="A429" s="4" t="s">
        <v>2910</v>
      </c>
      <c r="B429" s="4" t="s">
        <v>304</v>
      </c>
      <c r="C429" s="4" t="s">
        <v>2483</v>
      </c>
      <c r="D429" s="4" t="n">
        <v>598</v>
      </c>
      <c r="E429" s="4" t="n">
        <v>81</v>
      </c>
      <c r="F429" s="5" t="n">
        <v>550.93</v>
      </c>
      <c r="G429" s="5" t="n">
        <f aca="false">D429*F429</f>
        <v>329456.14</v>
      </c>
      <c r="H429" s="4" t="s">
        <v>2478</v>
      </c>
    </row>
    <row r="430" customFormat="false" ht="16.4" hidden="false" customHeight="false" outlineLevel="0" collapsed="false">
      <c r="A430" s="4" t="s">
        <v>2911</v>
      </c>
      <c r="B430" s="4" t="s">
        <v>376</v>
      </c>
      <c r="C430" s="4" t="s">
        <v>2481</v>
      </c>
      <c r="D430" s="4" t="n">
        <v>120</v>
      </c>
      <c r="E430" s="4" t="n">
        <v>96</v>
      </c>
      <c r="F430" s="5" t="n">
        <v>566.35</v>
      </c>
      <c r="G430" s="5" t="n">
        <f aca="false">D430*F430</f>
        <v>67962</v>
      </c>
      <c r="H430" s="4" t="s">
        <v>2478</v>
      </c>
    </row>
    <row r="431" customFormat="false" ht="16.4" hidden="false" customHeight="false" outlineLevel="0" collapsed="false">
      <c r="A431" s="4" t="s">
        <v>2912</v>
      </c>
      <c r="B431" s="4" t="s">
        <v>394</v>
      </c>
      <c r="C431" s="4" t="s">
        <v>2481</v>
      </c>
      <c r="D431" s="4" t="n">
        <v>184</v>
      </c>
      <c r="E431" s="4" t="n">
        <v>51</v>
      </c>
      <c r="F431" s="5" t="n">
        <v>611.21</v>
      </c>
      <c r="G431" s="5" t="n">
        <f aca="false">D431*F431</f>
        <v>112462.64</v>
      </c>
      <c r="H431" s="4" t="s">
        <v>2478</v>
      </c>
    </row>
    <row r="432" customFormat="false" ht="16.4" hidden="false" customHeight="false" outlineLevel="0" collapsed="false">
      <c r="A432" s="4" t="s">
        <v>2913</v>
      </c>
      <c r="B432" s="4" t="s">
        <v>268</v>
      </c>
      <c r="C432" s="4" t="s">
        <v>2477</v>
      </c>
      <c r="D432" s="4" t="n">
        <v>321</v>
      </c>
      <c r="E432" s="4" t="n">
        <v>81</v>
      </c>
      <c r="F432" s="5" t="n">
        <v>820.57</v>
      </c>
      <c r="G432" s="5" t="n">
        <f aca="false">D432*F432</f>
        <v>263402.97</v>
      </c>
      <c r="H432" s="4" t="s">
        <v>2478</v>
      </c>
    </row>
    <row r="433" customFormat="false" ht="16.4" hidden="false" customHeight="false" outlineLevel="0" collapsed="false">
      <c r="A433" s="4" t="s">
        <v>2914</v>
      </c>
      <c r="B433" s="4" t="s">
        <v>104</v>
      </c>
      <c r="C433" s="4" t="s">
        <v>2483</v>
      </c>
      <c r="D433" s="4" t="n">
        <v>588</v>
      </c>
      <c r="E433" s="4" t="n">
        <v>102</v>
      </c>
      <c r="F433" s="5" t="n">
        <v>583.14</v>
      </c>
      <c r="G433" s="5" t="n">
        <f aca="false">D433*F433</f>
        <v>342886.32</v>
      </c>
      <c r="H433" s="4" t="s">
        <v>2478</v>
      </c>
    </row>
    <row r="434" customFormat="false" ht="16.4" hidden="false" customHeight="false" outlineLevel="0" collapsed="false">
      <c r="A434" s="4" t="s">
        <v>2915</v>
      </c>
      <c r="B434" s="4" t="s">
        <v>84</v>
      </c>
      <c r="C434" s="4" t="s">
        <v>2477</v>
      </c>
      <c r="D434" s="4" t="n">
        <v>575</v>
      </c>
      <c r="E434" s="4" t="n">
        <v>115</v>
      </c>
      <c r="F434" s="5" t="n">
        <v>354.32</v>
      </c>
      <c r="G434" s="5" t="n">
        <f aca="false">D434*F434</f>
        <v>203734</v>
      </c>
      <c r="H434" s="4" t="s">
        <v>2478</v>
      </c>
    </row>
    <row r="435" customFormat="false" ht="16.4" hidden="false" customHeight="false" outlineLevel="0" collapsed="false">
      <c r="A435" s="4" t="s">
        <v>2916</v>
      </c>
      <c r="B435" s="4" t="s">
        <v>82</v>
      </c>
      <c r="C435" s="4" t="s">
        <v>2505</v>
      </c>
      <c r="D435" s="4" t="n">
        <v>127</v>
      </c>
      <c r="E435" s="4" t="n">
        <v>179</v>
      </c>
      <c r="F435" s="5" t="n">
        <v>508.29</v>
      </c>
      <c r="G435" s="5" t="n">
        <f aca="false">D435*F435</f>
        <v>64552.83</v>
      </c>
      <c r="H435" s="4" t="s">
        <v>2490</v>
      </c>
    </row>
    <row r="436" customFormat="false" ht="16.4" hidden="false" customHeight="false" outlineLevel="0" collapsed="false">
      <c r="A436" s="4" t="s">
        <v>2917</v>
      </c>
      <c r="B436" s="4" t="s">
        <v>226</v>
      </c>
      <c r="C436" s="4" t="s">
        <v>2485</v>
      </c>
      <c r="D436" s="4" t="n">
        <v>557</v>
      </c>
      <c r="E436" s="4" t="n">
        <v>93</v>
      </c>
      <c r="F436" s="5" t="n">
        <v>370.42</v>
      </c>
      <c r="G436" s="5" t="n">
        <f aca="false">D436*F436</f>
        <v>206323.94</v>
      </c>
      <c r="H436" s="4" t="s">
        <v>2478</v>
      </c>
    </row>
    <row r="437" customFormat="false" ht="16.4" hidden="false" customHeight="false" outlineLevel="0" collapsed="false">
      <c r="A437" s="4" t="s">
        <v>2918</v>
      </c>
      <c r="B437" s="4" t="s">
        <v>376</v>
      </c>
      <c r="C437" s="4" t="s">
        <v>2505</v>
      </c>
      <c r="D437" s="4" t="n">
        <v>0</v>
      </c>
      <c r="E437" s="4" t="n">
        <v>113</v>
      </c>
      <c r="F437" s="5" t="n">
        <v>566.35</v>
      </c>
      <c r="G437" s="5" t="n">
        <f aca="false">D437*F437</f>
        <v>0</v>
      </c>
      <c r="H437" s="4" t="s">
        <v>2490</v>
      </c>
    </row>
    <row r="438" customFormat="false" ht="16.4" hidden="false" customHeight="false" outlineLevel="0" collapsed="false">
      <c r="A438" s="4" t="s">
        <v>2919</v>
      </c>
      <c r="B438" s="4" t="s">
        <v>62</v>
      </c>
      <c r="C438" s="4" t="s">
        <v>2481</v>
      </c>
      <c r="D438" s="4" t="n">
        <v>531</v>
      </c>
      <c r="E438" s="4" t="n">
        <v>125</v>
      </c>
      <c r="F438" s="5" t="n">
        <v>212.47</v>
      </c>
      <c r="G438" s="5" t="n">
        <f aca="false">D438*F438</f>
        <v>112821.57</v>
      </c>
      <c r="H438" s="4" t="s">
        <v>2478</v>
      </c>
    </row>
    <row r="439" customFormat="false" ht="16.4" hidden="false" customHeight="false" outlineLevel="0" collapsed="false">
      <c r="A439" s="4" t="s">
        <v>2920</v>
      </c>
      <c r="B439" s="4" t="s">
        <v>266</v>
      </c>
      <c r="C439" s="4" t="s">
        <v>2505</v>
      </c>
      <c r="D439" s="4" t="n">
        <v>143</v>
      </c>
      <c r="E439" s="4" t="n">
        <v>175</v>
      </c>
      <c r="F439" s="5" t="n">
        <v>542.72</v>
      </c>
      <c r="G439" s="5" t="n">
        <f aca="false">D439*F439</f>
        <v>77608.96</v>
      </c>
      <c r="H439" s="4" t="s">
        <v>2490</v>
      </c>
    </row>
    <row r="440" customFormat="false" ht="16.4" hidden="false" customHeight="false" outlineLevel="0" collapsed="false">
      <c r="A440" s="4" t="s">
        <v>2921</v>
      </c>
      <c r="B440" s="4" t="s">
        <v>306</v>
      </c>
      <c r="C440" s="4" t="s">
        <v>2483</v>
      </c>
      <c r="D440" s="4" t="n">
        <v>360</v>
      </c>
      <c r="E440" s="4" t="n">
        <v>180</v>
      </c>
      <c r="F440" s="5" t="n">
        <v>584.2</v>
      </c>
      <c r="G440" s="5" t="n">
        <f aca="false">D440*F440</f>
        <v>210312</v>
      </c>
      <c r="H440" s="4" t="s">
        <v>2478</v>
      </c>
    </row>
    <row r="441" customFormat="false" ht="16.4" hidden="false" customHeight="false" outlineLevel="0" collapsed="false">
      <c r="A441" s="4" t="s">
        <v>2922</v>
      </c>
      <c r="B441" s="4" t="s">
        <v>392</v>
      </c>
      <c r="C441" s="4" t="s">
        <v>2483</v>
      </c>
      <c r="D441" s="4" t="n">
        <v>101</v>
      </c>
      <c r="E441" s="4" t="n">
        <v>61</v>
      </c>
      <c r="F441" s="5" t="n">
        <v>339.69</v>
      </c>
      <c r="G441" s="5" t="n">
        <f aca="false">D441*F441</f>
        <v>34308.69</v>
      </c>
      <c r="H441" s="4" t="s">
        <v>2478</v>
      </c>
    </row>
    <row r="442" customFormat="false" ht="16.4" hidden="false" customHeight="false" outlineLevel="0" collapsed="false">
      <c r="A442" s="4" t="s">
        <v>2923</v>
      </c>
      <c r="B442" s="4" t="s">
        <v>58</v>
      </c>
      <c r="C442" s="4" t="s">
        <v>2505</v>
      </c>
      <c r="D442" s="4" t="n">
        <v>192</v>
      </c>
      <c r="E442" s="4" t="n">
        <v>86</v>
      </c>
      <c r="F442" s="5" t="n">
        <v>94.81</v>
      </c>
      <c r="G442" s="5" t="n">
        <f aca="false">D442*F442</f>
        <v>18203.52</v>
      </c>
      <c r="H442" s="4" t="s">
        <v>2478</v>
      </c>
    </row>
    <row r="443" customFormat="false" ht="16.4" hidden="false" customHeight="false" outlineLevel="0" collapsed="false">
      <c r="A443" s="4" t="s">
        <v>2924</v>
      </c>
      <c r="B443" s="4" t="s">
        <v>150</v>
      </c>
      <c r="C443" s="4" t="s">
        <v>2481</v>
      </c>
      <c r="D443" s="4" t="n">
        <v>137</v>
      </c>
      <c r="E443" s="4" t="n">
        <v>105</v>
      </c>
      <c r="F443" s="5" t="n">
        <v>184.75</v>
      </c>
      <c r="G443" s="5" t="n">
        <f aca="false">D443*F443</f>
        <v>25310.75</v>
      </c>
      <c r="H443" s="4" t="s">
        <v>2478</v>
      </c>
    </row>
    <row r="444" customFormat="false" ht="16.4" hidden="false" customHeight="false" outlineLevel="0" collapsed="false">
      <c r="A444" s="4" t="s">
        <v>2925</v>
      </c>
      <c r="B444" s="4" t="s">
        <v>222</v>
      </c>
      <c r="C444" s="4" t="s">
        <v>2481</v>
      </c>
      <c r="D444" s="4" t="n">
        <v>284</v>
      </c>
      <c r="E444" s="4" t="n">
        <v>82</v>
      </c>
      <c r="F444" s="5" t="n">
        <v>189.01</v>
      </c>
      <c r="G444" s="5" t="n">
        <f aca="false">D444*F444</f>
        <v>53678.84</v>
      </c>
      <c r="H444" s="4" t="s">
        <v>2478</v>
      </c>
    </row>
    <row r="445" customFormat="false" ht="16.4" hidden="false" customHeight="false" outlineLevel="0" collapsed="false">
      <c r="A445" s="4" t="s">
        <v>2926</v>
      </c>
      <c r="B445" s="4" t="s">
        <v>256</v>
      </c>
      <c r="C445" s="4" t="s">
        <v>2505</v>
      </c>
      <c r="D445" s="4" t="n">
        <v>76</v>
      </c>
      <c r="E445" s="4" t="n">
        <v>115</v>
      </c>
      <c r="F445" s="5" t="n">
        <v>247.19</v>
      </c>
      <c r="G445" s="5" t="n">
        <f aca="false">D445*F445</f>
        <v>18786.44</v>
      </c>
      <c r="H445" s="4" t="s">
        <v>2490</v>
      </c>
    </row>
    <row r="446" customFormat="false" ht="16.4" hidden="false" customHeight="false" outlineLevel="0" collapsed="false">
      <c r="A446" s="4" t="s">
        <v>2927</v>
      </c>
      <c r="B446" s="4" t="s">
        <v>234</v>
      </c>
      <c r="C446" s="4" t="s">
        <v>2485</v>
      </c>
      <c r="D446" s="4" t="n">
        <v>167</v>
      </c>
      <c r="E446" s="4" t="n">
        <v>152</v>
      </c>
      <c r="F446" s="5" t="n">
        <v>159.31</v>
      </c>
      <c r="G446" s="5" t="n">
        <f aca="false">D446*F446</f>
        <v>26604.77</v>
      </c>
      <c r="H446" s="4" t="s">
        <v>2478</v>
      </c>
    </row>
    <row r="447" customFormat="false" ht="16.4" hidden="false" customHeight="false" outlineLevel="0" collapsed="false">
      <c r="A447" s="4" t="s">
        <v>2928</v>
      </c>
      <c r="B447" s="4" t="s">
        <v>82</v>
      </c>
      <c r="C447" s="4" t="s">
        <v>2483</v>
      </c>
      <c r="D447" s="4" t="n">
        <v>260</v>
      </c>
      <c r="E447" s="4" t="n">
        <v>158</v>
      </c>
      <c r="F447" s="5" t="n">
        <v>508.29</v>
      </c>
      <c r="G447" s="5" t="n">
        <f aca="false">D447*F447</f>
        <v>132155.4</v>
      </c>
      <c r="H447" s="4" t="s">
        <v>2478</v>
      </c>
    </row>
    <row r="448" customFormat="false" ht="16.4" hidden="false" customHeight="false" outlineLevel="0" collapsed="false">
      <c r="A448" s="4" t="s">
        <v>2929</v>
      </c>
      <c r="B448" s="4" t="s">
        <v>314</v>
      </c>
      <c r="C448" s="4" t="s">
        <v>2505</v>
      </c>
      <c r="D448" s="4" t="n">
        <v>208</v>
      </c>
      <c r="E448" s="4" t="n">
        <v>68</v>
      </c>
      <c r="F448" s="5" t="n">
        <v>208.08</v>
      </c>
      <c r="G448" s="5" t="n">
        <f aca="false">D448*F448</f>
        <v>43280.64</v>
      </c>
      <c r="H448" s="4" t="s">
        <v>2478</v>
      </c>
    </row>
    <row r="449" customFormat="false" ht="16.4" hidden="false" customHeight="false" outlineLevel="0" collapsed="false">
      <c r="A449" s="4" t="s">
        <v>2930</v>
      </c>
      <c r="B449" s="4" t="s">
        <v>364</v>
      </c>
      <c r="C449" s="4" t="s">
        <v>2481</v>
      </c>
      <c r="D449" s="4" t="n">
        <v>197</v>
      </c>
      <c r="E449" s="4" t="n">
        <v>145</v>
      </c>
      <c r="F449" s="5" t="n">
        <v>45.35</v>
      </c>
      <c r="G449" s="5" t="n">
        <f aca="false">D449*F449</f>
        <v>8933.95</v>
      </c>
      <c r="H449" s="4" t="s">
        <v>2478</v>
      </c>
    </row>
    <row r="450" customFormat="false" ht="16.4" hidden="false" customHeight="false" outlineLevel="0" collapsed="false">
      <c r="A450" s="4" t="s">
        <v>2931</v>
      </c>
      <c r="B450" s="4" t="s">
        <v>376</v>
      </c>
      <c r="C450" s="4" t="s">
        <v>2485</v>
      </c>
      <c r="D450" s="4" t="n">
        <v>523</v>
      </c>
      <c r="E450" s="4" t="n">
        <v>91</v>
      </c>
      <c r="F450" s="5" t="n">
        <v>566.35</v>
      </c>
      <c r="G450" s="5" t="n">
        <f aca="false">D450*F450</f>
        <v>296201.05</v>
      </c>
      <c r="H450" s="4" t="s">
        <v>2478</v>
      </c>
    </row>
    <row r="451" customFormat="false" ht="16.4" hidden="false" customHeight="false" outlineLevel="0" collapsed="false">
      <c r="A451" s="4" t="s">
        <v>2932</v>
      </c>
      <c r="B451" s="4" t="s">
        <v>118</v>
      </c>
      <c r="C451" s="4" t="s">
        <v>2485</v>
      </c>
      <c r="D451" s="4" t="n">
        <v>323</v>
      </c>
      <c r="E451" s="4" t="n">
        <v>161</v>
      </c>
      <c r="F451" s="5" t="n">
        <v>421.07</v>
      </c>
      <c r="G451" s="5" t="n">
        <f aca="false">D451*F451</f>
        <v>136005.61</v>
      </c>
      <c r="H451" s="4" t="s">
        <v>2478</v>
      </c>
    </row>
    <row r="452" customFormat="false" ht="16.4" hidden="false" customHeight="false" outlineLevel="0" collapsed="false">
      <c r="A452" s="4" t="s">
        <v>2933</v>
      </c>
      <c r="B452" s="4" t="s">
        <v>52</v>
      </c>
      <c r="C452" s="4" t="s">
        <v>2505</v>
      </c>
      <c r="D452" s="4" t="n">
        <v>253</v>
      </c>
      <c r="E452" s="4" t="n">
        <v>69</v>
      </c>
      <c r="F452" s="5" t="n">
        <v>72.84</v>
      </c>
      <c r="G452" s="5" t="n">
        <f aca="false">D452*F452</f>
        <v>18428.52</v>
      </c>
      <c r="H452" s="4" t="s">
        <v>2478</v>
      </c>
    </row>
    <row r="453" customFormat="false" ht="16.4" hidden="false" customHeight="false" outlineLevel="0" collapsed="false">
      <c r="A453" s="4" t="s">
        <v>2934</v>
      </c>
      <c r="B453" s="4" t="s">
        <v>102</v>
      </c>
      <c r="C453" s="4" t="s">
        <v>2481</v>
      </c>
      <c r="D453" s="4" t="n">
        <v>544</v>
      </c>
      <c r="E453" s="4" t="n">
        <v>78</v>
      </c>
      <c r="F453" s="5" t="n">
        <v>729.21</v>
      </c>
      <c r="G453" s="5" t="n">
        <f aca="false">D453*F453</f>
        <v>396690.24</v>
      </c>
      <c r="H453" s="4" t="s">
        <v>2478</v>
      </c>
    </row>
    <row r="454" customFormat="false" ht="16.4" hidden="false" customHeight="false" outlineLevel="0" collapsed="false">
      <c r="A454" s="4" t="s">
        <v>2935</v>
      </c>
      <c r="B454" s="4" t="s">
        <v>248</v>
      </c>
      <c r="C454" s="4" t="s">
        <v>2477</v>
      </c>
      <c r="D454" s="4" t="n">
        <v>67</v>
      </c>
      <c r="E454" s="4" t="n">
        <v>134</v>
      </c>
      <c r="F454" s="5" t="n">
        <v>147.93</v>
      </c>
      <c r="G454" s="5" t="n">
        <f aca="false">D454*F454</f>
        <v>9911.31</v>
      </c>
      <c r="H454" s="4" t="s">
        <v>2490</v>
      </c>
    </row>
    <row r="455" customFormat="false" ht="16.4" hidden="false" customHeight="false" outlineLevel="0" collapsed="false">
      <c r="A455" s="4" t="s">
        <v>2936</v>
      </c>
      <c r="B455" s="4" t="s">
        <v>224</v>
      </c>
      <c r="C455" s="4" t="s">
        <v>2483</v>
      </c>
      <c r="D455" s="4" t="n">
        <v>341</v>
      </c>
      <c r="E455" s="4" t="n">
        <v>119</v>
      </c>
      <c r="F455" s="5" t="n">
        <v>337.48</v>
      </c>
      <c r="G455" s="5" t="n">
        <f aca="false">D455*F455</f>
        <v>115080.68</v>
      </c>
      <c r="H455" s="4" t="s">
        <v>2478</v>
      </c>
    </row>
    <row r="456" customFormat="false" ht="16.4" hidden="false" customHeight="false" outlineLevel="0" collapsed="false">
      <c r="A456" s="4" t="s">
        <v>2937</v>
      </c>
      <c r="B456" s="4" t="s">
        <v>154</v>
      </c>
      <c r="C456" s="4" t="s">
        <v>2477</v>
      </c>
      <c r="D456" s="4" t="n">
        <v>280</v>
      </c>
      <c r="E456" s="4" t="n">
        <v>52</v>
      </c>
      <c r="F456" s="5" t="n">
        <v>386.21</v>
      </c>
      <c r="G456" s="5" t="n">
        <f aca="false">D456*F456</f>
        <v>108138.8</v>
      </c>
      <c r="H456" s="4" t="s">
        <v>2478</v>
      </c>
    </row>
    <row r="457" customFormat="false" ht="16.4" hidden="false" customHeight="false" outlineLevel="0" collapsed="false">
      <c r="A457" s="4" t="s">
        <v>2938</v>
      </c>
      <c r="B457" s="4" t="s">
        <v>232</v>
      </c>
      <c r="C457" s="4" t="s">
        <v>2477</v>
      </c>
      <c r="D457" s="4" t="n">
        <v>227</v>
      </c>
      <c r="E457" s="4" t="n">
        <v>146</v>
      </c>
      <c r="F457" s="5" t="n">
        <v>488.61</v>
      </c>
      <c r="G457" s="5" t="n">
        <f aca="false">D457*F457</f>
        <v>110914.47</v>
      </c>
      <c r="H457" s="4" t="s">
        <v>2478</v>
      </c>
    </row>
    <row r="458" customFormat="false" ht="16.4" hidden="false" customHeight="false" outlineLevel="0" collapsed="false">
      <c r="A458" s="4" t="s">
        <v>2939</v>
      </c>
      <c r="B458" s="4" t="s">
        <v>102</v>
      </c>
      <c r="C458" s="4" t="s">
        <v>2481</v>
      </c>
      <c r="D458" s="4" t="n">
        <v>179</v>
      </c>
      <c r="E458" s="4" t="n">
        <v>128</v>
      </c>
      <c r="F458" s="5" t="n">
        <v>729.21</v>
      </c>
      <c r="G458" s="5" t="n">
        <f aca="false">D458*F458</f>
        <v>130528.59</v>
      </c>
      <c r="H458" s="4" t="s">
        <v>2478</v>
      </c>
    </row>
    <row r="459" customFormat="false" ht="16.4" hidden="false" customHeight="false" outlineLevel="0" collapsed="false">
      <c r="A459" s="4" t="s">
        <v>2940</v>
      </c>
      <c r="B459" s="4" t="s">
        <v>290</v>
      </c>
      <c r="C459" s="4" t="s">
        <v>2481</v>
      </c>
      <c r="D459" s="4" t="n">
        <v>97</v>
      </c>
      <c r="E459" s="4" t="n">
        <v>139</v>
      </c>
      <c r="F459" s="5" t="n">
        <v>601.93</v>
      </c>
      <c r="G459" s="5" t="n">
        <f aca="false">D459*F459</f>
        <v>58387.21</v>
      </c>
      <c r="H459" s="4" t="s">
        <v>2490</v>
      </c>
    </row>
    <row r="460" customFormat="false" ht="16.4" hidden="false" customHeight="false" outlineLevel="0" collapsed="false">
      <c r="A460" s="4" t="s">
        <v>2941</v>
      </c>
      <c r="B460" s="4" t="s">
        <v>184</v>
      </c>
      <c r="C460" s="4" t="s">
        <v>2481</v>
      </c>
      <c r="D460" s="4" t="n">
        <v>564</v>
      </c>
      <c r="E460" s="4" t="n">
        <v>119</v>
      </c>
      <c r="F460" s="5" t="n">
        <v>327.97</v>
      </c>
      <c r="G460" s="5" t="n">
        <f aca="false">D460*F460</f>
        <v>184975.08</v>
      </c>
      <c r="H460" s="4" t="s">
        <v>2478</v>
      </c>
    </row>
    <row r="461" customFormat="false" ht="16.4" hidden="false" customHeight="false" outlineLevel="0" collapsed="false">
      <c r="A461" s="4" t="s">
        <v>2942</v>
      </c>
      <c r="B461" s="4" t="s">
        <v>90</v>
      </c>
      <c r="C461" s="4" t="s">
        <v>2505</v>
      </c>
      <c r="D461" s="4" t="n">
        <v>49</v>
      </c>
      <c r="E461" s="4" t="n">
        <v>93</v>
      </c>
      <c r="F461" s="5" t="n">
        <v>284.8</v>
      </c>
      <c r="G461" s="5" t="n">
        <f aca="false">D461*F461</f>
        <v>13955.2</v>
      </c>
      <c r="H461" s="4" t="s">
        <v>2490</v>
      </c>
    </row>
    <row r="462" customFormat="false" ht="16.4" hidden="false" customHeight="false" outlineLevel="0" collapsed="false">
      <c r="A462" s="4" t="s">
        <v>2943</v>
      </c>
      <c r="B462" s="4" t="s">
        <v>424</v>
      </c>
      <c r="C462" s="4" t="s">
        <v>2505</v>
      </c>
      <c r="D462" s="4" t="n">
        <v>398</v>
      </c>
      <c r="E462" s="4" t="n">
        <v>96</v>
      </c>
      <c r="F462" s="5" t="n">
        <v>449.16</v>
      </c>
      <c r="G462" s="5" t="n">
        <f aca="false">D462*F462</f>
        <v>178765.68</v>
      </c>
      <c r="H462" s="4" t="s">
        <v>2478</v>
      </c>
    </row>
    <row r="463" customFormat="false" ht="16.4" hidden="false" customHeight="false" outlineLevel="0" collapsed="false">
      <c r="A463" s="4" t="s">
        <v>2944</v>
      </c>
      <c r="B463" s="4" t="s">
        <v>418</v>
      </c>
      <c r="C463" s="4" t="s">
        <v>2485</v>
      </c>
      <c r="D463" s="4" t="n">
        <v>544</v>
      </c>
      <c r="E463" s="4" t="n">
        <v>153</v>
      </c>
      <c r="F463" s="5" t="n">
        <v>791.27</v>
      </c>
      <c r="G463" s="5" t="n">
        <f aca="false">D463*F463</f>
        <v>430450.88</v>
      </c>
      <c r="H463" s="4" t="s">
        <v>2478</v>
      </c>
    </row>
    <row r="464" customFormat="false" ht="16.4" hidden="false" customHeight="false" outlineLevel="0" collapsed="false">
      <c r="A464" s="4" t="s">
        <v>2945</v>
      </c>
      <c r="B464" s="4" t="s">
        <v>342</v>
      </c>
      <c r="C464" s="4" t="s">
        <v>2477</v>
      </c>
      <c r="D464" s="4" t="n">
        <v>130</v>
      </c>
      <c r="E464" s="4" t="n">
        <v>116</v>
      </c>
      <c r="F464" s="5" t="n">
        <v>505.69</v>
      </c>
      <c r="G464" s="5" t="n">
        <f aca="false">D464*F464</f>
        <v>65739.7</v>
      </c>
      <c r="H464" s="4" t="s">
        <v>2478</v>
      </c>
    </row>
    <row r="465" customFormat="false" ht="16.4" hidden="false" customHeight="false" outlineLevel="0" collapsed="false">
      <c r="A465" s="4" t="s">
        <v>2946</v>
      </c>
      <c r="B465" s="4" t="s">
        <v>390</v>
      </c>
      <c r="C465" s="4" t="s">
        <v>2483</v>
      </c>
      <c r="D465" s="4" t="n">
        <v>525</v>
      </c>
      <c r="E465" s="4" t="n">
        <v>89</v>
      </c>
      <c r="F465" s="5" t="n">
        <v>396.04</v>
      </c>
      <c r="G465" s="5" t="n">
        <f aca="false">D465*F465</f>
        <v>207921</v>
      </c>
      <c r="H465" s="4" t="s">
        <v>2478</v>
      </c>
    </row>
    <row r="466" customFormat="false" ht="16.4" hidden="false" customHeight="false" outlineLevel="0" collapsed="false">
      <c r="A466" s="4" t="s">
        <v>2947</v>
      </c>
      <c r="B466" s="4" t="s">
        <v>112</v>
      </c>
      <c r="C466" s="4" t="s">
        <v>2477</v>
      </c>
      <c r="D466" s="4" t="n">
        <v>387</v>
      </c>
      <c r="E466" s="4" t="n">
        <v>118</v>
      </c>
      <c r="F466" s="5" t="n">
        <v>316.62</v>
      </c>
      <c r="G466" s="5" t="n">
        <f aca="false">D466*F466</f>
        <v>122531.94</v>
      </c>
      <c r="H466" s="4" t="s">
        <v>2478</v>
      </c>
    </row>
    <row r="467" customFormat="false" ht="16.4" hidden="false" customHeight="false" outlineLevel="0" collapsed="false">
      <c r="A467" s="4" t="s">
        <v>2948</v>
      </c>
      <c r="B467" s="4" t="s">
        <v>410</v>
      </c>
      <c r="C467" s="4" t="s">
        <v>2481</v>
      </c>
      <c r="D467" s="4" t="n">
        <v>379</v>
      </c>
      <c r="E467" s="4" t="n">
        <v>113</v>
      </c>
      <c r="F467" s="5" t="n">
        <v>298.89</v>
      </c>
      <c r="G467" s="5" t="n">
        <f aca="false">D467*F467</f>
        <v>113279.31</v>
      </c>
      <c r="H467" s="4" t="s">
        <v>2478</v>
      </c>
    </row>
    <row r="468" customFormat="false" ht="16.4" hidden="false" customHeight="false" outlineLevel="0" collapsed="false">
      <c r="A468" s="4" t="s">
        <v>2949</v>
      </c>
      <c r="B468" s="4" t="s">
        <v>254</v>
      </c>
      <c r="C468" s="4" t="s">
        <v>2485</v>
      </c>
      <c r="D468" s="4" t="n">
        <v>468</v>
      </c>
      <c r="E468" s="4" t="n">
        <v>96</v>
      </c>
      <c r="F468" s="5" t="n">
        <v>101.76</v>
      </c>
      <c r="G468" s="5" t="n">
        <f aca="false">D468*F468</f>
        <v>47623.68</v>
      </c>
      <c r="H468" s="4" t="s">
        <v>2478</v>
      </c>
    </row>
    <row r="469" customFormat="false" ht="16.4" hidden="false" customHeight="false" outlineLevel="0" collapsed="false">
      <c r="A469" s="4" t="s">
        <v>2950</v>
      </c>
      <c r="B469" s="4" t="s">
        <v>220</v>
      </c>
      <c r="C469" s="4" t="s">
        <v>2505</v>
      </c>
      <c r="D469" s="4" t="n">
        <v>479</v>
      </c>
      <c r="E469" s="4" t="n">
        <v>178</v>
      </c>
      <c r="F469" s="5" t="n">
        <v>355.47</v>
      </c>
      <c r="G469" s="5" t="n">
        <f aca="false">D469*F469</f>
        <v>170270.13</v>
      </c>
      <c r="H469" s="4" t="s">
        <v>2478</v>
      </c>
    </row>
    <row r="470" customFormat="false" ht="16.4" hidden="false" customHeight="false" outlineLevel="0" collapsed="false">
      <c r="A470" s="4" t="s">
        <v>2951</v>
      </c>
      <c r="B470" s="4" t="s">
        <v>180</v>
      </c>
      <c r="C470" s="4" t="s">
        <v>2505</v>
      </c>
      <c r="D470" s="4" t="n">
        <v>438</v>
      </c>
      <c r="E470" s="4" t="n">
        <v>108</v>
      </c>
      <c r="F470" s="5" t="n">
        <v>711.24</v>
      </c>
      <c r="G470" s="5" t="n">
        <f aca="false">D470*F470</f>
        <v>311523.12</v>
      </c>
      <c r="H470" s="4" t="s">
        <v>2478</v>
      </c>
    </row>
    <row r="471" customFormat="false" ht="16.4" hidden="false" customHeight="false" outlineLevel="0" collapsed="false">
      <c r="A471" s="4" t="s">
        <v>2952</v>
      </c>
      <c r="B471" s="4" t="s">
        <v>364</v>
      </c>
      <c r="C471" s="4" t="s">
        <v>2485</v>
      </c>
      <c r="D471" s="4" t="n">
        <v>89</v>
      </c>
      <c r="E471" s="4" t="n">
        <v>128</v>
      </c>
      <c r="F471" s="5" t="n">
        <v>45.35</v>
      </c>
      <c r="G471" s="5" t="n">
        <f aca="false">D471*F471</f>
        <v>4036.15</v>
      </c>
      <c r="H471" s="4" t="s">
        <v>2490</v>
      </c>
    </row>
    <row r="472" customFormat="false" ht="16.4" hidden="false" customHeight="false" outlineLevel="0" collapsed="false">
      <c r="A472" s="4" t="s">
        <v>2953</v>
      </c>
      <c r="B472" s="4" t="s">
        <v>434</v>
      </c>
      <c r="C472" s="4" t="s">
        <v>2477</v>
      </c>
      <c r="D472" s="4" t="n">
        <v>320</v>
      </c>
      <c r="E472" s="4" t="n">
        <v>73</v>
      </c>
      <c r="F472" s="5" t="n">
        <v>208.29</v>
      </c>
      <c r="G472" s="5" t="n">
        <f aca="false">D472*F472</f>
        <v>66652.8</v>
      </c>
      <c r="H472" s="4" t="s">
        <v>2478</v>
      </c>
    </row>
    <row r="473" customFormat="false" ht="16.4" hidden="false" customHeight="false" outlineLevel="0" collapsed="false">
      <c r="A473" s="4" t="s">
        <v>2954</v>
      </c>
      <c r="B473" s="4" t="s">
        <v>78</v>
      </c>
      <c r="C473" s="4" t="s">
        <v>2483</v>
      </c>
      <c r="D473" s="4" t="n">
        <v>245</v>
      </c>
      <c r="E473" s="4" t="n">
        <v>73</v>
      </c>
      <c r="F473" s="5" t="n">
        <v>308.28</v>
      </c>
      <c r="G473" s="5" t="n">
        <f aca="false">D473*F473</f>
        <v>75528.6</v>
      </c>
      <c r="H473" s="4" t="s">
        <v>2478</v>
      </c>
    </row>
    <row r="474" customFormat="false" ht="16.4" hidden="false" customHeight="false" outlineLevel="0" collapsed="false">
      <c r="A474" s="4" t="s">
        <v>2955</v>
      </c>
      <c r="B474" s="4" t="s">
        <v>334</v>
      </c>
      <c r="C474" s="4" t="s">
        <v>2505</v>
      </c>
      <c r="D474" s="4" t="n">
        <v>58</v>
      </c>
      <c r="E474" s="4" t="n">
        <v>71</v>
      </c>
      <c r="F474" s="5" t="n">
        <v>23.46</v>
      </c>
      <c r="G474" s="5" t="n">
        <f aca="false">D474*F474</f>
        <v>1360.68</v>
      </c>
      <c r="H474" s="4" t="s">
        <v>2490</v>
      </c>
    </row>
    <row r="475" customFormat="false" ht="16.4" hidden="false" customHeight="false" outlineLevel="0" collapsed="false">
      <c r="A475" s="4" t="s">
        <v>2956</v>
      </c>
      <c r="B475" s="4" t="s">
        <v>322</v>
      </c>
      <c r="C475" s="4" t="s">
        <v>2485</v>
      </c>
      <c r="D475" s="4" t="n">
        <v>504</v>
      </c>
      <c r="E475" s="4" t="n">
        <v>52</v>
      </c>
      <c r="F475" s="5" t="n">
        <v>224.19</v>
      </c>
      <c r="G475" s="5" t="n">
        <f aca="false">D475*F475</f>
        <v>112991.76</v>
      </c>
      <c r="H475" s="4" t="s">
        <v>2478</v>
      </c>
    </row>
    <row r="476" customFormat="false" ht="16.4" hidden="false" customHeight="false" outlineLevel="0" collapsed="false">
      <c r="A476" s="4" t="s">
        <v>2957</v>
      </c>
      <c r="B476" s="4" t="s">
        <v>386</v>
      </c>
      <c r="C476" s="4" t="s">
        <v>2485</v>
      </c>
      <c r="D476" s="4" t="n">
        <v>520</v>
      </c>
      <c r="E476" s="4" t="n">
        <v>84</v>
      </c>
      <c r="F476" s="5" t="n">
        <v>348.46</v>
      </c>
      <c r="G476" s="5" t="n">
        <f aca="false">D476*F476</f>
        <v>181199.2</v>
      </c>
      <c r="H476" s="4" t="s">
        <v>2478</v>
      </c>
    </row>
    <row r="477" customFormat="false" ht="16.4" hidden="false" customHeight="false" outlineLevel="0" collapsed="false">
      <c r="A477" s="4" t="s">
        <v>2958</v>
      </c>
      <c r="B477" s="4" t="s">
        <v>294</v>
      </c>
      <c r="C477" s="4" t="s">
        <v>2485</v>
      </c>
      <c r="D477" s="4" t="n">
        <v>527</v>
      </c>
      <c r="E477" s="4" t="n">
        <v>81</v>
      </c>
      <c r="F477" s="5" t="n">
        <v>604.38</v>
      </c>
      <c r="G477" s="5" t="n">
        <f aca="false">D477*F477</f>
        <v>318508.26</v>
      </c>
      <c r="H477" s="4" t="s">
        <v>2478</v>
      </c>
    </row>
    <row r="478" customFormat="false" ht="16.4" hidden="false" customHeight="false" outlineLevel="0" collapsed="false">
      <c r="A478" s="4" t="s">
        <v>2959</v>
      </c>
      <c r="B478" s="4" t="s">
        <v>46</v>
      </c>
      <c r="C478" s="4" t="s">
        <v>2485</v>
      </c>
      <c r="D478" s="4" t="n">
        <v>194</v>
      </c>
      <c r="E478" s="4" t="n">
        <v>51</v>
      </c>
      <c r="F478" s="5" t="n">
        <v>157.75</v>
      </c>
      <c r="G478" s="5" t="n">
        <f aca="false">D478*F478</f>
        <v>30603.5</v>
      </c>
      <c r="H478" s="4" t="s">
        <v>2478</v>
      </c>
    </row>
    <row r="479" customFormat="false" ht="16.4" hidden="false" customHeight="false" outlineLevel="0" collapsed="false">
      <c r="A479" s="4" t="s">
        <v>2960</v>
      </c>
      <c r="B479" s="4" t="s">
        <v>398</v>
      </c>
      <c r="C479" s="4" t="s">
        <v>2483</v>
      </c>
      <c r="D479" s="4" t="n">
        <v>547</v>
      </c>
      <c r="E479" s="4" t="n">
        <v>138</v>
      </c>
      <c r="F479" s="5" t="n">
        <v>693.02</v>
      </c>
      <c r="G479" s="5" t="n">
        <f aca="false">D479*F479</f>
        <v>379081.94</v>
      </c>
      <c r="H479" s="4" t="s">
        <v>2478</v>
      </c>
    </row>
    <row r="480" customFormat="false" ht="16.4" hidden="false" customHeight="false" outlineLevel="0" collapsed="false">
      <c r="A480" s="4" t="s">
        <v>2961</v>
      </c>
      <c r="B480" s="4" t="s">
        <v>418</v>
      </c>
      <c r="C480" s="4" t="s">
        <v>2481</v>
      </c>
      <c r="D480" s="4" t="n">
        <v>540</v>
      </c>
      <c r="E480" s="4" t="n">
        <v>60</v>
      </c>
      <c r="F480" s="5" t="n">
        <v>791.27</v>
      </c>
      <c r="G480" s="5" t="n">
        <f aca="false">D480*F480</f>
        <v>427285.8</v>
      </c>
      <c r="H480" s="4" t="s">
        <v>2478</v>
      </c>
    </row>
    <row r="481" customFormat="false" ht="16.4" hidden="false" customHeight="false" outlineLevel="0" collapsed="false">
      <c r="A481" s="4" t="s">
        <v>2962</v>
      </c>
      <c r="B481" s="4" t="s">
        <v>268</v>
      </c>
      <c r="C481" s="4" t="s">
        <v>2483</v>
      </c>
      <c r="D481" s="4" t="n">
        <v>172</v>
      </c>
      <c r="E481" s="4" t="n">
        <v>107</v>
      </c>
      <c r="F481" s="5" t="n">
        <v>820.57</v>
      </c>
      <c r="G481" s="5" t="n">
        <f aca="false">D481*F481</f>
        <v>141138.04</v>
      </c>
      <c r="H481" s="4" t="s">
        <v>2478</v>
      </c>
    </row>
    <row r="482" customFormat="false" ht="16.4" hidden="false" customHeight="false" outlineLevel="0" collapsed="false">
      <c r="A482" s="4" t="s">
        <v>2963</v>
      </c>
      <c r="B482" s="4" t="s">
        <v>78</v>
      </c>
      <c r="C482" s="4" t="s">
        <v>2481</v>
      </c>
      <c r="D482" s="4" t="n">
        <v>375</v>
      </c>
      <c r="E482" s="4" t="n">
        <v>84</v>
      </c>
      <c r="F482" s="5" t="n">
        <v>308.28</v>
      </c>
      <c r="G482" s="5" t="n">
        <f aca="false">D482*F482</f>
        <v>115605</v>
      </c>
      <c r="H482" s="4" t="s">
        <v>2478</v>
      </c>
    </row>
    <row r="483" customFormat="false" ht="16.4" hidden="false" customHeight="false" outlineLevel="0" collapsed="false">
      <c r="A483" s="4" t="s">
        <v>2964</v>
      </c>
      <c r="B483" s="4" t="s">
        <v>220</v>
      </c>
      <c r="C483" s="4" t="s">
        <v>2485</v>
      </c>
      <c r="D483" s="4" t="n">
        <v>52</v>
      </c>
      <c r="E483" s="4" t="n">
        <v>158</v>
      </c>
      <c r="F483" s="5" t="n">
        <v>355.47</v>
      </c>
      <c r="G483" s="5" t="n">
        <f aca="false">D483*F483</f>
        <v>18484.44</v>
      </c>
      <c r="H483" s="4" t="s">
        <v>2490</v>
      </c>
    </row>
    <row r="484" customFormat="false" ht="16.4" hidden="false" customHeight="false" outlineLevel="0" collapsed="false">
      <c r="A484" s="4" t="s">
        <v>2965</v>
      </c>
      <c r="B484" s="4" t="s">
        <v>234</v>
      </c>
      <c r="C484" s="4" t="s">
        <v>2477</v>
      </c>
      <c r="D484" s="4" t="n">
        <v>174</v>
      </c>
      <c r="E484" s="4" t="n">
        <v>145</v>
      </c>
      <c r="F484" s="5" t="n">
        <v>159.31</v>
      </c>
      <c r="G484" s="5" t="n">
        <f aca="false">D484*F484</f>
        <v>27719.94</v>
      </c>
      <c r="H484" s="4" t="s">
        <v>2478</v>
      </c>
    </row>
    <row r="485" customFormat="false" ht="16.4" hidden="false" customHeight="false" outlineLevel="0" collapsed="false">
      <c r="A485" s="4" t="s">
        <v>2966</v>
      </c>
      <c r="B485" s="4" t="s">
        <v>212</v>
      </c>
      <c r="C485" s="4" t="s">
        <v>2505</v>
      </c>
      <c r="D485" s="4" t="n">
        <v>255</v>
      </c>
      <c r="E485" s="4" t="n">
        <v>80</v>
      </c>
      <c r="F485" s="5" t="n">
        <v>387.95</v>
      </c>
      <c r="G485" s="5" t="n">
        <f aca="false">D485*F485</f>
        <v>98927.25</v>
      </c>
      <c r="H485" s="4" t="s">
        <v>2478</v>
      </c>
    </row>
    <row r="486" customFormat="false" ht="16.4" hidden="false" customHeight="false" outlineLevel="0" collapsed="false">
      <c r="A486" s="4" t="s">
        <v>2967</v>
      </c>
      <c r="B486" s="4" t="s">
        <v>192</v>
      </c>
      <c r="C486" s="4" t="s">
        <v>2505</v>
      </c>
      <c r="D486" s="4" t="n">
        <v>494</v>
      </c>
      <c r="E486" s="4" t="n">
        <v>125</v>
      </c>
      <c r="F486" s="5" t="n">
        <v>34.89</v>
      </c>
      <c r="G486" s="5" t="n">
        <f aca="false">D486*F486</f>
        <v>17235.66</v>
      </c>
      <c r="H486" s="4" t="s">
        <v>2478</v>
      </c>
    </row>
    <row r="487" customFormat="false" ht="16.4" hidden="false" customHeight="false" outlineLevel="0" collapsed="false">
      <c r="A487" s="4" t="s">
        <v>2968</v>
      </c>
      <c r="B487" s="4" t="s">
        <v>148</v>
      </c>
      <c r="C487" s="4" t="s">
        <v>2483</v>
      </c>
      <c r="D487" s="4" t="n">
        <v>2</v>
      </c>
      <c r="E487" s="4" t="n">
        <v>150</v>
      </c>
      <c r="F487" s="5" t="n">
        <v>72.84</v>
      </c>
      <c r="G487" s="5" t="n">
        <f aca="false">D487*F487</f>
        <v>145.68</v>
      </c>
      <c r="H487" s="4" t="s">
        <v>2490</v>
      </c>
    </row>
    <row r="488" customFormat="false" ht="16.4" hidden="false" customHeight="false" outlineLevel="0" collapsed="false">
      <c r="A488" s="4" t="s">
        <v>2969</v>
      </c>
      <c r="B488" s="4" t="s">
        <v>196</v>
      </c>
      <c r="C488" s="4" t="s">
        <v>2485</v>
      </c>
      <c r="D488" s="4" t="n">
        <v>527</v>
      </c>
      <c r="E488" s="4" t="n">
        <v>59</v>
      </c>
      <c r="F488" s="5" t="n">
        <v>453.83</v>
      </c>
      <c r="G488" s="5" t="n">
        <f aca="false">D488*F488</f>
        <v>239168.41</v>
      </c>
      <c r="H488" s="4" t="s">
        <v>2478</v>
      </c>
    </row>
    <row r="489" customFormat="false" ht="16.4" hidden="false" customHeight="false" outlineLevel="0" collapsed="false">
      <c r="A489" s="4" t="s">
        <v>2970</v>
      </c>
      <c r="B489" s="4" t="s">
        <v>356</v>
      </c>
      <c r="C489" s="4" t="s">
        <v>2505</v>
      </c>
      <c r="D489" s="4" t="n">
        <v>499</v>
      </c>
      <c r="E489" s="4" t="n">
        <v>64</v>
      </c>
      <c r="F489" s="5" t="n">
        <v>449.21</v>
      </c>
      <c r="G489" s="5" t="n">
        <f aca="false">D489*F489</f>
        <v>224155.79</v>
      </c>
      <c r="H489" s="4" t="s">
        <v>2478</v>
      </c>
    </row>
    <row r="490" customFormat="false" ht="16.4" hidden="false" customHeight="false" outlineLevel="0" collapsed="false">
      <c r="A490" s="4" t="s">
        <v>2971</v>
      </c>
      <c r="B490" s="4" t="s">
        <v>42</v>
      </c>
      <c r="C490" s="4" t="s">
        <v>2505</v>
      </c>
      <c r="D490" s="4" t="n">
        <v>471</v>
      </c>
      <c r="E490" s="4" t="n">
        <v>134</v>
      </c>
      <c r="F490" s="5" t="n">
        <v>579.72</v>
      </c>
      <c r="G490" s="5" t="n">
        <f aca="false">D490*F490</f>
        <v>273048.12</v>
      </c>
      <c r="H490" s="4" t="s">
        <v>2478</v>
      </c>
    </row>
    <row r="491" customFormat="false" ht="16.4" hidden="false" customHeight="false" outlineLevel="0" collapsed="false">
      <c r="A491" s="4" t="s">
        <v>2972</v>
      </c>
      <c r="B491" s="4" t="s">
        <v>220</v>
      </c>
      <c r="C491" s="4" t="s">
        <v>2505</v>
      </c>
      <c r="D491" s="4" t="n">
        <v>109</v>
      </c>
      <c r="E491" s="4" t="n">
        <v>51</v>
      </c>
      <c r="F491" s="5" t="n">
        <v>355.47</v>
      </c>
      <c r="G491" s="5" t="n">
        <f aca="false">D491*F491</f>
        <v>38746.23</v>
      </c>
      <c r="H491" s="4" t="s">
        <v>2478</v>
      </c>
    </row>
    <row r="492" customFormat="false" ht="16.4" hidden="false" customHeight="false" outlineLevel="0" collapsed="false">
      <c r="A492" s="4" t="s">
        <v>2973</v>
      </c>
      <c r="B492" s="4" t="s">
        <v>408</v>
      </c>
      <c r="C492" s="4" t="s">
        <v>2505</v>
      </c>
      <c r="D492" s="4" t="n">
        <v>190</v>
      </c>
      <c r="E492" s="4" t="n">
        <v>152</v>
      </c>
      <c r="F492" s="5" t="n">
        <v>167.74</v>
      </c>
      <c r="G492" s="5" t="n">
        <f aca="false">D492*F492</f>
        <v>31870.6</v>
      </c>
      <c r="H492" s="4" t="s">
        <v>2478</v>
      </c>
    </row>
    <row r="493" customFormat="false" ht="16.4" hidden="false" customHeight="false" outlineLevel="0" collapsed="false">
      <c r="A493" s="4" t="s">
        <v>2974</v>
      </c>
      <c r="B493" s="4" t="s">
        <v>44</v>
      </c>
      <c r="C493" s="4" t="s">
        <v>2485</v>
      </c>
      <c r="D493" s="4" t="n">
        <v>103</v>
      </c>
      <c r="E493" s="4" t="n">
        <v>160</v>
      </c>
      <c r="F493" s="5" t="n">
        <v>26.25</v>
      </c>
      <c r="G493" s="5" t="n">
        <f aca="false">D493*F493</f>
        <v>2703.75</v>
      </c>
      <c r="H493" s="4" t="s">
        <v>2490</v>
      </c>
    </row>
    <row r="494" customFormat="false" ht="16.4" hidden="false" customHeight="false" outlineLevel="0" collapsed="false">
      <c r="A494" s="4" t="s">
        <v>2975</v>
      </c>
      <c r="B494" s="4" t="s">
        <v>140</v>
      </c>
      <c r="C494" s="4" t="s">
        <v>2485</v>
      </c>
      <c r="D494" s="4" t="n">
        <v>86</v>
      </c>
      <c r="E494" s="4" t="n">
        <v>89</v>
      </c>
      <c r="F494" s="5" t="n">
        <v>382.61</v>
      </c>
      <c r="G494" s="5" t="n">
        <f aca="false">D494*F494</f>
        <v>32904.46</v>
      </c>
      <c r="H494" s="4" t="s">
        <v>2490</v>
      </c>
    </row>
    <row r="495" customFormat="false" ht="16.4" hidden="false" customHeight="false" outlineLevel="0" collapsed="false">
      <c r="A495" s="4" t="s">
        <v>2976</v>
      </c>
      <c r="B495" s="4" t="s">
        <v>102</v>
      </c>
      <c r="C495" s="4" t="s">
        <v>2483</v>
      </c>
      <c r="D495" s="4" t="n">
        <v>499</v>
      </c>
      <c r="E495" s="4" t="n">
        <v>51</v>
      </c>
      <c r="F495" s="5" t="n">
        <v>729.21</v>
      </c>
      <c r="G495" s="5" t="n">
        <f aca="false">D495*F495</f>
        <v>363875.79</v>
      </c>
      <c r="H495" s="4" t="s">
        <v>2478</v>
      </c>
    </row>
    <row r="496" customFormat="false" ht="16.4" hidden="false" customHeight="false" outlineLevel="0" collapsed="false">
      <c r="A496" s="4" t="s">
        <v>2977</v>
      </c>
      <c r="B496" s="4" t="s">
        <v>432</v>
      </c>
      <c r="C496" s="4" t="s">
        <v>2485</v>
      </c>
      <c r="D496" s="4" t="n">
        <v>256</v>
      </c>
      <c r="E496" s="4" t="n">
        <v>107</v>
      </c>
      <c r="F496" s="5" t="n">
        <v>63.49</v>
      </c>
      <c r="G496" s="5" t="n">
        <f aca="false">D496*F496</f>
        <v>16253.44</v>
      </c>
      <c r="H496" s="4" t="s">
        <v>2478</v>
      </c>
    </row>
    <row r="497" customFormat="false" ht="16.4" hidden="false" customHeight="false" outlineLevel="0" collapsed="false">
      <c r="A497" s="4" t="s">
        <v>2978</v>
      </c>
      <c r="B497" s="4" t="s">
        <v>242</v>
      </c>
      <c r="C497" s="4" t="s">
        <v>2505</v>
      </c>
      <c r="D497" s="4" t="n">
        <v>383</v>
      </c>
      <c r="E497" s="4" t="n">
        <v>126</v>
      </c>
      <c r="F497" s="5" t="n">
        <v>596.46</v>
      </c>
      <c r="G497" s="5" t="n">
        <f aca="false">D497*F497</f>
        <v>228444.18</v>
      </c>
      <c r="H497" s="4" t="s">
        <v>2478</v>
      </c>
    </row>
    <row r="498" customFormat="false" ht="16.4" hidden="false" customHeight="false" outlineLevel="0" collapsed="false">
      <c r="A498" s="4" t="s">
        <v>2979</v>
      </c>
      <c r="B498" s="4" t="s">
        <v>258</v>
      </c>
      <c r="C498" s="4" t="s">
        <v>2477</v>
      </c>
      <c r="D498" s="4" t="n">
        <v>186</v>
      </c>
      <c r="E498" s="4" t="n">
        <v>118</v>
      </c>
      <c r="F498" s="5" t="n">
        <v>138.85</v>
      </c>
      <c r="G498" s="5" t="n">
        <f aca="false">D498*F498</f>
        <v>25826.1</v>
      </c>
      <c r="H498" s="4" t="s">
        <v>2478</v>
      </c>
    </row>
    <row r="499" customFormat="false" ht="16.4" hidden="false" customHeight="false" outlineLevel="0" collapsed="false">
      <c r="A499" s="4" t="s">
        <v>2980</v>
      </c>
      <c r="B499" s="4" t="s">
        <v>264</v>
      </c>
      <c r="C499" s="4" t="s">
        <v>2483</v>
      </c>
      <c r="D499" s="4" t="n">
        <v>449</v>
      </c>
      <c r="E499" s="4" t="n">
        <v>91</v>
      </c>
      <c r="F499" s="5" t="n">
        <v>148.29</v>
      </c>
      <c r="G499" s="5" t="n">
        <f aca="false">D499*F499</f>
        <v>66582.21</v>
      </c>
      <c r="H499" s="4" t="s">
        <v>2478</v>
      </c>
    </row>
    <row r="500" customFormat="false" ht="16.4" hidden="false" customHeight="false" outlineLevel="0" collapsed="false">
      <c r="A500" s="4" t="s">
        <v>2981</v>
      </c>
      <c r="B500" s="4" t="s">
        <v>220</v>
      </c>
      <c r="C500" s="4" t="s">
        <v>2505</v>
      </c>
      <c r="D500" s="4" t="n">
        <v>444</v>
      </c>
      <c r="E500" s="4" t="n">
        <v>51</v>
      </c>
      <c r="F500" s="5" t="n">
        <v>355.47</v>
      </c>
      <c r="G500" s="5" t="n">
        <f aca="false">D500*F500</f>
        <v>157828.68</v>
      </c>
      <c r="H500" s="4" t="s">
        <v>2478</v>
      </c>
    </row>
    <row r="501" customFormat="false" ht="16.4" hidden="false" customHeight="false" outlineLevel="0" collapsed="false">
      <c r="A501" s="4" t="s">
        <v>2982</v>
      </c>
      <c r="B501" s="4" t="s">
        <v>402</v>
      </c>
      <c r="C501" s="4" t="s">
        <v>2483</v>
      </c>
      <c r="D501" s="4" t="n">
        <v>203</v>
      </c>
      <c r="E501" s="4" t="n">
        <v>78</v>
      </c>
      <c r="F501" s="5" t="n">
        <v>177.64</v>
      </c>
      <c r="G501" s="5" t="n">
        <f aca="false">D501*F501</f>
        <v>36060.92</v>
      </c>
      <c r="H501" s="4" t="s">
        <v>2478</v>
      </c>
    </row>
  </sheetData>
  <conditionalFormatting sqref="H2:H501">
    <cfRule type="expression" priority="2" aboveAverage="0" equalAverage="0" bottom="0" percent="0" rank="0" text="" dxfId="5">
      <formula>H2="Reorder"</formula>
    </cfRule>
  </conditionalFormatting>
  <dataValidations count="1">
    <dataValidation allowBlank="false" errorStyle="stop" operator="between" showDropDown="false" showErrorMessage="false" showInputMessage="false" sqref="H2:H501" type="list">
      <formula1>"OK,Reorder"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20.43"/>
    <col collapsed="false" customWidth="true" hidden="false" outlineLevel="0" max="3" min="3" style="1" width="11.22"/>
    <col collapsed="false" customWidth="true" hidden="false" outlineLevel="0" max="5" min="4" style="1" width="20.43"/>
    <col collapsed="false" customWidth="true" hidden="false" outlineLevel="0" max="6" min="6" style="1" width="8.8"/>
    <col collapsed="false" customWidth="true" hidden="false" outlineLevel="0" max="7" min="7" style="1" width="6.96"/>
    <col collapsed="false" customWidth="true" hidden="false" outlineLevel="0" max="8" min="8" style="1" width="17.74"/>
    <col collapsed="false" customWidth="true" hidden="false" outlineLevel="0" max="9" min="9" style="1" width="8.66"/>
  </cols>
  <sheetData>
    <row r="1" customFormat="false" ht="28" hidden="false" customHeight="true" outlineLevel="0" collapsed="false">
      <c r="A1" s="3" t="s">
        <v>2983</v>
      </c>
      <c r="B1" s="3" t="s">
        <v>2984</v>
      </c>
      <c r="C1" s="3" t="s">
        <v>5</v>
      </c>
      <c r="D1" s="3" t="s">
        <v>2985</v>
      </c>
      <c r="E1" s="3" t="s">
        <v>2986</v>
      </c>
      <c r="F1" s="3" t="s">
        <v>2987</v>
      </c>
      <c r="G1" s="3" t="s">
        <v>2988</v>
      </c>
      <c r="H1" s="3" t="s">
        <v>2989</v>
      </c>
      <c r="I1" s="3" t="s">
        <v>2990</v>
      </c>
    </row>
    <row r="2" customFormat="false" ht="15" hidden="false" customHeight="false" outlineLevel="0" collapsed="false">
      <c r="A2" s="4" t="s">
        <v>2991</v>
      </c>
      <c r="B2" s="4" t="s">
        <v>2992</v>
      </c>
      <c r="C2" s="4" t="s">
        <v>23</v>
      </c>
      <c r="D2" s="4" t="s">
        <v>2993</v>
      </c>
      <c r="E2" s="4" t="s">
        <v>543</v>
      </c>
      <c r="F2" s="6" t="n">
        <v>44352</v>
      </c>
      <c r="G2" s="10" t="n">
        <v>110188</v>
      </c>
      <c r="H2" s="8" t="n">
        <v>4.4</v>
      </c>
      <c r="I2" s="4" t="s">
        <v>2994</v>
      </c>
    </row>
    <row r="3" customFormat="false" ht="15" hidden="false" customHeight="false" outlineLevel="0" collapsed="false">
      <c r="A3" s="4" t="s">
        <v>2995</v>
      </c>
      <c r="B3" s="4" t="s">
        <v>2996</v>
      </c>
      <c r="C3" s="4" t="s">
        <v>17</v>
      </c>
      <c r="D3" s="4" t="s">
        <v>2997</v>
      </c>
      <c r="E3" s="4" t="s">
        <v>472</v>
      </c>
      <c r="F3" s="6" t="n">
        <v>44699</v>
      </c>
      <c r="G3" s="10" t="n">
        <v>142194</v>
      </c>
      <c r="H3" s="8" t="n">
        <v>5</v>
      </c>
      <c r="I3" s="4" t="s">
        <v>2994</v>
      </c>
    </row>
    <row r="4" customFormat="false" ht="15" hidden="false" customHeight="false" outlineLevel="0" collapsed="false">
      <c r="A4" s="4" t="s">
        <v>2998</v>
      </c>
      <c r="B4" s="4" t="s">
        <v>2999</v>
      </c>
      <c r="C4" s="4" t="s">
        <v>29</v>
      </c>
      <c r="D4" s="4" t="s">
        <v>3000</v>
      </c>
      <c r="E4" s="4" t="s">
        <v>524</v>
      </c>
      <c r="F4" s="6" t="n">
        <v>44765</v>
      </c>
      <c r="G4" s="10" t="n">
        <v>159834</v>
      </c>
      <c r="H4" s="8" t="n">
        <v>4.2</v>
      </c>
      <c r="I4" s="4" t="s">
        <v>3001</v>
      </c>
    </row>
    <row r="5" customFormat="false" ht="15" hidden="false" customHeight="false" outlineLevel="0" collapsed="false">
      <c r="A5" s="4" t="s">
        <v>3002</v>
      </c>
      <c r="B5" s="4" t="s">
        <v>3003</v>
      </c>
      <c r="C5" s="4" t="s">
        <v>23</v>
      </c>
      <c r="D5" s="4" t="s">
        <v>3000</v>
      </c>
      <c r="E5" s="4" t="s">
        <v>524</v>
      </c>
      <c r="F5" s="6" t="n">
        <v>45709</v>
      </c>
      <c r="G5" s="10" t="n">
        <v>176053</v>
      </c>
      <c r="H5" s="8" t="n">
        <v>4.4</v>
      </c>
      <c r="I5" s="4" t="s">
        <v>3004</v>
      </c>
    </row>
    <row r="6" customFormat="false" ht="15" hidden="false" customHeight="false" outlineLevel="0" collapsed="false">
      <c r="A6" s="4" t="s">
        <v>3005</v>
      </c>
      <c r="B6" s="4" t="s">
        <v>3006</v>
      </c>
      <c r="C6" s="4" t="s">
        <v>17</v>
      </c>
      <c r="D6" s="4" t="s">
        <v>2993</v>
      </c>
      <c r="E6" s="4" t="s">
        <v>452</v>
      </c>
      <c r="F6" s="6" t="n">
        <v>45982</v>
      </c>
      <c r="G6" s="10" t="n">
        <v>57772</v>
      </c>
      <c r="H6" s="8" t="n">
        <v>2.8</v>
      </c>
      <c r="I6" s="4" t="s">
        <v>3007</v>
      </c>
    </row>
    <row r="7" customFormat="false" ht="15" hidden="false" customHeight="false" outlineLevel="0" collapsed="false">
      <c r="A7" s="4" t="s">
        <v>3008</v>
      </c>
      <c r="B7" s="4" t="s">
        <v>3009</v>
      </c>
      <c r="C7" s="4" t="s">
        <v>32</v>
      </c>
      <c r="D7" s="4" t="s">
        <v>2993</v>
      </c>
      <c r="E7" s="4" t="s">
        <v>480</v>
      </c>
      <c r="F7" s="6" t="n">
        <v>45539</v>
      </c>
      <c r="G7" s="10" t="n">
        <v>85999</v>
      </c>
      <c r="H7" s="8" t="n">
        <v>2.6</v>
      </c>
      <c r="I7" s="4" t="s">
        <v>3007</v>
      </c>
    </row>
    <row r="8" customFormat="false" ht="15" hidden="false" customHeight="false" outlineLevel="0" collapsed="false">
      <c r="A8" s="4" t="s">
        <v>3010</v>
      </c>
      <c r="B8" s="4" t="s">
        <v>3011</v>
      </c>
      <c r="C8" s="4" t="s">
        <v>29</v>
      </c>
      <c r="D8" s="4" t="s">
        <v>3012</v>
      </c>
      <c r="E8" s="4" t="s">
        <v>550</v>
      </c>
      <c r="F8" s="6" t="n">
        <v>42768</v>
      </c>
      <c r="G8" s="10" t="n">
        <v>111928</v>
      </c>
      <c r="H8" s="8" t="n">
        <v>3.7</v>
      </c>
      <c r="I8" s="4" t="s">
        <v>3007</v>
      </c>
    </row>
    <row r="9" customFormat="false" ht="15" hidden="false" customHeight="false" outlineLevel="0" collapsed="false">
      <c r="A9" s="4" t="s">
        <v>3013</v>
      </c>
      <c r="B9" s="4" t="s">
        <v>3014</v>
      </c>
      <c r="C9" s="4" t="s">
        <v>29</v>
      </c>
      <c r="D9" s="4" t="s">
        <v>2993</v>
      </c>
      <c r="E9" s="4" t="s">
        <v>480</v>
      </c>
      <c r="F9" s="6" t="n">
        <v>44492</v>
      </c>
      <c r="G9" s="10" t="n">
        <v>87472</v>
      </c>
      <c r="H9" s="8" t="n">
        <v>4</v>
      </c>
      <c r="I9" s="4" t="s">
        <v>3015</v>
      </c>
    </row>
    <row r="10" customFormat="false" ht="15" hidden="false" customHeight="false" outlineLevel="0" collapsed="false">
      <c r="A10" s="4" t="s">
        <v>3016</v>
      </c>
      <c r="B10" s="4" t="s">
        <v>3017</v>
      </c>
      <c r="C10" s="4" t="s">
        <v>17</v>
      </c>
      <c r="D10" s="4" t="s">
        <v>3018</v>
      </c>
      <c r="E10" s="4" t="s">
        <v>495</v>
      </c>
      <c r="F10" s="6" t="n">
        <v>45876</v>
      </c>
      <c r="G10" s="10" t="n">
        <v>70075</v>
      </c>
      <c r="H10" s="8" t="n">
        <v>4.7</v>
      </c>
      <c r="I10" s="4" t="s">
        <v>3001</v>
      </c>
    </row>
    <row r="11" customFormat="false" ht="15" hidden="false" customHeight="false" outlineLevel="0" collapsed="false">
      <c r="A11" s="4" t="s">
        <v>3019</v>
      </c>
      <c r="B11" s="4" t="s">
        <v>3020</v>
      </c>
      <c r="C11" s="4" t="s">
        <v>33</v>
      </c>
      <c r="D11" s="4" t="s">
        <v>3000</v>
      </c>
      <c r="E11" s="4" t="s">
        <v>472</v>
      </c>
      <c r="F11" s="6" t="n">
        <v>44677</v>
      </c>
      <c r="G11" s="10" t="n">
        <v>147597</v>
      </c>
      <c r="H11" s="8" t="n">
        <v>4.5</v>
      </c>
      <c r="I11" s="4" t="s">
        <v>2994</v>
      </c>
    </row>
    <row r="12" customFormat="false" ht="15" hidden="false" customHeight="false" outlineLevel="0" collapsed="false">
      <c r="A12" s="4" t="s">
        <v>3021</v>
      </c>
      <c r="B12" s="4" t="s">
        <v>3022</v>
      </c>
      <c r="C12" s="4" t="s">
        <v>33</v>
      </c>
      <c r="D12" s="4" t="s">
        <v>2997</v>
      </c>
      <c r="E12" s="4" t="s">
        <v>524</v>
      </c>
      <c r="F12" s="6" t="n">
        <v>45239</v>
      </c>
      <c r="G12" s="10" t="n">
        <v>78748</v>
      </c>
      <c r="H12" s="8" t="n">
        <v>3</v>
      </c>
      <c r="I12" s="4" t="s">
        <v>3015</v>
      </c>
    </row>
    <row r="13" customFormat="false" ht="15" hidden="false" customHeight="false" outlineLevel="0" collapsed="false">
      <c r="A13" s="4" t="s">
        <v>3023</v>
      </c>
      <c r="B13" s="4" t="s">
        <v>3024</v>
      </c>
      <c r="C13" s="4" t="s">
        <v>33</v>
      </c>
      <c r="D13" s="4" t="s">
        <v>2997</v>
      </c>
      <c r="E13" s="4" t="s">
        <v>543</v>
      </c>
      <c r="F13" s="6" t="n">
        <v>43675</v>
      </c>
      <c r="G13" s="10" t="n">
        <v>70789</v>
      </c>
      <c r="H13" s="8" t="n">
        <v>2.8</v>
      </c>
      <c r="I13" s="4" t="s">
        <v>2994</v>
      </c>
    </row>
    <row r="14" customFormat="false" ht="15" hidden="false" customHeight="false" outlineLevel="0" collapsed="false">
      <c r="A14" s="4" t="s">
        <v>3025</v>
      </c>
      <c r="B14" s="4" t="s">
        <v>3026</v>
      </c>
      <c r="C14" s="4" t="s">
        <v>23</v>
      </c>
      <c r="D14" s="4" t="s">
        <v>3018</v>
      </c>
      <c r="E14" s="4" t="s">
        <v>455</v>
      </c>
      <c r="F14" s="6" t="n">
        <v>43334</v>
      </c>
      <c r="G14" s="10" t="n">
        <v>110876</v>
      </c>
      <c r="H14" s="8" t="n">
        <v>2.5</v>
      </c>
      <c r="I14" s="4" t="s">
        <v>3001</v>
      </c>
    </row>
    <row r="15" customFormat="false" ht="15" hidden="false" customHeight="false" outlineLevel="0" collapsed="false">
      <c r="A15" s="4" t="s">
        <v>3027</v>
      </c>
      <c r="B15" s="4" t="s">
        <v>3028</v>
      </c>
      <c r="C15" s="4" t="s">
        <v>11</v>
      </c>
      <c r="D15" s="4" t="s">
        <v>2993</v>
      </c>
      <c r="E15" s="4" t="s">
        <v>449</v>
      </c>
      <c r="F15" s="6" t="n">
        <v>44404</v>
      </c>
      <c r="G15" s="10" t="n">
        <v>123809</v>
      </c>
      <c r="H15" s="8" t="n">
        <v>3.3</v>
      </c>
      <c r="I15" s="4" t="s">
        <v>3001</v>
      </c>
    </row>
    <row r="16" customFormat="false" ht="15" hidden="false" customHeight="false" outlineLevel="0" collapsed="false">
      <c r="A16" s="4" t="s">
        <v>3029</v>
      </c>
      <c r="B16" s="4" t="s">
        <v>3030</v>
      </c>
      <c r="C16" s="4" t="s">
        <v>17</v>
      </c>
      <c r="D16" s="4" t="s">
        <v>2986</v>
      </c>
      <c r="E16" s="4" t="s">
        <v>449</v>
      </c>
      <c r="F16" s="6" t="n">
        <v>44698</v>
      </c>
      <c r="G16" s="10" t="n">
        <v>63041</v>
      </c>
      <c r="H16" s="8" t="n">
        <v>3.8</v>
      </c>
      <c r="I16" s="4" t="s">
        <v>2994</v>
      </c>
    </row>
    <row r="17" customFormat="false" ht="15" hidden="false" customHeight="false" outlineLevel="0" collapsed="false">
      <c r="A17" s="4" t="s">
        <v>3031</v>
      </c>
      <c r="B17" s="4" t="s">
        <v>3032</v>
      </c>
      <c r="C17" s="4" t="s">
        <v>23</v>
      </c>
      <c r="D17" s="4" t="s">
        <v>2993</v>
      </c>
      <c r="E17" s="4" t="s">
        <v>495</v>
      </c>
      <c r="F17" s="6" t="n">
        <v>44225</v>
      </c>
      <c r="G17" s="10" t="n">
        <v>91773</v>
      </c>
      <c r="H17" s="8" t="n">
        <v>4.9</v>
      </c>
      <c r="I17" s="4" t="s">
        <v>3004</v>
      </c>
    </row>
    <row r="18" customFormat="false" ht="15" hidden="false" customHeight="false" outlineLevel="0" collapsed="false">
      <c r="A18" s="4" t="s">
        <v>3033</v>
      </c>
      <c r="B18" s="4" t="s">
        <v>3034</v>
      </c>
      <c r="C18" s="4" t="s">
        <v>17</v>
      </c>
      <c r="D18" s="4" t="s">
        <v>2986</v>
      </c>
      <c r="E18" s="4" t="s">
        <v>455</v>
      </c>
      <c r="F18" s="6" t="n">
        <v>42930</v>
      </c>
      <c r="G18" s="10" t="n">
        <v>78822</v>
      </c>
      <c r="H18" s="8" t="n">
        <v>2.6</v>
      </c>
      <c r="I18" s="4" t="s">
        <v>2994</v>
      </c>
    </row>
    <row r="19" customFormat="false" ht="15" hidden="false" customHeight="false" outlineLevel="0" collapsed="false">
      <c r="A19" s="4" t="s">
        <v>3035</v>
      </c>
      <c r="B19" s="4" t="s">
        <v>3036</v>
      </c>
      <c r="C19" s="4" t="s">
        <v>33</v>
      </c>
      <c r="D19" s="4" t="s">
        <v>2997</v>
      </c>
      <c r="E19" s="4" t="s">
        <v>490</v>
      </c>
      <c r="F19" s="6" t="n">
        <v>43604</v>
      </c>
      <c r="G19" s="10" t="n">
        <v>92397</v>
      </c>
      <c r="H19" s="8" t="n">
        <v>3.7</v>
      </c>
      <c r="I19" s="4" t="s">
        <v>3015</v>
      </c>
    </row>
    <row r="20" customFormat="false" ht="15" hidden="false" customHeight="false" outlineLevel="0" collapsed="false">
      <c r="A20" s="4" t="s">
        <v>3037</v>
      </c>
      <c r="B20" s="4" t="s">
        <v>3038</v>
      </c>
      <c r="C20" s="4" t="s">
        <v>11</v>
      </c>
      <c r="D20" s="4" t="s">
        <v>3000</v>
      </c>
      <c r="E20" s="4" t="s">
        <v>543</v>
      </c>
      <c r="F20" s="6" t="n">
        <v>43769</v>
      </c>
      <c r="G20" s="10" t="n">
        <v>179299</v>
      </c>
      <c r="H20" s="8" t="n">
        <v>3.7</v>
      </c>
      <c r="I20" s="4" t="s">
        <v>3007</v>
      </c>
    </row>
    <row r="21" customFormat="false" ht="15" hidden="false" customHeight="false" outlineLevel="0" collapsed="false">
      <c r="A21" s="4" t="s">
        <v>3039</v>
      </c>
      <c r="B21" s="4" t="s">
        <v>3040</v>
      </c>
      <c r="C21" s="4" t="s">
        <v>23</v>
      </c>
      <c r="D21" s="4" t="s">
        <v>2993</v>
      </c>
      <c r="E21" s="4" t="s">
        <v>452</v>
      </c>
      <c r="F21" s="6" t="n">
        <v>45476</v>
      </c>
      <c r="G21" s="10" t="n">
        <v>56790</v>
      </c>
      <c r="H21" s="8" t="n">
        <v>4.2</v>
      </c>
      <c r="I21" s="4" t="s">
        <v>3001</v>
      </c>
    </row>
    <row r="22" customFormat="false" ht="15" hidden="false" customHeight="false" outlineLevel="0" collapsed="false">
      <c r="A22" s="4" t="s">
        <v>3041</v>
      </c>
      <c r="B22" s="4" t="s">
        <v>3042</v>
      </c>
      <c r="C22" s="4" t="s">
        <v>23</v>
      </c>
      <c r="D22" s="4" t="s">
        <v>2986</v>
      </c>
      <c r="E22" s="4" t="s">
        <v>550</v>
      </c>
      <c r="F22" s="6" t="n">
        <v>44216</v>
      </c>
      <c r="G22" s="10" t="n">
        <v>152377</v>
      </c>
      <c r="H22" s="8" t="n">
        <v>4.4</v>
      </c>
      <c r="I22" s="4" t="s">
        <v>3015</v>
      </c>
    </row>
    <row r="23" customFormat="false" ht="15" hidden="false" customHeight="false" outlineLevel="0" collapsed="false">
      <c r="A23" s="4" t="s">
        <v>3043</v>
      </c>
      <c r="B23" s="4" t="s">
        <v>3044</v>
      </c>
      <c r="C23" s="4" t="s">
        <v>32</v>
      </c>
      <c r="D23" s="4" t="s">
        <v>2986</v>
      </c>
      <c r="E23" s="4" t="s">
        <v>472</v>
      </c>
      <c r="F23" s="6" t="n">
        <v>45399</v>
      </c>
      <c r="G23" s="10" t="n">
        <v>91168</v>
      </c>
      <c r="H23" s="8" t="n">
        <v>3</v>
      </c>
      <c r="I23" s="4" t="s">
        <v>3004</v>
      </c>
    </row>
    <row r="24" customFormat="false" ht="15" hidden="false" customHeight="false" outlineLevel="0" collapsed="false">
      <c r="A24" s="4" t="s">
        <v>3045</v>
      </c>
      <c r="B24" s="4" t="s">
        <v>3046</v>
      </c>
      <c r="C24" s="4" t="s">
        <v>11</v>
      </c>
      <c r="D24" s="4" t="s">
        <v>2993</v>
      </c>
      <c r="E24" s="4" t="s">
        <v>543</v>
      </c>
      <c r="F24" s="6" t="n">
        <v>45314</v>
      </c>
      <c r="G24" s="10" t="n">
        <v>152332</v>
      </c>
      <c r="H24" s="8" t="n">
        <v>4</v>
      </c>
      <c r="I24" s="4" t="s">
        <v>2994</v>
      </c>
    </row>
    <row r="25" customFormat="false" ht="15" hidden="false" customHeight="false" outlineLevel="0" collapsed="false">
      <c r="A25" s="4" t="s">
        <v>3047</v>
      </c>
      <c r="B25" s="4" t="s">
        <v>3048</v>
      </c>
      <c r="C25" s="4" t="s">
        <v>32</v>
      </c>
      <c r="D25" s="4" t="s">
        <v>2997</v>
      </c>
      <c r="E25" s="4" t="s">
        <v>469</v>
      </c>
      <c r="F25" s="6" t="n">
        <v>43516</v>
      </c>
      <c r="G25" s="10" t="n">
        <v>80287</v>
      </c>
      <c r="H25" s="8" t="n">
        <v>4.3</v>
      </c>
      <c r="I25" s="4" t="s">
        <v>2994</v>
      </c>
    </row>
    <row r="26" customFormat="false" ht="15" hidden="false" customHeight="false" outlineLevel="0" collapsed="false">
      <c r="A26" s="4" t="s">
        <v>3049</v>
      </c>
      <c r="B26" s="4" t="s">
        <v>3050</v>
      </c>
      <c r="C26" s="4" t="s">
        <v>11</v>
      </c>
      <c r="D26" s="4" t="s">
        <v>3012</v>
      </c>
      <c r="E26" s="4" t="s">
        <v>465</v>
      </c>
      <c r="F26" s="6" t="n">
        <v>44140</v>
      </c>
      <c r="G26" s="10" t="n">
        <v>94515</v>
      </c>
      <c r="H26" s="8" t="n">
        <v>4.3</v>
      </c>
      <c r="I26" s="4" t="s">
        <v>3001</v>
      </c>
    </row>
    <row r="27" customFormat="false" ht="15" hidden="false" customHeight="false" outlineLevel="0" collapsed="false">
      <c r="A27" s="4" t="s">
        <v>3051</v>
      </c>
      <c r="B27" s="4" t="s">
        <v>3052</v>
      </c>
      <c r="C27" s="4" t="s">
        <v>32</v>
      </c>
      <c r="D27" s="4" t="s">
        <v>2997</v>
      </c>
      <c r="E27" s="4" t="s">
        <v>543</v>
      </c>
      <c r="F27" s="6" t="n">
        <v>42915</v>
      </c>
      <c r="G27" s="10" t="n">
        <v>71755</v>
      </c>
      <c r="H27" s="8" t="n">
        <v>3</v>
      </c>
      <c r="I27" s="4" t="s">
        <v>3015</v>
      </c>
    </row>
    <row r="28" customFormat="false" ht="15" hidden="false" customHeight="false" outlineLevel="0" collapsed="false">
      <c r="A28" s="4" t="s">
        <v>3053</v>
      </c>
      <c r="B28" s="4" t="s">
        <v>3054</v>
      </c>
      <c r="C28" s="4" t="s">
        <v>33</v>
      </c>
      <c r="D28" s="4" t="s">
        <v>2986</v>
      </c>
      <c r="E28" s="4" t="s">
        <v>455</v>
      </c>
      <c r="F28" s="6" t="n">
        <v>45846</v>
      </c>
      <c r="G28" s="10" t="n">
        <v>166861</v>
      </c>
      <c r="H28" s="8" t="n">
        <v>4.6</v>
      </c>
      <c r="I28" s="4" t="s">
        <v>3015</v>
      </c>
    </row>
    <row r="29" customFormat="false" ht="15" hidden="false" customHeight="false" outlineLevel="0" collapsed="false">
      <c r="A29" s="4" t="s">
        <v>3055</v>
      </c>
      <c r="B29" s="4" t="s">
        <v>3056</v>
      </c>
      <c r="C29" s="4" t="s">
        <v>23</v>
      </c>
      <c r="D29" s="4" t="s">
        <v>2986</v>
      </c>
      <c r="E29" s="4" t="s">
        <v>459</v>
      </c>
      <c r="F29" s="6" t="n">
        <v>45315</v>
      </c>
      <c r="G29" s="10" t="n">
        <v>149021</v>
      </c>
      <c r="H29" s="8" t="n">
        <v>2.8</v>
      </c>
      <c r="I29" s="4" t="s">
        <v>3004</v>
      </c>
    </row>
    <row r="30" customFormat="false" ht="15" hidden="false" customHeight="false" outlineLevel="0" collapsed="false">
      <c r="A30" s="4" t="s">
        <v>3057</v>
      </c>
      <c r="B30" s="4" t="s">
        <v>3058</v>
      </c>
      <c r="C30" s="4" t="s">
        <v>11</v>
      </c>
      <c r="D30" s="4" t="s">
        <v>3000</v>
      </c>
      <c r="E30" s="4" t="s">
        <v>449</v>
      </c>
      <c r="F30" s="6" t="n">
        <v>44881</v>
      </c>
      <c r="G30" s="10" t="n">
        <v>177071</v>
      </c>
      <c r="H30" s="8" t="n">
        <v>4.9</v>
      </c>
      <c r="I30" s="4" t="s">
        <v>2994</v>
      </c>
    </row>
    <row r="31" customFormat="false" ht="15" hidden="false" customHeight="false" outlineLevel="0" collapsed="false">
      <c r="A31" s="4" t="s">
        <v>3059</v>
      </c>
      <c r="B31" s="4" t="s">
        <v>3060</v>
      </c>
      <c r="C31" s="4" t="s">
        <v>17</v>
      </c>
      <c r="D31" s="4" t="s">
        <v>3012</v>
      </c>
      <c r="E31" s="4" t="s">
        <v>495</v>
      </c>
      <c r="F31" s="6" t="n">
        <v>45589</v>
      </c>
      <c r="G31" s="10" t="n">
        <v>71899</v>
      </c>
      <c r="H31" s="8" t="n">
        <v>3.2</v>
      </c>
      <c r="I31" s="4" t="s">
        <v>3015</v>
      </c>
    </row>
    <row r="32" customFormat="false" ht="15" hidden="false" customHeight="false" outlineLevel="0" collapsed="false">
      <c r="A32" s="4" t="s">
        <v>3061</v>
      </c>
      <c r="B32" s="4" t="s">
        <v>3062</v>
      </c>
      <c r="C32" s="4" t="s">
        <v>11</v>
      </c>
      <c r="D32" s="4" t="s">
        <v>2997</v>
      </c>
      <c r="E32" s="4" t="s">
        <v>472</v>
      </c>
      <c r="F32" s="6" t="n">
        <v>45769</v>
      </c>
      <c r="G32" s="10" t="n">
        <v>161762</v>
      </c>
      <c r="H32" s="8" t="n">
        <v>3.5</v>
      </c>
      <c r="I32" s="4" t="s">
        <v>3015</v>
      </c>
    </row>
    <row r="33" customFormat="false" ht="15" hidden="false" customHeight="false" outlineLevel="0" collapsed="false">
      <c r="A33" s="4" t="s">
        <v>3063</v>
      </c>
      <c r="B33" s="4" t="s">
        <v>3064</v>
      </c>
      <c r="C33" s="4" t="s">
        <v>31</v>
      </c>
      <c r="D33" s="4" t="s">
        <v>3012</v>
      </c>
      <c r="E33" s="4" t="s">
        <v>452</v>
      </c>
      <c r="F33" s="6" t="n">
        <v>43413</v>
      </c>
      <c r="G33" s="10" t="n">
        <v>112376</v>
      </c>
      <c r="H33" s="8" t="n">
        <v>4.4</v>
      </c>
      <c r="I33" s="4" t="s">
        <v>3004</v>
      </c>
    </row>
    <row r="34" customFormat="false" ht="15" hidden="false" customHeight="false" outlineLevel="0" collapsed="false">
      <c r="A34" s="4" t="s">
        <v>3065</v>
      </c>
      <c r="B34" s="4" t="s">
        <v>3066</v>
      </c>
      <c r="C34" s="4" t="s">
        <v>32</v>
      </c>
      <c r="D34" s="4" t="s">
        <v>3000</v>
      </c>
      <c r="E34" s="4" t="s">
        <v>449</v>
      </c>
      <c r="F34" s="6" t="n">
        <v>45223</v>
      </c>
      <c r="G34" s="10" t="n">
        <v>90585</v>
      </c>
      <c r="H34" s="8" t="n">
        <v>3</v>
      </c>
      <c r="I34" s="4" t="s">
        <v>2994</v>
      </c>
    </row>
    <row r="35" customFormat="false" ht="15" hidden="false" customHeight="false" outlineLevel="0" collapsed="false">
      <c r="A35" s="4" t="s">
        <v>3067</v>
      </c>
      <c r="B35" s="4" t="s">
        <v>3068</v>
      </c>
      <c r="C35" s="4" t="s">
        <v>17</v>
      </c>
      <c r="D35" s="4" t="s">
        <v>3012</v>
      </c>
      <c r="E35" s="4" t="s">
        <v>472</v>
      </c>
      <c r="F35" s="6" t="n">
        <v>45161</v>
      </c>
      <c r="G35" s="10" t="n">
        <v>146320</v>
      </c>
      <c r="H35" s="8" t="n">
        <v>2.5</v>
      </c>
      <c r="I35" s="4" t="s">
        <v>3015</v>
      </c>
    </row>
    <row r="36" customFormat="false" ht="15" hidden="false" customHeight="false" outlineLevel="0" collapsed="false">
      <c r="A36" s="4" t="s">
        <v>3069</v>
      </c>
      <c r="B36" s="4" t="s">
        <v>3070</v>
      </c>
      <c r="C36" s="4" t="s">
        <v>29</v>
      </c>
      <c r="D36" s="4" t="s">
        <v>3012</v>
      </c>
      <c r="E36" s="4" t="s">
        <v>550</v>
      </c>
      <c r="F36" s="6" t="n">
        <v>45687</v>
      </c>
      <c r="G36" s="10" t="n">
        <v>123822</v>
      </c>
      <c r="H36" s="8" t="n">
        <v>3.1</v>
      </c>
      <c r="I36" s="4" t="s">
        <v>3001</v>
      </c>
    </row>
    <row r="37" customFormat="false" ht="15" hidden="false" customHeight="false" outlineLevel="0" collapsed="false">
      <c r="A37" s="4" t="s">
        <v>3071</v>
      </c>
      <c r="B37" s="4" t="s">
        <v>3072</v>
      </c>
      <c r="C37" s="4" t="s">
        <v>23</v>
      </c>
      <c r="D37" s="4" t="s">
        <v>2997</v>
      </c>
      <c r="E37" s="4" t="s">
        <v>495</v>
      </c>
      <c r="F37" s="6" t="n">
        <v>44997</v>
      </c>
      <c r="G37" s="10" t="n">
        <v>70611</v>
      </c>
      <c r="H37" s="8" t="n">
        <v>2.9</v>
      </c>
      <c r="I37" s="4" t="s">
        <v>2994</v>
      </c>
    </row>
    <row r="38" customFormat="false" ht="15" hidden="false" customHeight="false" outlineLevel="0" collapsed="false">
      <c r="A38" s="4" t="s">
        <v>3073</v>
      </c>
      <c r="B38" s="4" t="s">
        <v>3074</v>
      </c>
      <c r="C38" s="4" t="s">
        <v>32</v>
      </c>
      <c r="D38" s="4" t="s">
        <v>3018</v>
      </c>
      <c r="E38" s="4" t="s">
        <v>495</v>
      </c>
      <c r="F38" s="6" t="n">
        <v>42896</v>
      </c>
      <c r="G38" s="10" t="n">
        <v>138835</v>
      </c>
      <c r="H38" s="8" t="n">
        <v>2.9</v>
      </c>
      <c r="I38" s="4" t="s">
        <v>3007</v>
      </c>
    </row>
    <row r="39" customFormat="false" ht="15" hidden="false" customHeight="false" outlineLevel="0" collapsed="false">
      <c r="A39" s="4" t="s">
        <v>3075</v>
      </c>
      <c r="B39" s="4" t="s">
        <v>3076</v>
      </c>
      <c r="C39" s="4" t="s">
        <v>17</v>
      </c>
      <c r="D39" s="4" t="s">
        <v>2986</v>
      </c>
      <c r="E39" s="4" t="s">
        <v>469</v>
      </c>
      <c r="F39" s="6" t="n">
        <v>45974</v>
      </c>
      <c r="G39" s="10" t="n">
        <v>61752</v>
      </c>
      <c r="H39" s="8" t="n">
        <v>4.1</v>
      </c>
      <c r="I39" s="4" t="s">
        <v>3001</v>
      </c>
    </row>
    <row r="40" customFormat="false" ht="15" hidden="false" customHeight="false" outlineLevel="0" collapsed="false">
      <c r="A40" s="4" t="s">
        <v>3077</v>
      </c>
      <c r="B40" s="4" t="s">
        <v>3078</v>
      </c>
      <c r="C40" s="4" t="s">
        <v>31</v>
      </c>
      <c r="D40" s="4" t="s">
        <v>3018</v>
      </c>
      <c r="E40" s="4" t="s">
        <v>524</v>
      </c>
      <c r="F40" s="6" t="n">
        <v>43211</v>
      </c>
      <c r="G40" s="10" t="n">
        <v>55183</v>
      </c>
      <c r="H40" s="8" t="n">
        <v>4.1</v>
      </c>
      <c r="I40" s="4" t="s">
        <v>3015</v>
      </c>
    </row>
    <row r="41" customFormat="false" ht="15" hidden="false" customHeight="false" outlineLevel="0" collapsed="false">
      <c r="A41" s="4" t="s">
        <v>3079</v>
      </c>
      <c r="B41" s="4" t="s">
        <v>3080</v>
      </c>
      <c r="C41" s="4" t="s">
        <v>23</v>
      </c>
      <c r="D41" s="4" t="s">
        <v>2986</v>
      </c>
      <c r="E41" s="4" t="s">
        <v>452</v>
      </c>
      <c r="F41" s="6" t="n">
        <v>45625</v>
      </c>
      <c r="G41" s="10" t="n">
        <v>170865</v>
      </c>
      <c r="H41" s="8" t="n">
        <v>3.9</v>
      </c>
      <c r="I41" s="4" t="s">
        <v>3001</v>
      </c>
    </row>
    <row r="42" customFormat="false" ht="15" hidden="false" customHeight="false" outlineLevel="0" collapsed="false">
      <c r="A42" s="4" t="s">
        <v>3081</v>
      </c>
      <c r="B42" s="4" t="s">
        <v>3082</v>
      </c>
      <c r="C42" s="4" t="s">
        <v>29</v>
      </c>
      <c r="D42" s="4" t="s">
        <v>3012</v>
      </c>
      <c r="E42" s="4" t="s">
        <v>495</v>
      </c>
      <c r="F42" s="6" t="n">
        <v>44065</v>
      </c>
      <c r="G42" s="10" t="n">
        <v>62505</v>
      </c>
      <c r="H42" s="8" t="n">
        <v>4.1</v>
      </c>
      <c r="I42" s="4" t="s">
        <v>2994</v>
      </c>
    </row>
    <row r="43" customFormat="false" ht="15" hidden="false" customHeight="false" outlineLevel="0" collapsed="false">
      <c r="A43" s="4" t="s">
        <v>3083</v>
      </c>
      <c r="B43" s="4" t="s">
        <v>3084</v>
      </c>
      <c r="C43" s="4" t="s">
        <v>31</v>
      </c>
      <c r="D43" s="4" t="s">
        <v>2986</v>
      </c>
      <c r="E43" s="4" t="s">
        <v>472</v>
      </c>
      <c r="F43" s="6" t="n">
        <v>45728</v>
      </c>
      <c r="G43" s="10" t="n">
        <v>91659</v>
      </c>
      <c r="H43" s="8" t="n">
        <v>2.9</v>
      </c>
      <c r="I43" s="4" t="s">
        <v>2994</v>
      </c>
    </row>
    <row r="44" customFormat="false" ht="15" hidden="false" customHeight="false" outlineLevel="0" collapsed="false">
      <c r="A44" s="4" t="s">
        <v>3085</v>
      </c>
      <c r="B44" s="4" t="s">
        <v>3086</v>
      </c>
      <c r="C44" s="4" t="s">
        <v>32</v>
      </c>
      <c r="D44" s="4" t="s">
        <v>2997</v>
      </c>
      <c r="E44" s="4" t="s">
        <v>469</v>
      </c>
      <c r="F44" s="6" t="n">
        <v>45923</v>
      </c>
      <c r="G44" s="10" t="n">
        <v>178078</v>
      </c>
      <c r="H44" s="8" t="n">
        <v>4.5</v>
      </c>
      <c r="I44" s="4" t="s">
        <v>2994</v>
      </c>
    </row>
    <row r="45" customFormat="false" ht="15" hidden="false" customHeight="false" outlineLevel="0" collapsed="false">
      <c r="A45" s="4" t="s">
        <v>3087</v>
      </c>
      <c r="B45" s="4" t="s">
        <v>3088</v>
      </c>
      <c r="C45" s="4" t="s">
        <v>33</v>
      </c>
      <c r="D45" s="4" t="s">
        <v>2997</v>
      </c>
      <c r="E45" s="4" t="s">
        <v>550</v>
      </c>
      <c r="F45" s="6" t="n">
        <v>44300</v>
      </c>
      <c r="G45" s="10" t="n">
        <v>178949</v>
      </c>
      <c r="H45" s="8" t="n">
        <v>4.1</v>
      </c>
      <c r="I45" s="4" t="s">
        <v>3015</v>
      </c>
    </row>
    <row r="46" customFormat="false" ht="15" hidden="false" customHeight="false" outlineLevel="0" collapsed="false">
      <c r="A46" s="4" t="s">
        <v>3089</v>
      </c>
      <c r="B46" s="4" t="s">
        <v>3090</v>
      </c>
      <c r="C46" s="4" t="s">
        <v>32</v>
      </c>
      <c r="D46" s="4" t="s">
        <v>3018</v>
      </c>
      <c r="E46" s="4" t="s">
        <v>469</v>
      </c>
      <c r="F46" s="6" t="n">
        <v>44547</v>
      </c>
      <c r="G46" s="10" t="n">
        <v>83919</v>
      </c>
      <c r="H46" s="8" t="n">
        <v>3.3</v>
      </c>
      <c r="I46" s="4" t="s">
        <v>3001</v>
      </c>
    </row>
    <row r="47" customFormat="false" ht="15" hidden="false" customHeight="false" outlineLevel="0" collapsed="false">
      <c r="A47" s="4" t="s">
        <v>3091</v>
      </c>
      <c r="B47" s="4" t="s">
        <v>3092</v>
      </c>
      <c r="C47" s="4" t="s">
        <v>32</v>
      </c>
      <c r="D47" s="4" t="s">
        <v>2997</v>
      </c>
      <c r="E47" s="4" t="s">
        <v>480</v>
      </c>
      <c r="F47" s="6" t="n">
        <v>45819</v>
      </c>
      <c r="G47" s="10" t="n">
        <v>106834</v>
      </c>
      <c r="H47" s="8" t="n">
        <v>2.9</v>
      </c>
      <c r="I47" s="4" t="s">
        <v>3001</v>
      </c>
    </row>
    <row r="48" customFormat="false" ht="15" hidden="false" customHeight="false" outlineLevel="0" collapsed="false">
      <c r="A48" s="4" t="s">
        <v>3093</v>
      </c>
      <c r="B48" s="4" t="s">
        <v>3094</v>
      </c>
      <c r="C48" s="4" t="s">
        <v>33</v>
      </c>
      <c r="D48" s="4" t="s">
        <v>2997</v>
      </c>
      <c r="E48" s="4" t="s">
        <v>449</v>
      </c>
      <c r="F48" s="6" t="n">
        <v>44245</v>
      </c>
      <c r="G48" s="10" t="n">
        <v>74442</v>
      </c>
      <c r="H48" s="8" t="n">
        <v>4.8</v>
      </c>
      <c r="I48" s="4" t="s">
        <v>2994</v>
      </c>
    </row>
    <row r="49" customFormat="false" ht="15" hidden="false" customHeight="false" outlineLevel="0" collapsed="false">
      <c r="A49" s="4" t="s">
        <v>3095</v>
      </c>
      <c r="B49" s="4" t="s">
        <v>3096</v>
      </c>
      <c r="C49" s="4" t="s">
        <v>29</v>
      </c>
      <c r="D49" s="4" t="s">
        <v>3018</v>
      </c>
      <c r="E49" s="4" t="s">
        <v>459</v>
      </c>
      <c r="F49" s="6" t="n">
        <v>43493</v>
      </c>
      <c r="G49" s="10" t="n">
        <v>161902</v>
      </c>
      <c r="H49" s="8" t="n">
        <v>4.7</v>
      </c>
      <c r="I49" s="4" t="s">
        <v>3001</v>
      </c>
    </row>
    <row r="50" customFormat="false" ht="15" hidden="false" customHeight="false" outlineLevel="0" collapsed="false">
      <c r="A50" s="4" t="s">
        <v>3097</v>
      </c>
      <c r="B50" s="4" t="s">
        <v>3098</v>
      </c>
      <c r="C50" s="4" t="s">
        <v>32</v>
      </c>
      <c r="D50" s="4" t="s">
        <v>3000</v>
      </c>
      <c r="E50" s="4" t="s">
        <v>550</v>
      </c>
      <c r="F50" s="6" t="n">
        <v>43474</v>
      </c>
      <c r="G50" s="10" t="n">
        <v>139877</v>
      </c>
      <c r="H50" s="8" t="n">
        <v>3.2</v>
      </c>
      <c r="I50" s="4" t="s">
        <v>3007</v>
      </c>
    </row>
    <row r="51" customFormat="false" ht="15" hidden="false" customHeight="false" outlineLevel="0" collapsed="false">
      <c r="A51" s="4" t="s">
        <v>3099</v>
      </c>
      <c r="B51" s="4" t="s">
        <v>3100</v>
      </c>
      <c r="C51" s="4" t="s">
        <v>17</v>
      </c>
      <c r="D51" s="4" t="s">
        <v>3018</v>
      </c>
      <c r="E51" s="4" t="s">
        <v>469</v>
      </c>
      <c r="F51" s="6" t="n">
        <v>44350</v>
      </c>
      <c r="G51" s="10" t="n">
        <v>145094</v>
      </c>
      <c r="H51" s="8" t="n">
        <v>4</v>
      </c>
      <c r="I51" s="4" t="s">
        <v>2994</v>
      </c>
    </row>
    <row r="52" customFormat="false" ht="15" hidden="false" customHeight="false" outlineLevel="0" collapsed="false">
      <c r="A52" s="4" t="s">
        <v>3101</v>
      </c>
      <c r="B52" s="4" t="s">
        <v>3102</v>
      </c>
      <c r="C52" s="4" t="s">
        <v>17</v>
      </c>
      <c r="D52" s="4" t="s">
        <v>2993</v>
      </c>
      <c r="E52" s="4" t="s">
        <v>449</v>
      </c>
      <c r="F52" s="6" t="n">
        <v>43740</v>
      </c>
      <c r="G52" s="10" t="n">
        <v>114640</v>
      </c>
      <c r="H52" s="8" t="n">
        <v>4.8</v>
      </c>
      <c r="I52" s="4" t="s">
        <v>3004</v>
      </c>
    </row>
    <row r="53" customFormat="false" ht="15" hidden="false" customHeight="false" outlineLevel="0" collapsed="false">
      <c r="A53" s="4" t="s">
        <v>3103</v>
      </c>
      <c r="B53" s="4" t="s">
        <v>3104</v>
      </c>
      <c r="C53" s="4" t="s">
        <v>11</v>
      </c>
      <c r="D53" s="4" t="s">
        <v>2997</v>
      </c>
      <c r="E53" s="4" t="s">
        <v>524</v>
      </c>
      <c r="F53" s="6" t="n">
        <v>43298</v>
      </c>
      <c r="G53" s="10" t="n">
        <v>150258</v>
      </c>
      <c r="H53" s="8" t="n">
        <v>4.4</v>
      </c>
      <c r="I53" s="4" t="s">
        <v>2994</v>
      </c>
    </row>
    <row r="54" customFormat="false" ht="15" hidden="false" customHeight="false" outlineLevel="0" collapsed="false">
      <c r="A54" s="4" t="s">
        <v>3105</v>
      </c>
      <c r="B54" s="4" t="s">
        <v>3106</v>
      </c>
      <c r="C54" s="4" t="s">
        <v>32</v>
      </c>
      <c r="D54" s="4" t="s">
        <v>2993</v>
      </c>
      <c r="E54" s="4" t="s">
        <v>449</v>
      </c>
      <c r="F54" s="6" t="n">
        <v>44308</v>
      </c>
      <c r="G54" s="10" t="n">
        <v>57715</v>
      </c>
      <c r="H54" s="8" t="n">
        <v>2.8</v>
      </c>
      <c r="I54" s="4" t="s">
        <v>2994</v>
      </c>
    </row>
    <row r="55" customFormat="false" ht="15" hidden="false" customHeight="false" outlineLevel="0" collapsed="false">
      <c r="A55" s="4" t="s">
        <v>3107</v>
      </c>
      <c r="B55" s="4" t="s">
        <v>3108</v>
      </c>
      <c r="C55" s="4" t="s">
        <v>31</v>
      </c>
      <c r="D55" s="4" t="s">
        <v>2997</v>
      </c>
      <c r="E55" s="4" t="s">
        <v>455</v>
      </c>
      <c r="F55" s="6" t="n">
        <v>42915</v>
      </c>
      <c r="G55" s="10" t="n">
        <v>72324</v>
      </c>
      <c r="H55" s="8" t="n">
        <v>3.1</v>
      </c>
      <c r="I55" s="4" t="s">
        <v>2994</v>
      </c>
    </row>
    <row r="56" customFormat="false" ht="15" hidden="false" customHeight="false" outlineLevel="0" collapsed="false">
      <c r="A56" s="4" t="s">
        <v>3109</v>
      </c>
      <c r="B56" s="4" t="s">
        <v>3110</v>
      </c>
      <c r="C56" s="4" t="s">
        <v>23</v>
      </c>
      <c r="D56" s="4" t="s">
        <v>3018</v>
      </c>
      <c r="E56" s="4" t="s">
        <v>462</v>
      </c>
      <c r="F56" s="6" t="n">
        <v>45192</v>
      </c>
      <c r="G56" s="10" t="n">
        <v>56769</v>
      </c>
      <c r="H56" s="8" t="n">
        <v>4.5</v>
      </c>
      <c r="I56" s="4" t="s">
        <v>2994</v>
      </c>
    </row>
    <row r="57" customFormat="false" ht="15" hidden="false" customHeight="false" outlineLevel="0" collapsed="false">
      <c r="A57" s="4" t="s">
        <v>3111</v>
      </c>
      <c r="B57" s="4" t="s">
        <v>3112</v>
      </c>
      <c r="C57" s="4" t="s">
        <v>31</v>
      </c>
      <c r="D57" s="4" t="s">
        <v>2993</v>
      </c>
      <c r="E57" s="4" t="s">
        <v>524</v>
      </c>
      <c r="F57" s="6" t="n">
        <v>45751</v>
      </c>
      <c r="G57" s="10" t="n">
        <v>162250</v>
      </c>
      <c r="H57" s="8" t="n">
        <v>3.3</v>
      </c>
      <c r="I57" s="4" t="s">
        <v>2994</v>
      </c>
    </row>
    <row r="58" customFormat="false" ht="15" hidden="false" customHeight="false" outlineLevel="0" collapsed="false">
      <c r="A58" s="4" t="s">
        <v>3113</v>
      </c>
      <c r="B58" s="4" t="s">
        <v>3114</v>
      </c>
      <c r="C58" s="4" t="s">
        <v>17</v>
      </c>
      <c r="D58" s="4" t="s">
        <v>3018</v>
      </c>
      <c r="E58" s="4" t="s">
        <v>459</v>
      </c>
      <c r="F58" s="6" t="n">
        <v>45847</v>
      </c>
      <c r="G58" s="10" t="n">
        <v>128774</v>
      </c>
      <c r="H58" s="8" t="n">
        <v>4.7</v>
      </c>
      <c r="I58" s="4" t="s">
        <v>3001</v>
      </c>
    </row>
    <row r="59" customFormat="false" ht="15" hidden="false" customHeight="false" outlineLevel="0" collapsed="false">
      <c r="A59" s="4" t="s">
        <v>3115</v>
      </c>
      <c r="B59" s="4" t="s">
        <v>3116</v>
      </c>
      <c r="C59" s="4" t="s">
        <v>23</v>
      </c>
      <c r="D59" s="4" t="s">
        <v>2986</v>
      </c>
      <c r="E59" s="4" t="s">
        <v>459</v>
      </c>
      <c r="F59" s="6" t="n">
        <v>43368</v>
      </c>
      <c r="G59" s="10" t="n">
        <v>86956</v>
      </c>
      <c r="H59" s="8" t="n">
        <v>2.6</v>
      </c>
      <c r="I59" s="4" t="s">
        <v>3007</v>
      </c>
    </row>
    <row r="60" customFormat="false" ht="15" hidden="false" customHeight="false" outlineLevel="0" collapsed="false">
      <c r="A60" s="4" t="s">
        <v>3117</v>
      </c>
      <c r="B60" s="4" t="s">
        <v>3118</v>
      </c>
      <c r="C60" s="4" t="s">
        <v>33</v>
      </c>
      <c r="D60" s="4" t="s">
        <v>3012</v>
      </c>
      <c r="E60" s="4" t="s">
        <v>452</v>
      </c>
      <c r="F60" s="6" t="n">
        <v>42822</v>
      </c>
      <c r="G60" s="10" t="n">
        <v>163124</v>
      </c>
      <c r="H60" s="8" t="n">
        <v>2.6</v>
      </c>
      <c r="I60" s="4" t="s">
        <v>3015</v>
      </c>
    </row>
    <row r="61" customFormat="false" ht="15" hidden="false" customHeight="false" outlineLevel="0" collapsed="false">
      <c r="A61" s="4" t="s">
        <v>3119</v>
      </c>
      <c r="B61" s="4" t="s">
        <v>3120</v>
      </c>
      <c r="C61" s="4" t="s">
        <v>23</v>
      </c>
      <c r="D61" s="4" t="s">
        <v>2993</v>
      </c>
      <c r="E61" s="4" t="s">
        <v>524</v>
      </c>
      <c r="F61" s="6" t="n">
        <v>44437</v>
      </c>
      <c r="G61" s="10" t="n">
        <v>73590</v>
      </c>
      <c r="H61" s="8" t="n">
        <v>2.5</v>
      </c>
      <c r="I61" s="4" t="s">
        <v>3001</v>
      </c>
    </row>
    <row r="62" customFormat="false" ht="15" hidden="false" customHeight="false" outlineLevel="0" collapsed="false">
      <c r="A62" s="4" t="s">
        <v>3121</v>
      </c>
      <c r="B62" s="4" t="s">
        <v>3122</v>
      </c>
      <c r="C62" s="4" t="s">
        <v>11</v>
      </c>
      <c r="D62" s="4" t="s">
        <v>3018</v>
      </c>
      <c r="E62" s="4" t="s">
        <v>449</v>
      </c>
      <c r="F62" s="6" t="n">
        <v>44314</v>
      </c>
      <c r="G62" s="10" t="n">
        <v>74316</v>
      </c>
      <c r="H62" s="8" t="n">
        <v>3.4</v>
      </c>
      <c r="I62" s="4" t="s">
        <v>3007</v>
      </c>
    </row>
    <row r="63" customFormat="false" ht="15" hidden="false" customHeight="false" outlineLevel="0" collapsed="false">
      <c r="A63" s="4" t="s">
        <v>3123</v>
      </c>
      <c r="B63" s="4" t="s">
        <v>3124</v>
      </c>
      <c r="C63" s="4" t="s">
        <v>17</v>
      </c>
      <c r="D63" s="4" t="s">
        <v>2997</v>
      </c>
      <c r="E63" s="4" t="s">
        <v>449</v>
      </c>
      <c r="F63" s="6" t="n">
        <v>45548</v>
      </c>
      <c r="G63" s="10" t="n">
        <v>170896</v>
      </c>
      <c r="H63" s="8" t="n">
        <v>4.3</v>
      </c>
      <c r="I63" s="4" t="s">
        <v>2994</v>
      </c>
    </row>
    <row r="64" customFormat="false" ht="15" hidden="false" customHeight="false" outlineLevel="0" collapsed="false">
      <c r="A64" s="4" t="s">
        <v>3125</v>
      </c>
      <c r="B64" s="4" t="s">
        <v>3126</v>
      </c>
      <c r="C64" s="4" t="s">
        <v>29</v>
      </c>
      <c r="D64" s="4" t="s">
        <v>3018</v>
      </c>
      <c r="E64" s="4" t="s">
        <v>452</v>
      </c>
      <c r="F64" s="6" t="n">
        <v>43655</v>
      </c>
      <c r="G64" s="10" t="n">
        <v>68334</v>
      </c>
      <c r="H64" s="8" t="n">
        <v>4.9</v>
      </c>
      <c r="I64" s="4" t="s">
        <v>3007</v>
      </c>
    </row>
    <row r="65" customFormat="false" ht="15" hidden="false" customHeight="false" outlineLevel="0" collapsed="false">
      <c r="A65" s="4" t="s">
        <v>3127</v>
      </c>
      <c r="B65" s="4" t="s">
        <v>3128</v>
      </c>
      <c r="C65" s="4" t="s">
        <v>23</v>
      </c>
      <c r="D65" s="4" t="s">
        <v>2993</v>
      </c>
      <c r="E65" s="4" t="s">
        <v>465</v>
      </c>
      <c r="F65" s="6" t="n">
        <v>44102</v>
      </c>
      <c r="G65" s="10" t="n">
        <v>70512</v>
      </c>
      <c r="H65" s="8" t="n">
        <v>3.4</v>
      </c>
      <c r="I65" s="4" t="s">
        <v>2994</v>
      </c>
    </row>
    <row r="66" customFormat="false" ht="15" hidden="false" customHeight="false" outlineLevel="0" collapsed="false">
      <c r="A66" s="4" t="s">
        <v>3129</v>
      </c>
      <c r="B66" s="4" t="s">
        <v>3130</v>
      </c>
      <c r="C66" s="4" t="s">
        <v>11</v>
      </c>
      <c r="D66" s="4" t="s">
        <v>3012</v>
      </c>
      <c r="E66" s="4" t="s">
        <v>543</v>
      </c>
      <c r="F66" s="6" t="n">
        <v>43465</v>
      </c>
      <c r="G66" s="10" t="n">
        <v>111181</v>
      </c>
      <c r="H66" s="8" t="n">
        <v>3.8</v>
      </c>
      <c r="I66" s="4" t="s">
        <v>3015</v>
      </c>
    </row>
    <row r="67" customFormat="false" ht="15" hidden="false" customHeight="false" outlineLevel="0" collapsed="false">
      <c r="A67" s="4" t="s">
        <v>3131</v>
      </c>
      <c r="B67" s="4" t="s">
        <v>3132</v>
      </c>
      <c r="C67" s="4" t="s">
        <v>17</v>
      </c>
      <c r="D67" s="4" t="s">
        <v>2997</v>
      </c>
      <c r="E67" s="4" t="s">
        <v>449</v>
      </c>
      <c r="F67" s="6" t="n">
        <v>43351</v>
      </c>
      <c r="G67" s="10" t="n">
        <v>172062</v>
      </c>
      <c r="H67" s="8" t="n">
        <v>4.2</v>
      </c>
      <c r="I67" s="4" t="s">
        <v>3007</v>
      </c>
    </row>
    <row r="68" customFormat="false" ht="15" hidden="false" customHeight="false" outlineLevel="0" collapsed="false">
      <c r="A68" s="4" t="s">
        <v>3133</v>
      </c>
      <c r="B68" s="4" t="s">
        <v>3134</v>
      </c>
      <c r="C68" s="4" t="s">
        <v>32</v>
      </c>
      <c r="D68" s="4" t="s">
        <v>2986</v>
      </c>
      <c r="E68" s="4" t="s">
        <v>490</v>
      </c>
      <c r="F68" s="6" t="n">
        <v>43161</v>
      </c>
      <c r="G68" s="10" t="n">
        <v>90532</v>
      </c>
      <c r="H68" s="8" t="n">
        <v>4.8</v>
      </c>
      <c r="I68" s="4" t="s">
        <v>3007</v>
      </c>
    </row>
    <row r="69" customFormat="false" ht="15" hidden="false" customHeight="false" outlineLevel="0" collapsed="false">
      <c r="A69" s="4" t="s">
        <v>3135</v>
      </c>
      <c r="B69" s="4" t="s">
        <v>3136</v>
      </c>
      <c r="C69" s="4" t="s">
        <v>23</v>
      </c>
      <c r="D69" s="4" t="s">
        <v>2997</v>
      </c>
      <c r="E69" s="4" t="s">
        <v>480</v>
      </c>
      <c r="F69" s="6" t="n">
        <v>43048</v>
      </c>
      <c r="G69" s="10" t="n">
        <v>158396</v>
      </c>
      <c r="H69" s="8" t="n">
        <v>2.5</v>
      </c>
      <c r="I69" s="4" t="s">
        <v>3001</v>
      </c>
    </row>
    <row r="70" customFormat="false" ht="15" hidden="false" customHeight="false" outlineLevel="0" collapsed="false">
      <c r="A70" s="4" t="s">
        <v>3137</v>
      </c>
      <c r="B70" s="4" t="s">
        <v>3138</v>
      </c>
      <c r="C70" s="4" t="s">
        <v>31</v>
      </c>
      <c r="D70" s="4" t="s">
        <v>2997</v>
      </c>
      <c r="E70" s="4" t="s">
        <v>543</v>
      </c>
      <c r="F70" s="6" t="n">
        <v>44047</v>
      </c>
      <c r="G70" s="10" t="n">
        <v>74369</v>
      </c>
      <c r="H70" s="8" t="n">
        <v>3.5</v>
      </c>
      <c r="I70" s="4" t="s">
        <v>3004</v>
      </c>
    </row>
    <row r="71" customFormat="false" ht="15" hidden="false" customHeight="false" outlineLevel="0" collapsed="false">
      <c r="A71" s="4" t="s">
        <v>3139</v>
      </c>
      <c r="B71" s="4" t="s">
        <v>3140</v>
      </c>
      <c r="C71" s="4" t="s">
        <v>31</v>
      </c>
      <c r="D71" s="4" t="s">
        <v>2993</v>
      </c>
      <c r="E71" s="4" t="s">
        <v>452</v>
      </c>
      <c r="F71" s="6" t="n">
        <v>45102</v>
      </c>
      <c r="G71" s="10" t="n">
        <v>111027</v>
      </c>
      <c r="H71" s="8" t="n">
        <v>4.9</v>
      </c>
      <c r="I71" s="4" t="s">
        <v>3007</v>
      </c>
    </row>
    <row r="72" customFormat="false" ht="15" hidden="false" customHeight="false" outlineLevel="0" collapsed="false">
      <c r="A72" s="4" t="s">
        <v>3141</v>
      </c>
      <c r="B72" s="4" t="s">
        <v>3142</v>
      </c>
      <c r="C72" s="4" t="s">
        <v>17</v>
      </c>
      <c r="D72" s="4" t="s">
        <v>2993</v>
      </c>
      <c r="E72" s="4" t="s">
        <v>490</v>
      </c>
      <c r="F72" s="6" t="n">
        <v>43258</v>
      </c>
      <c r="G72" s="10" t="n">
        <v>78838</v>
      </c>
      <c r="H72" s="8" t="n">
        <v>4.4</v>
      </c>
      <c r="I72" s="4" t="s">
        <v>3007</v>
      </c>
    </row>
    <row r="73" customFormat="false" ht="15" hidden="false" customHeight="false" outlineLevel="0" collapsed="false">
      <c r="A73" s="4" t="s">
        <v>3143</v>
      </c>
      <c r="B73" s="4" t="s">
        <v>3144</v>
      </c>
      <c r="C73" s="4" t="s">
        <v>23</v>
      </c>
      <c r="D73" s="4" t="s">
        <v>3000</v>
      </c>
      <c r="E73" s="4" t="s">
        <v>449</v>
      </c>
      <c r="F73" s="6" t="n">
        <v>44707</v>
      </c>
      <c r="G73" s="10" t="n">
        <v>145888</v>
      </c>
      <c r="H73" s="8" t="n">
        <v>4.9</v>
      </c>
      <c r="I73" s="4" t="s">
        <v>3015</v>
      </c>
    </row>
    <row r="74" customFormat="false" ht="15" hidden="false" customHeight="false" outlineLevel="0" collapsed="false">
      <c r="A74" s="4" t="s">
        <v>3145</v>
      </c>
      <c r="B74" s="4" t="s">
        <v>3146</v>
      </c>
      <c r="C74" s="4" t="s">
        <v>31</v>
      </c>
      <c r="D74" s="4" t="s">
        <v>2997</v>
      </c>
      <c r="E74" s="4" t="s">
        <v>490</v>
      </c>
      <c r="F74" s="6" t="n">
        <v>43302</v>
      </c>
      <c r="G74" s="10" t="n">
        <v>160138</v>
      </c>
      <c r="H74" s="8" t="n">
        <v>4.9</v>
      </c>
      <c r="I74" s="4" t="s">
        <v>3001</v>
      </c>
    </row>
    <row r="75" customFormat="false" ht="15" hidden="false" customHeight="false" outlineLevel="0" collapsed="false">
      <c r="A75" s="4" t="s">
        <v>3147</v>
      </c>
      <c r="B75" s="4" t="s">
        <v>3148</v>
      </c>
      <c r="C75" s="4" t="s">
        <v>29</v>
      </c>
      <c r="D75" s="4" t="s">
        <v>3000</v>
      </c>
      <c r="E75" s="4" t="s">
        <v>524</v>
      </c>
      <c r="F75" s="6" t="n">
        <v>44772</v>
      </c>
      <c r="G75" s="10" t="n">
        <v>125614</v>
      </c>
      <c r="H75" s="8" t="n">
        <v>3.8</v>
      </c>
      <c r="I75" s="4" t="s">
        <v>3015</v>
      </c>
    </row>
    <row r="76" customFormat="false" ht="15" hidden="false" customHeight="false" outlineLevel="0" collapsed="false">
      <c r="A76" s="4" t="s">
        <v>3149</v>
      </c>
      <c r="B76" s="4" t="s">
        <v>3150</v>
      </c>
      <c r="C76" s="4" t="s">
        <v>32</v>
      </c>
      <c r="D76" s="4" t="s">
        <v>3018</v>
      </c>
      <c r="E76" s="4" t="s">
        <v>449</v>
      </c>
      <c r="F76" s="6" t="n">
        <v>43078</v>
      </c>
      <c r="G76" s="10" t="n">
        <v>131148</v>
      </c>
      <c r="H76" s="8" t="n">
        <v>4.3</v>
      </c>
      <c r="I76" s="4" t="s">
        <v>3015</v>
      </c>
    </row>
    <row r="77" customFormat="false" ht="15" hidden="false" customHeight="false" outlineLevel="0" collapsed="false">
      <c r="A77" s="4" t="s">
        <v>3151</v>
      </c>
      <c r="B77" s="4" t="s">
        <v>3152</v>
      </c>
      <c r="C77" s="4" t="s">
        <v>32</v>
      </c>
      <c r="D77" s="4" t="s">
        <v>2997</v>
      </c>
      <c r="E77" s="4" t="s">
        <v>480</v>
      </c>
      <c r="F77" s="6" t="n">
        <v>45800</v>
      </c>
      <c r="G77" s="10" t="n">
        <v>83748</v>
      </c>
      <c r="H77" s="8" t="n">
        <v>4.3</v>
      </c>
      <c r="I77" s="4" t="s">
        <v>3001</v>
      </c>
    </row>
    <row r="78" customFormat="false" ht="15" hidden="false" customHeight="false" outlineLevel="0" collapsed="false">
      <c r="A78" s="4" t="s">
        <v>3153</v>
      </c>
      <c r="B78" s="4" t="s">
        <v>3154</v>
      </c>
      <c r="C78" s="4" t="s">
        <v>23</v>
      </c>
      <c r="D78" s="4" t="s">
        <v>2993</v>
      </c>
      <c r="E78" s="4" t="s">
        <v>472</v>
      </c>
      <c r="F78" s="6" t="n">
        <v>42806</v>
      </c>
      <c r="G78" s="10" t="n">
        <v>102500</v>
      </c>
      <c r="H78" s="8" t="n">
        <v>3.9</v>
      </c>
      <c r="I78" s="4" t="s">
        <v>3001</v>
      </c>
    </row>
    <row r="79" customFormat="false" ht="15" hidden="false" customHeight="false" outlineLevel="0" collapsed="false">
      <c r="A79" s="4" t="s">
        <v>3155</v>
      </c>
      <c r="B79" s="4" t="s">
        <v>3156</v>
      </c>
      <c r="C79" s="4" t="s">
        <v>11</v>
      </c>
      <c r="D79" s="4" t="s">
        <v>2993</v>
      </c>
      <c r="E79" s="4" t="s">
        <v>455</v>
      </c>
      <c r="F79" s="6" t="n">
        <v>44166</v>
      </c>
      <c r="G79" s="10" t="n">
        <v>102298</v>
      </c>
      <c r="H79" s="8" t="n">
        <v>4.6</v>
      </c>
      <c r="I79" s="4" t="s">
        <v>3001</v>
      </c>
    </row>
    <row r="80" customFormat="false" ht="15" hidden="false" customHeight="false" outlineLevel="0" collapsed="false">
      <c r="A80" s="4" t="s">
        <v>3157</v>
      </c>
      <c r="B80" s="4" t="s">
        <v>3158</v>
      </c>
      <c r="C80" s="4" t="s">
        <v>23</v>
      </c>
      <c r="D80" s="4" t="s">
        <v>3000</v>
      </c>
      <c r="E80" s="4" t="s">
        <v>543</v>
      </c>
      <c r="F80" s="6" t="n">
        <v>44994</v>
      </c>
      <c r="G80" s="10" t="n">
        <v>177072</v>
      </c>
      <c r="H80" s="8" t="n">
        <v>4.8</v>
      </c>
      <c r="I80" s="4" t="s">
        <v>3001</v>
      </c>
    </row>
    <row r="81" customFormat="false" ht="15" hidden="false" customHeight="false" outlineLevel="0" collapsed="false">
      <c r="A81" s="4" t="s">
        <v>3159</v>
      </c>
      <c r="B81" s="4" t="s">
        <v>3160</v>
      </c>
      <c r="C81" s="4" t="s">
        <v>17</v>
      </c>
      <c r="D81" s="4" t="s">
        <v>3018</v>
      </c>
      <c r="E81" s="4" t="s">
        <v>475</v>
      </c>
      <c r="F81" s="6" t="n">
        <v>45795</v>
      </c>
      <c r="G81" s="10" t="n">
        <v>73061</v>
      </c>
      <c r="H81" s="8" t="n">
        <v>2.8</v>
      </c>
      <c r="I81" s="4" t="s">
        <v>3001</v>
      </c>
    </row>
    <row r="82" customFormat="false" ht="15" hidden="false" customHeight="false" outlineLevel="0" collapsed="false">
      <c r="A82" s="4" t="s">
        <v>3161</v>
      </c>
      <c r="B82" s="4" t="s">
        <v>3162</v>
      </c>
      <c r="C82" s="4" t="s">
        <v>29</v>
      </c>
      <c r="D82" s="4" t="s">
        <v>2997</v>
      </c>
      <c r="E82" s="4" t="s">
        <v>475</v>
      </c>
      <c r="F82" s="6" t="n">
        <v>45587</v>
      </c>
      <c r="G82" s="10" t="n">
        <v>110667</v>
      </c>
      <c r="H82" s="8" t="n">
        <v>3.4</v>
      </c>
      <c r="I82" s="4" t="s">
        <v>2994</v>
      </c>
    </row>
    <row r="83" customFormat="false" ht="15" hidden="false" customHeight="false" outlineLevel="0" collapsed="false">
      <c r="A83" s="4" t="s">
        <v>3163</v>
      </c>
      <c r="B83" s="4" t="s">
        <v>3164</v>
      </c>
      <c r="C83" s="4" t="s">
        <v>33</v>
      </c>
      <c r="D83" s="4" t="s">
        <v>3012</v>
      </c>
      <c r="E83" s="4" t="s">
        <v>452</v>
      </c>
      <c r="F83" s="6" t="n">
        <v>44689</v>
      </c>
      <c r="G83" s="10" t="n">
        <v>164764</v>
      </c>
      <c r="H83" s="8" t="n">
        <v>4</v>
      </c>
      <c r="I83" s="4" t="s">
        <v>3001</v>
      </c>
    </row>
    <row r="84" customFormat="false" ht="15" hidden="false" customHeight="false" outlineLevel="0" collapsed="false">
      <c r="A84" s="4" t="s">
        <v>3165</v>
      </c>
      <c r="B84" s="4" t="s">
        <v>3166</v>
      </c>
      <c r="C84" s="4" t="s">
        <v>11</v>
      </c>
      <c r="D84" s="4" t="s">
        <v>3018</v>
      </c>
      <c r="E84" s="4" t="s">
        <v>490</v>
      </c>
      <c r="F84" s="6" t="n">
        <v>43314</v>
      </c>
      <c r="G84" s="10" t="n">
        <v>65353</v>
      </c>
      <c r="H84" s="8" t="n">
        <v>3.1</v>
      </c>
      <c r="I84" s="4" t="s">
        <v>2994</v>
      </c>
    </row>
    <row r="85" customFormat="false" ht="15" hidden="false" customHeight="false" outlineLevel="0" collapsed="false">
      <c r="A85" s="4" t="s">
        <v>3167</v>
      </c>
      <c r="B85" s="4" t="s">
        <v>3168</v>
      </c>
      <c r="C85" s="4" t="s">
        <v>32</v>
      </c>
      <c r="D85" s="4" t="s">
        <v>3000</v>
      </c>
      <c r="E85" s="4" t="s">
        <v>543</v>
      </c>
      <c r="F85" s="6" t="n">
        <v>45871</v>
      </c>
      <c r="G85" s="10" t="n">
        <v>78910</v>
      </c>
      <c r="H85" s="8" t="n">
        <v>3.7</v>
      </c>
      <c r="I85" s="4" t="s">
        <v>3001</v>
      </c>
    </row>
    <row r="86" customFormat="false" ht="15" hidden="false" customHeight="false" outlineLevel="0" collapsed="false">
      <c r="A86" s="4" t="s">
        <v>3169</v>
      </c>
      <c r="B86" s="4" t="s">
        <v>3170</v>
      </c>
      <c r="C86" s="4" t="s">
        <v>33</v>
      </c>
      <c r="D86" s="4" t="s">
        <v>3012</v>
      </c>
      <c r="E86" s="4" t="s">
        <v>550</v>
      </c>
      <c r="F86" s="6" t="n">
        <v>43962</v>
      </c>
      <c r="G86" s="10" t="n">
        <v>116628</v>
      </c>
      <c r="H86" s="8" t="n">
        <v>3.5</v>
      </c>
      <c r="I86" s="4" t="s">
        <v>3007</v>
      </c>
    </row>
    <row r="87" customFormat="false" ht="15" hidden="false" customHeight="false" outlineLevel="0" collapsed="false">
      <c r="A87" s="4" t="s">
        <v>3171</v>
      </c>
      <c r="B87" s="4" t="s">
        <v>3172</v>
      </c>
      <c r="C87" s="4" t="s">
        <v>29</v>
      </c>
      <c r="D87" s="4" t="s">
        <v>2997</v>
      </c>
      <c r="E87" s="4" t="s">
        <v>550</v>
      </c>
      <c r="F87" s="6" t="n">
        <v>42790</v>
      </c>
      <c r="G87" s="10" t="n">
        <v>92587</v>
      </c>
      <c r="H87" s="8" t="n">
        <v>2.8</v>
      </c>
      <c r="I87" s="4" t="s">
        <v>2994</v>
      </c>
    </row>
    <row r="88" customFormat="false" ht="15" hidden="false" customHeight="false" outlineLevel="0" collapsed="false">
      <c r="A88" s="4" t="s">
        <v>3173</v>
      </c>
      <c r="B88" s="4" t="s">
        <v>3174</v>
      </c>
      <c r="C88" s="4" t="s">
        <v>33</v>
      </c>
      <c r="D88" s="4" t="s">
        <v>2993</v>
      </c>
      <c r="E88" s="4" t="s">
        <v>465</v>
      </c>
      <c r="F88" s="6" t="n">
        <v>45812</v>
      </c>
      <c r="G88" s="10" t="n">
        <v>77751</v>
      </c>
      <c r="H88" s="8" t="n">
        <v>3.8</v>
      </c>
      <c r="I88" s="4" t="s">
        <v>2994</v>
      </c>
    </row>
    <row r="89" customFormat="false" ht="15" hidden="false" customHeight="false" outlineLevel="0" collapsed="false">
      <c r="A89" s="4" t="s">
        <v>3175</v>
      </c>
      <c r="B89" s="4" t="s">
        <v>3176</v>
      </c>
      <c r="C89" s="4" t="s">
        <v>29</v>
      </c>
      <c r="D89" s="4" t="s">
        <v>3000</v>
      </c>
      <c r="E89" s="4" t="s">
        <v>462</v>
      </c>
      <c r="F89" s="6" t="n">
        <v>44596</v>
      </c>
      <c r="G89" s="10" t="n">
        <v>127634</v>
      </c>
      <c r="H89" s="8" t="n">
        <v>4.3</v>
      </c>
      <c r="I89" s="4" t="s">
        <v>3007</v>
      </c>
    </row>
    <row r="90" customFormat="false" ht="15" hidden="false" customHeight="false" outlineLevel="0" collapsed="false">
      <c r="A90" s="4" t="s">
        <v>3177</v>
      </c>
      <c r="B90" s="4" t="s">
        <v>3178</v>
      </c>
      <c r="C90" s="4" t="s">
        <v>32</v>
      </c>
      <c r="D90" s="4" t="s">
        <v>3012</v>
      </c>
      <c r="E90" s="4" t="s">
        <v>495</v>
      </c>
      <c r="F90" s="6" t="n">
        <v>45641</v>
      </c>
      <c r="G90" s="10" t="n">
        <v>84794</v>
      </c>
      <c r="H90" s="8" t="n">
        <v>3.6</v>
      </c>
      <c r="I90" s="4" t="s">
        <v>3001</v>
      </c>
    </row>
    <row r="91" customFormat="false" ht="15" hidden="false" customHeight="false" outlineLevel="0" collapsed="false">
      <c r="A91" s="4" t="s">
        <v>3179</v>
      </c>
      <c r="B91" s="4" t="s">
        <v>3180</v>
      </c>
      <c r="C91" s="4" t="s">
        <v>23</v>
      </c>
      <c r="D91" s="4" t="s">
        <v>2993</v>
      </c>
      <c r="E91" s="4" t="s">
        <v>524</v>
      </c>
      <c r="F91" s="6" t="n">
        <v>44282</v>
      </c>
      <c r="G91" s="10" t="n">
        <v>179659</v>
      </c>
      <c r="H91" s="8" t="n">
        <v>2.8</v>
      </c>
      <c r="I91" s="4" t="s">
        <v>3001</v>
      </c>
    </row>
    <row r="92" customFormat="false" ht="15" hidden="false" customHeight="false" outlineLevel="0" collapsed="false">
      <c r="A92" s="4" t="s">
        <v>3181</v>
      </c>
      <c r="B92" s="4" t="s">
        <v>3182</v>
      </c>
      <c r="C92" s="4" t="s">
        <v>29</v>
      </c>
      <c r="D92" s="4" t="s">
        <v>3012</v>
      </c>
      <c r="E92" s="4" t="s">
        <v>475</v>
      </c>
      <c r="F92" s="6" t="n">
        <v>43632</v>
      </c>
      <c r="G92" s="10" t="n">
        <v>106418</v>
      </c>
      <c r="H92" s="8" t="n">
        <v>3</v>
      </c>
      <c r="I92" s="4" t="s">
        <v>3015</v>
      </c>
    </row>
    <row r="93" customFormat="false" ht="15" hidden="false" customHeight="false" outlineLevel="0" collapsed="false">
      <c r="A93" s="4" t="s">
        <v>3183</v>
      </c>
      <c r="B93" s="4" t="s">
        <v>3184</v>
      </c>
      <c r="C93" s="4" t="s">
        <v>32</v>
      </c>
      <c r="D93" s="4" t="s">
        <v>2993</v>
      </c>
      <c r="E93" s="4" t="s">
        <v>469</v>
      </c>
      <c r="F93" s="6" t="n">
        <v>45572</v>
      </c>
      <c r="G93" s="10" t="n">
        <v>116398</v>
      </c>
      <c r="H93" s="8" t="n">
        <v>3.7</v>
      </c>
      <c r="I93" s="4" t="s">
        <v>3004</v>
      </c>
    </row>
    <row r="94" customFormat="false" ht="15" hidden="false" customHeight="false" outlineLevel="0" collapsed="false">
      <c r="A94" s="4" t="s">
        <v>3185</v>
      </c>
      <c r="B94" s="4" t="s">
        <v>3186</v>
      </c>
      <c r="C94" s="4" t="s">
        <v>31</v>
      </c>
      <c r="D94" s="4" t="s">
        <v>3000</v>
      </c>
      <c r="E94" s="4" t="s">
        <v>543</v>
      </c>
      <c r="F94" s="6" t="n">
        <v>42959</v>
      </c>
      <c r="G94" s="10" t="n">
        <v>160295</v>
      </c>
      <c r="H94" s="8" t="n">
        <v>3.4</v>
      </c>
      <c r="I94" s="4" t="s">
        <v>3004</v>
      </c>
    </row>
    <row r="95" customFormat="false" ht="15" hidden="false" customHeight="false" outlineLevel="0" collapsed="false">
      <c r="A95" s="4" t="s">
        <v>3187</v>
      </c>
      <c r="B95" s="4" t="s">
        <v>3188</v>
      </c>
      <c r="C95" s="4" t="s">
        <v>17</v>
      </c>
      <c r="D95" s="4" t="s">
        <v>2986</v>
      </c>
      <c r="E95" s="4" t="s">
        <v>452</v>
      </c>
      <c r="F95" s="6" t="n">
        <v>43163</v>
      </c>
      <c r="G95" s="10" t="n">
        <v>65198</v>
      </c>
      <c r="H95" s="8" t="n">
        <v>3.4</v>
      </c>
      <c r="I95" s="4" t="s">
        <v>3007</v>
      </c>
    </row>
    <row r="96" customFormat="false" ht="15" hidden="false" customHeight="false" outlineLevel="0" collapsed="false">
      <c r="A96" s="4" t="s">
        <v>3189</v>
      </c>
      <c r="B96" s="4" t="s">
        <v>3190</v>
      </c>
      <c r="C96" s="4" t="s">
        <v>11</v>
      </c>
      <c r="D96" s="4" t="s">
        <v>3018</v>
      </c>
      <c r="E96" s="4" t="s">
        <v>495</v>
      </c>
      <c r="F96" s="6" t="n">
        <v>43402</v>
      </c>
      <c r="G96" s="10" t="n">
        <v>125984</v>
      </c>
      <c r="H96" s="8" t="n">
        <v>2.8</v>
      </c>
      <c r="I96" s="4" t="s">
        <v>3001</v>
      </c>
    </row>
    <row r="97" customFormat="false" ht="15" hidden="false" customHeight="false" outlineLevel="0" collapsed="false">
      <c r="A97" s="4" t="s">
        <v>3191</v>
      </c>
      <c r="B97" s="4" t="s">
        <v>3192</v>
      </c>
      <c r="C97" s="4" t="s">
        <v>32</v>
      </c>
      <c r="D97" s="4" t="s">
        <v>2993</v>
      </c>
      <c r="E97" s="4" t="s">
        <v>480</v>
      </c>
      <c r="F97" s="6" t="n">
        <v>44002</v>
      </c>
      <c r="G97" s="10" t="n">
        <v>79607</v>
      </c>
      <c r="H97" s="8" t="n">
        <v>3.9</v>
      </c>
      <c r="I97" s="4" t="s">
        <v>2994</v>
      </c>
    </row>
    <row r="98" customFormat="false" ht="15" hidden="false" customHeight="false" outlineLevel="0" collapsed="false">
      <c r="A98" s="4" t="s">
        <v>3193</v>
      </c>
      <c r="B98" s="4" t="s">
        <v>3194</v>
      </c>
      <c r="C98" s="4" t="s">
        <v>17</v>
      </c>
      <c r="D98" s="4" t="s">
        <v>2986</v>
      </c>
      <c r="E98" s="4" t="s">
        <v>452</v>
      </c>
      <c r="F98" s="6" t="n">
        <v>45071</v>
      </c>
      <c r="G98" s="10" t="n">
        <v>129029</v>
      </c>
      <c r="H98" s="8" t="n">
        <v>2.6</v>
      </c>
      <c r="I98" s="4" t="s">
        <v>3004</v>
      </c>
    </row>
    <row r="99" customFormat="false" ht="15" hidden="false" customHeight="false" outlineLevel="0" collapsed="false">
      <c r="A99" s="4" t="s">
        <v>3195</v>
      </c>
      <c r="B99" s="4" t="s">
        <v>3196</v>
      </c>
      <c r="C99" s="4" t="s">
        <v>11</v>
      </c>
      <c r="D99" s="4" t="s">
        <v>2993</v>
      </c>
      <c r="E99" s="4" t="s">
        <v>490</v>
      </c>
      <c r="F99" s="6" t="n">
        <v>43117</v>
      </c>
      <c r="G99" s="10" t="n">
        <v>178667</v>
      </c>
      <c r="H99" s="8" t="n">
        <v>3.3</v>
      </c>
      <c r="I99" s="4" t="s">
        <v>3007</v>
      </c>
    </row>
    <row r="100" customFormat="false" ht="15" hidden="false" customHeight="false" outlineLevel="0" collapsed="false">
      <c r="A100" s="4" t="s">
        <v>3197</v>
      </c>
      <c r="B100" s="4" t="s">
        <v>3198</v>
      </c>
      <c r="C100" s="4" t="s">
        <v>31</v>
      </c>
      <c r="D100" s="4" t="s">
        <v>2986</v>
      </c>
      <c r="E100" s="4" t="s">
        <v>449</v>
      </c>
      <c r="F100" s="6" t="n">
        <v>44784</v>
      </c>
      <c r="G100" s="10" t="n">
        <v>80543</v>
      </c>
      <c r="H100" s="8" t="n">
        <v>3.3</v>
      </c>
      <c r="I100" s="4" t="s">
        <v>3004</v>
      </c>
    </row>
    <row r="101" customFormat="false" ht="15" hidden="false" customHeight="false" outlineLevel="0" collapsed="false">
      <c r="A101" s="4" t="s">
        <v>3199</v>
      </c>
      <c r="B101" s="4" t="s">
        <v>3200</v>
      </c>
      <c r="C101" s="4" t="s">
        <v>33</v>
      </c>
      <c r="D101" s="4" t="s">
        <v>2986</v>
      </c>
      <c r="E101" s="4" t="s">
        <v>543</v>
      </c>
      <c r="F101" s="6" t="n">
        <v>45614</v>
      </c>
      <c r="G101" s="10" t="n">
        <v>143432</v>
      </c>
      <c r="H101" s="8" t="n">
        <v>2.7</v>
      </c>
      <c r="I101" s="4" t="s">
        <v>3004</v>
      </c>
    </row>
    <row r="102" customFormat="false" ht="15" hidden="false" customHeight="false" outlineLevel="0" collapsed="false">
      <c r="A102" s="4" t="s">
        <v>3201</v>
      </c>
      <c r="B102" s="4" t="s">
        <v>3202</v>
      </c>
      <c r="C102" s="4" t="s">
        <v>33</v>
      </c>
      <c r="D102" s="4" t="s">
        <v>3012</v>
      </c>
      <c r="E102" s="4" t="s">
        <v>452</v>
      </c>
      <c r="F102" s="6" t="n">
        <v>44792</v>
      </c>
      <c r="G102" s="10" t="n">
        <v>160839</v>
      </c>
      <c r="H102" s="8" t="n">
        <v>4.4</v>
      </c>
      <c r="I102" s="4" t="s">
        <v>2994</v>
      </c>
    </row>
    <row r="103" customFormat="false" ht="15" hidden="false" customHeight="false" outlineLevel="0" collapsed="false">
      <c r="A103" s="4" t="s">
        <v>3203</v>
      </c>
      <c r="B103" s="4" t="s">
        <v>3204</v>
      </c>
      <c r="C103" s="4" t="s">
        <v>32</v>
      </c>
      <c r="D103" s="4" t="s">
        <v>3000</v>
      </c>
      <c r="E103" s="4" t="s">
        <v>459</v>
      </c>
      <c r="F103" s="6" t="n">
        <v>45137</v>
      </c>
      <c r="G103" s="10" t="n">
        <v>168876</v>
      </c>
      <c r="H103" s="8" t="n">
        <v>4.6</v>
      </c>
      <c r="I103" s="4" t="s">
        <v>3007</v>
      </c>
    </row>
    <row r="104" customFormat="false" ht="15" hidden="false" customHeight="false" outlineLevel="0" collapsed="false">
      <c r="A104" s="4" t="s">
        <v>3205</v>
      </c>
      <c r="B104" s="4" t="s">
        <v>3206</v>
      </c>
      <c r="C104" s="4" t="s">
        <v>17</v>
      </c>
      <c r="D104" s="4" t="s">
        <v>3018</v>
      </c>
      <c r="E104" s="4" t="s">
        <v>462</v>
      </c>
      <c r="F104" s="6" t="n">
        <v>44632</v>
      </c>
      <c r="G104" s="10" t="n">
        <v>65322</v>
      </c>
      <c r="H104" s="8" t="n">
        <v>4.7</v>
      </c>
      <c r="I104" s="4" t="s">
        <v>2994</v>
      </c>
    </row>
    <row r="105" customFormat="false" ht="15" hidden="false" customHeight="false" outlineLevel="0" collapsed="false">
      <c r="A105" s="4" t="s">
        <v>3207</v>
      </c>
      <c r="B105" s="4" t="s">
        <v>3208</v>
      </c>
      <c r="C105" s="4" t="s">
        <v>33</v>
      </c>
      <c r="D105" s="4" t="s">
        <v>3018</v>
      </c>
      <c r="E105" s="4" t="s">
        <v>455</v>
      </c>
      <c r="F105" s="6" t="n">
        <v>43619</v>
      </c>
      <c r="G105" s="10" t="n">
        <v>160837</v>
      </c>
      <c r="H105" s="8" t="n">
        <v>4.2</v>
      </c>
      <c r="I105" s="4" t="s">
        <v>3001</v>
      </c>
    </row>
    <row r="106" customFormat="false" ht="15" hidden="false" customHeight="false" outlineLevel="0" collapsed="false">
      <c r="A106" s="4" t="s">
        <v>3209</v>
      </c>
      <c r="B106" s="4" t="s">
        <v>3210</v>
      </c>
      <c r="C106" s="4" t="s">
        <v>31</v>
      </c>
      <c r="D106" s="4" t="s">
        <v>2997</v>
      </c>
      <c r="E106" s="4" t="s">
        <v>543</v>
      </c>
      <c r="F106" s="6" t="n">
        <v>44790</v>
      </c>
      <c r="G106" s="10" t="n">
        <v>122672</v>
      </c>
      <c r="H106" s="8" t="n">
        <v>5</v>
      </c>
      <c r="I106" s="4" t="s">
        <v>3015</v>
      </c>
    </row>
    <row r="107" customFormat="false" ht="15" hidden="false" customHeight="false" outlineLevel="0" collapsed="false">
      <c r="A107" s="4" t="s">
        <v>3211</v>
      </c>
      <c r="B107" s="4" t="s">
        <v>3212</v>
      </c>
      <c r="C107" s="4" t="s">
        <v>33</v>
      </c>
      <c r="D107" s="4" t="s">
        <v>3012</v>
      </c>
      <c r="E107" s="4" t="s">
        <v>455</v>
      </c>
      <c r="F107" s="6" t="n">
        <v>45884</v>
      </c>
      <c r="G107" s="10" t="n">
        <v>99749</v>
      </c>
      <c r="H107" s="8" t="n">
        <v>3.6</v>
      </c>
      <c r="I107" s="4" t="s">
        <v>3001</v>
      </c>
    </row>
    <row r="108" customFormat="false" ht="15" hidden="false" customHeight="false" outlineLevel="0" collapsed="false">
      <c r="A108" s="4" t="s">
        <v>3213</v>
      </c>
      <c r="B108" s="4" t="s">
        <v>3214</v>
      </c>
      <c r="C108" s="4" t="s">
        <v>23</v>
      </c>
      <c r="D108" s="4" t="s">
        <v>2986</v>
      </c>
      <c r="E108" s="4" t="s">
        <v>490</v>
      </c>
      <c r="F108" s="6" t="n">
        <v>45289</v>
      </c>
      <c r="G108" s="10" t="n">
        <v>167191</v>
      </c>
      <c r="H108" s="8" t="n">
        <v>4.9</v>
      </c>
      <c r="I108" s="4" t="s">
        <v>2994</v>
      </c>
    </row>
    <row r="109" customFormat="false" ht="15" hidden="false" customHeight="false" outlineLevel="0" collapsed="false">
      <c r="A109" s="4" t="s">
        <v>3215</v>
      </c>
      <c r="B109" s="4" t="s">
        <v>3216</v>
      </c>
      <c r="C109" s="4" t="s">
        <v>33</v>
      </c>
      <c r="D109" s="4" t="s">
        <v>2997</v>
      </c>
      <c r="E109" s="4" t="s">
        <v>449</v>
      </c>
      <c r="F109" s="6" t="n">
        <v>43715</v>
      </c>
      <c r="G109" s="10" t="n">
        <v>82370</v>
      </c>
      <c r="H109" s="8" t="n">
        <v>5</v>
      </c>
      <c r="I109" s="4" t="s">
        <v>3015</v>
      </c>
    </row>
    <row r="110" customFormat="false" ht="15" hidden="false" customHeight="false" outlineLevel="0" collapsed="false">
      <c r="A110" s="4" t="s">
        <v>3217</v>
      </c>
      <c r="B110" s="4" t="s">
        <v>3218</v>
      </c>
      <c r="C110" s="4" t="s">
        <v>11</v>
      </c>
      <c r="D110" s="4" t="s">
        <v>3018</v>
      </c>
      <c r="E110" s="4" t="s">
        <v>465</v>
      </c>
      <c r="F110" s="6" t="n">
        <v>45307</v>
      </c>
      <c r="G110" s="10" t="n">
        <v>120211</v>
      </c>
      <c r="H110" s="8" t="n">
        <v>2.7</v>
      </c>
      <c r="I110" s="4" t="s">
        <v>2994</v>
      </c>
    </row>
    <row r="111" customFormat="false" ht="15" hidden="false" customHeight="false" outlineLevel="0" collapsed="false">
      <c r="A111" s="4" t="s">
        <v>3219</v>
      </c>
      <c r="B111" s="4" t="s">
        <v>3220</v>
      </c>
      <c r="C111" s="4" t="s">
        <v>17</v>
      </c>
      <c r="D111" s="4" t="s">
        <v>2986</v>
      </c>
      <c r="E111" s="4" t="s">
        <v>524</v>
      </c>
      <c r="F111" s="6" t="n">
        <v>46002</v>
      </c>
      <c r="G111" s="10" t="n">
        <v>157425</v>
      </c>
      <c r="H111" s="8" t="n">
        <v>4.7</v>
      </c>
      <c r="I111" s="4" t="s">
        <v>3004</v>
      </c>
    </row>
    <row r="112" customFormat="false" ht="15" hidden="false" customHeight="false" outlineLevel="0" collapsed="false">
      <c r="A112" s="4" t="s">
        <v>3221</v>
      </c>
      <c r="B112" s="4" t="s">
        <v>3222</v>
      </c>
      <c r="C112" s="4" t="s">
        <v>11</v>
      </c>
      <c r="D112" s="4" t="s">
        <v>3000</v>
      </c>
      <c r="E112" s="4" t="s">
        <v>490</v>
      </c>
      <c r="F112" s="6" t="n">
        <v>43431</v>
      </c>
      <c r="G112" s="10" t="n">
        <v>177428</v>
      </c>
      <c r="H112" s="8" t="n">
        <v>3.2</v>
      </c>
      <c r="I112" s="4" t="s">
        <v>2994</v>
      </c>
    </row>
    <row r="113" customFormat="false" ht="15" hidden="false" customHeight="false" outlineLevel="0" collapsed="false">
      <c r="A113" s="4" t="s">
        <v>3223</v>
      </c>
      <c r="B113" s="4" t="s">
        <v>3224</v>
      </c>
      <c r="C113" s="4" t="s">
        <v>23</v>
      </c>
      <c r="D113" s="4" t="s">
        <v>3012</v>
      </c>
      <c r="E113" s="4" t="s">
        <v>490</v>
      </c>
      <c r="F113" s="6" t="n">
        <v>44183</v>
      </c>
      <c r="G113" s="10" t="n">
        <v>66695</v>
      </c>
      <c r="H113" s="8" t="n">
        <v>2.7</v>
      </c>
      <c r="I113" s="4" t="s">
        <v>3004</v>
      </c>
    </row>
    <row r="114" customFormat="false" ht="15" hidden="false" customHeight="false" outlineLevel="0" collapsed="false">
      <c r="A114" s="4" t="s">
        <v>3225</v>
      </c>
      <c r="B114" s="4" t="s">
        <v>3226</v>
      </c>
      <c r="C114" s="4" t="s">
        <v>23</v>
      </c>
      <c r="D114" s="4" t="s">
        <v>3000</v>
      </c>
      <c r="E114" s="4" t="s">
        <v>495</v>
      </c>
      <c r="F114" s="6" t="n">
        <v>45861</v>
      </c>
      <c r="G114" s="10" t="n">
        <v>169905</v>
      </c>
      <c r="H114" s="8" t="n">
        <v>3.6</v>
      </c>
      <c r="I114" s="4" t="s">
        <v>3001</v>
      </c>
    </row>
    <row r="115" customFormat="false" ht="15" hidden="false" customHeight="false" outlineLevel="0" collapsed="false">
      <c r="A115" s="4" t="s">
        <v>3227</v>
      </c>
      <c r="B115" s="4" t="s">
        <v>3228</v>
      </c>
      <c r="C115" s="4" t="s">
        <v>11</v>
      </c>
      <c r="D115" s="4" t="s">
        <v>3012</v>
      </c>
      <c r="E115" s="4" t="s">
        <v>459</v>
      </c>
      <c r="F115" s="6" t="n">
        <v>42898</v>
      </c>
      <c r="G115" s="10" t="n">
        <v>102641</v>
      </c>
      <c r="H115" s="8" t="n">
        <v>4.6</v>
      </c>
      <c r="I115" s="4" t="s">
        <v>3004</v>
      </c>
    </row>
    <row r="116" customFormat="false" ht="15" hidden="false" customHeight="false" outlineLevel="0" collapsed="false">
      <c r="A116" s="4" t="s">
        <v>3229</v>
      </c>
      <c r="B116" s="4" t="s">
        <v>3230</v>
      </c>
      <c r="C116" s="4" t="s">
        <v>29</v>
      </c>
      <c r="D116" s="4" t="s">
        <v>3012</v>
      </c>
      <c r="E116" s="4" t="s">
        <v>455</v>
      </c>
      <c r="F116" s="6" t="n">
        <v>45523</v>
      </c>
      <c r="G116" s="10" t="n">
        <v>71906</v>
      </c>
      <c r="H116" s="8" t="n">
        <v>3.6</v>
      </c>
      <c r="I116" s="4" t="s">
        <v>3015</v>
      </c>
    </row>
    <row r="117" customFormat="false" ht="15" hidden="false" customHeight="false" outlineLevel="0" collapsed="false">
      <c r="A117" s="4" t="s">
        <v>3231</v>
      </c>
      <c r="B117" s="4" t="s">
        <v>3232</v>
      </c>
      <c r="C117" s="4" t="s">
        <v>31</v>
      </c>
      <c r="D117" s="4" t="s">
        <v>3012</v>
      </c>
      <c r="E117" s="4" t="s">
        <v>490</v>
      </c>
      <c r="F117" s="6" t="n">
        <v>44266</v>
      </c>
      <c r="G117" s="10" t="n">
        <v>65943</v>
      </c>
      <c r="H117" s="8" t="n">
        <v>4.2</v>
      </c>
      <c r="I117" s="4" t="s">
        <v>3015</v>
      </c>
    </row>
    <row r="118" customFormat="false" ht="15" hidden="false" customHeight="false" outlineLevel="0" collapsed="false">
      <c r="A118" s="4" t="s">
        <v>3233</v>
      </c>
      <c r="B118" s="4" t="s">
        <v>3234</v>
      </c>
      <c r="C118" s="4" t="s">
        <v>29</v>
      </c>
      <c r="D118" s="4" t="s">
        <v>2986</v>
      </c>
      <c r="E118" s="4" t="s">
        <v>455</v>
      </c>
      <c r="F118" s="6" t="n">
        <v>45531</v>
      </c>
      <c r="G118" s="10" t="n">
        <v>60593</v>
      </c>
      <c r="H118" s="8" t="n">
        <v>4.1</v>
      </c>
      <c r="I118" s="4" t="s">
        <v>2994</v>
      </c>
    </row>
    <row r="119" customFormat="false" ht="15" hidden="false" customHeight="false" outlineLevel="0" collapsed="false">
      <c r="A119" s="4" t="s">
        <v>3235</v>
      </c>
      <c r="B119" s="4" t="s">
        <v>3236</v>
      </c>
      <c r="C119" s="4" t="s">
        <v>33</v>
      </c>
      <c r="D119" s="4" t="s">
        <v>3018</v>
      </c>
      <c r="E119" s="4" t="s">
        <v>550</v>
      </c>
      <c r="F119" s="6" t="n">
        <v>45033</v>
      </c>
      <c r="G119" s="10" t="n">
        <v>56041</v>
      </c>
      <c r="H119" s="8" t="n">
        <v>2.9</v>
      </c>
      <c r="I119" s="4" t="s">
        <v>2994</v>
      </c>
    </row>
    <row r="120" customFormat="false" ht="15" hidden="false" customHeight="false" outlineLevel="0" collapsed="false">
      <c r="A120" s="4" t="s">
        <v>3237</v>
      </c>
      <c r="B120" s="4" t="s">
        <v>3238</v>
      </c>
      <c r="C120" s="4" t="s">
        <v>23</v>
      </c>
      <c r="D120" s="4" t="s">
        <v>3000</v>
      </c>
      <c r="E120" s="4" t="s">
        <v>543</v>
      </c>
      <c r="F120" s="6" t="n">
        <v>45071</v>
      </c>
      <c r="G120" s="10" t="n">
        <v>107334</v>
      </c>
      <c r="H120" s="8" t="n">
        <v>4.6</v>
      </c>
      <c r="I120" s="4" t="s">
        <v>3001</v>
      </c>
    </row>
    <row r="121" customFormat="false" ht="15" hidden="false" customHeight="false" outlineLevel="0" collapsed="false">
      <c r="A121" s="4" t="s">
        <v>3239</v>
      </c>
      <c r="B121" s="4" t="s">
        <v>3240</v>
      </c>
      <c r="C121" s="4" t="s">
        <v>29</v>
      </c>
      <c r="D121" s="4" t="s">
        <v>3000</v>
      </c>
      <c r="E121" s="4" t="s">
        <v>462</v>
      </c>
      <c r="F121" s="6" t="n">
        <v>43118</v>
      </c>
      <c r="G121" s="10" t="n">
        <v>100735</v>
      </c>
      <c r="H121" s="8" t="n">
        <v>3.7</v>
      </c>
      <c r="I121" s="4" t="s">
        <v>3015</v>
      </c>
    </row>
    <row r="122" customFormat="false" ht="15" hidden="false" customHeight="false" outlineLevel="0" collapsed="false">
      <c r="A122" s="4" t="s">
        <v>3241</v>
      </c>
      <c r="B122" s="4" t="s">
        <v>3242</v>
      </c>
      <c r="C122" s="4" t="s">
        <v>31</v>
      </c>
      <c r="D122" s="4" t="s">
        <v>3000</v>
      </c>
      <c r="E122" s="4" t="s">
        <v>452</v>
      </c>
      <c r="F122" s="6" t="n">
        <v>43087</v>
      </c>
      <c r="G122" s="10" t="n">
        <v>78628</v>
      </c>
      <c r="H122" s="8" t="n">
        <v>4.3</v>
      </c>
      <c r="I122" s="4" t="s">
        <v>3004</v>
      </c>
    </row>
    <row r="123" customFormat="false" ht="15" hidden="false" customHeight="false" outlineLevel="0" collapsed="false">
      <c r="A123" s="4" t="s">
        <v>3243</v>
      </c>
      <c r="B123" s="4" t="s">
        <v>3244</v>
      </c>
      <c r="C123" s="4" t="s">
        <v>31</v>
      </c>
      <c r="D123" s="4" t="s">
        <v>3000</v>
      </c>
      <c r="E123" s="4" t="s">
        <v>472</v>
      </c>
      <c r="F123" s="6" t="n">
        <v>44380</v>
      </c>
      <c r="G123" s="10" t="n">
        <v>98086</v>
      </c>
      <c r="H123" s="8" t="n">
        <v>2.7</v>
      </c>
      <c r="I123" s="4" t="s">
        <v>3007</v>
      </c>
    </row>
    <row r="124" customFormat="false" ht="15" hidden="false" customHeight="false" outlineLevel="0" collapsed="false">
      <c r="A124" s="4" t="s">
        <v>3245</v>
      </c>
      <c r="B124" s="4" t="s">
        <v>3246</v>
      </c>
      <c r="C124" s="4" t="s">
        <v>32</v>
      </c>
      <c r="D124" s="4" t="s">
        <v>3000</v>
      </c>
      <c r="E124" s="4" t="s">
        <v>472</v>
      </c>
      <c r="F124" s="6" t="n">
        <v>45612</v>
      </c>
      <c r="G124" s="10" t="n">
        <v>152161</v>
      </c>
      <c r="H124" s="8" t="n">
        <v>3.7</v>
      </c>
      <c r="I124" s="4" t="s">
        <v>3007</v>
      </c>
    </row>
    <row r="125" customFormat="false" ht="15" hidden="false" customHeight="false" outlineLevel="0" collapsed="false">
      <c r="A125" s="4" t="s">
        <v>3247</v>
      </c>
      <c r="B125" s="4" t="s">
        <v>3248</v>
      </c>
      <c r="C125" s="4" t="s">
        <v>29</v>
      </c>
      <c r="D125" s="4" t="s">
        <v>2993</v>
      </c>
      <c r="E125" s="4" t="s">
        <v>524</v>
      </c>
      <c r="F125" s="6" t="n">
        <v>43373</v>
      </c>
      <c r="G125" s="10" t="n">
        <v>179326</v>
      </c>
      <c r="H125" s="8" t="n">
        <v>3.7</v>
      </c>
      <c r="I125" s="4" t="s">
        <v>3001</v>
      </c>
    </row>
    <row r="126" customFormat="false" ht="15" hidden="false" customHeight="false" outlineLevel="0" collapsed="false">
      <c r="A126" s="4" t="s">
        <v>3249</v>
      </c>
      <c r="B126" s="4" t="s">
        <v>3250</v>
      </c>
      <c r="C126" s="4" t="s">
        <v>23</v>
      </c>
      <c r="D126" s="4" t="s">
        <v>3012</v>
      </c>
      <c r="E126" s="4" t="s">
        <v>475</v>
      </c>
      <c r="F126" s="6" t="n">
        <v>45198</v>
      </c>
      <c r="G126" s="10" t="n">
        <v>156476</v>
      </c>
      <c r="H126" s="8" t="n">
        <v>3.5</v>
      </c>
      <c r="I126" s="4" t="s">
        <v>3007</v>
      </c>
    </row>
    <row r="127" customFormat="false" ht="15" hidden="false" customHeight="false" outlineLevel="0" collapsed="false">
      <c r="A127" s="4" t="s">
        <v>3251</v>
      </c>
      <c r="B127" s="4" t="s">
        <v>3252</v>
      </c>
      <c r="C127" s="4" t="s">
        <v>31</v>
      </c>
      <c r="D127" s="4" t="s">
        <v>3000</v>
      </c>
      <c r="E127" s="4" t="s">
        <v>459</v>
      </c>
      <c r="F127" s="6" t="n">
        <v>43610</v>
      </c>
      <c r="G127" s="10" t="n">
        <v>62088</v>
      </c>
      <c r="H127" s="8" t="n">
        <v>3</v>
      </c>
      <c r="I127" s="4" t="s">
        <v>2994</v>
      </c>
    </row>
    <row r="128" customFormat="false" ht="15" hidden="false" customHeight="false" outlineLevel="0" collapsed="false">
      <c r="A128" s="4" t="s">
        <v>3253</v>
      </c>
      <c r="B128" s="4" t="s">
        <v>3254</v>
      </c>
      <c r="C128" s="4" t="s">
        <v>31</v>
      </c>
      <c r="D128" s="4" t="s">
        <v>2997</v>
      </c>
      <c r="E128" s="4" t="s">
        <v>449</v>
      </c>
      <c r="F128" s="6" t="n">
        <v>43841</v>
      </c>
      <c r="G128" s="10" t="n">
        <v>88039</v>
      </c>
      <c r="H128" s="8" t="n">
        <v>4.1</v>
      </c>
      <c r="I128" s="4" t="s">
        <v>2994</v>
      </c>
    </row>
    <row r="129" customFormat="false" ht="15" hidden="false" customHeight="false" outlineLevel="0" collapsed="false">
      <c r="A129" s="4" t="s">
        <v>3255</v>
      </c>
      <c r="B129" s="4" t="s">
        <v>3256</v>
      </c>
      <c r="C129" s="4" t="s">
        <v>17</v>
      </c>
      <c r="D129" s="4" t="s">
        <v>2993</v>
      </c>
      <c r="E129" s="4" t="s">
        <v>495</v>
      </c>
      <c r="F129" s="6" t="n">
        <v>44395</v>
      </c>
      <c r="G129" s="10" t="n">
        <v>65709</v>
      </c>
      <c r="H129" s="8" t="n">
        <v>3.2</v>
      </c>
      <c r="I129" s="4" t="s">
        <v>3004</v>
      </c>
    </row>
    <row r="130" customFormat="false" ht="15" hidden="false" customHeight="false" outlineLevel="0" collapsed="false">
      <c r="A130" s="4" t="s">
        <v>3257</v>
      </c>
      <c r="B130" s="4" t="s">
        <v>3258</v>
      </c>
      <c r="C130" s="4" t="s">
        <v>31</v>
      </c>
      <c r="D130" s="4" t="s">
        <v>3000</v>
      </c>
      <c r="E130" s="4" t="s">
        <v>524</v>
      </c>
      <c r="F130" s="6" t="n">
        <v>43612</v>
      </c>
      <c r="G130" s="10" t="n">
        <v>142771</v>
      </c>
      <c r="H130" s="8" t="n">
        <v>4.7</v>
      </c>
      <c r="I130" s="4" t="s">
        <v>3001</v>
      </c>
    </row>
    <row r="131" customFormat="false" ht="15" hidden="false" customHeight="false" outlineLevel="0" collapsed="false">
      <c r="A131" s="4" t="s">
        <v>3259</v>
      </c>
      <c r="B131" s="4" t="s">
        <v>3260</v>
      </c>
      <c r="C131" s="4" t="s">
        <v>31</v>
      </c>
      <c r="D131" s="4" t="s">
        <v>2993</v>
      </c>
      <c r="E131" s="4" t="s">
        <v>452</v>
      </c>
      <c r="F131" s="6" t="n">
        <v>44491</v>
      </c>
      <c r="G131" s="10" t="n">
        <v>99829</v>
      </c>
      <c r="H131" s="8" t="n">
        <v>4.9</v>
      </c>
      <c r="I131" s="4" t="s">
        <v>3007</v>
      </c>
    </row>
    <row r="132" customFormat="false" ht="15" hidden="false" customHeight="false" outlineLevel="0" collapsed="false">
      <c r="A132" s="4" t="s">
        <v>3261</v>
      </c>
      <c r="B132" s="4" t="s">
        <v>3262</v>
      </c>
      <c r="C132" s="4" t="s">
        <v>17</v>
      </c>
      <c r="D132" s="4" t="s">
        <v>3018</v>
      </c>
      <c r="E132" s="4" t="s">
        <v>490</v>
      </c>
      <c r="F132" s="6" t="n">
        <v>44452</v>
      </c>
      <c r="G132" s="10" t="n">
        <v>118127</v>
      </c>
      <c r="H132" s="8" t="n">
        <v>3.7</v>
      </c>
      <c r="I132" s="4" t="s">
        <v>3001</v>
      </c>
    </row>
    <row r="133" customFormat="false" ht="15" hidden="false" customHeight="false" outlineLevel="0" collapsed="false">
      <c r="A133" s="4" t="s">
        <v>3263</v>
      </c>
      <c r="B133" s="4" t="s">
        <v>3264</v>
      </c>
      <c r="C133" s="4" t="s">
        <v>33</v>
      </c>
      <c r="D133" s="4" t="s">
        <v>3000</v>
      </c>
      <c r="E133" s="4" t="s">
        <v>490</v>
      </c>
      <c r="F133" s="6" t="n">
        <v>45574</v>
      </c>
      <c r="G133" s="10" t="n">
        <v>129752</v>
      </c>
      <c r="H133" s="8" t="n">
        <v>3.5</v>
      </c>
      <c r="I133" s="4" t="s">
        <v>2994</v>
      </c>
    </row>
    <row r="134" customFormat="false" ht="15" hidden="false" customHeight="false" outlineLevel="0" collapsed="false">
      <c r="A134" s="4" t="s">
        <v>3265</v>
      </c>
      <c r="B134" s="4" t="s">
        <v>3266</v>
      </c>
      <c r="C134" s="4" t="s">
        <v>32</v>
      </c>
      <c r="D134" s="4" t="s">
        <v>3012</v>
      </c>
      <c r="E134" s="4" t="s">
        <v>472</v>
      </c>
      <c r="F134" s="6" t="n">
        <v>43054</v>
      </c>
      <c r="G134" s="10" t="n">
        <v>149728</v>
      </c>
      <c r="H134" s="8" t="n">
        <v>4.2</v>
      </c>
      <c r="I134" s="4" t="s">
        <v>3015</v>
      </c>
    </row>
    <row r="135" customFormat="false" ht="15" hidden="false" customHeight="false" outlineLevel="0" collapsed="false">
      <c r="A135" s="4" t="s">
        <v>3267</v>
      </c>
      <c r="B135" s="4" t="s">
        <v>3268</v>
      </c>
      <c r="C135" s="4" t="s">
        <v>17</v>
      </c>
      <c r="D135" s="4" t="s">
        <v>2986</v>
      </c>
      <c r="E135" s="4" t="s">
        <v>462</v>
      </c>
      <c r="F135" s="6" t="n">
        <v>45743</v>
      </c>
      <c r="G135" s="10" t="n">
        <v>152365</v>
      </c>
      <c r="H135" s="8" t="n">
        <v>4.6</v>
      </c>
      <c r="I135" s="4" t="s">
        <v>3007</v>
      </c>
    </row>
    <row r="136" customFormat="false" ht="15" hidden="false" customHeight="false" outlineLevel="0" collapsed="false">
      <c r="A136" s="4" t="s">
        <v>3269</v>
      </c>
      <c r="B136" s="4" t="s">
        <v>3270</v>
      </c>
      <c r="C136" s="4" t="s">
        <v>11</v>
      </c>
      <c r="D136" s="4" t="s">
        <v>3018</v>
      </c>
      <c r="E136" s="4" t="s">
        <v>455</v>
      </c>
      <c r="F136" s="6" t="n">
        <v>44614</v>
      </c>
      <c r="G136" s="10" t="n">
        <v>177397</v>
      </c>
      <c r="H136" s="8" t="n">
        <v>2.9</v>
      </c>
      <c r="I136" s="4" t="s">
        <v>3007</v>
      </c>
    </row>
    <row r="137" customFormat="false" ht="15" hidden="false" customHeight="false" outlineLevel="0" collapsed="false">
      <c r="A137" s="4" t="s">
        <v>3271</v>
      </c>
      <c r="B137" s="4" t="s">
        <v>3272</v>
      </c>
      <c r="C137" s="4" t="s">
        <v>11</v>
      </c>
      <c r="D137" s="4" t="s">
        <v>2997</v>
      </c>
      <c r="E137" s="4" t="s">
        <v>449</v>
      </c>
      <c r="F137" s="6" t="n">
        <v>43812</v>
      </c>
      <c r="G137" s="10" t="n">
        <v>123248</v>
      </c>
      <c r="H137" s="8" t="n">
        <v>4.3</v>
      </c>
      <c r="I137" s="4" t="s">
        <v>3004</v>
      </c>
    </row>
    <row r="138" customFormat="false" ht="15" hidden="false" customHeight="false" outlineLevel="0" collapsed="false">
      <c r="A138" s="4" t="s">
        <v>3273</v>
      </c>
      <c r="B138" s="4" t="s">
        <v>3274</v>
      </c>
      <c r="C138" s="4" t="s">
        <v>31</v>
      </c>
      <c r="D138" s="4" t="s">
        <v>3018</v>
      </c>
      <c r="E138" s="4" t="s">
        <v>462</v>
      </c>
      <c r="F138" s="6" t="n">
        <v>44576</v>
      </c>
      <c r="G138" s="10" t="n">
        <v>138744</v>
      </c>
      <c r="H138" s="8" t="n">
        <v>4.9</v>
      </c>
      <c r="I138" s="4" t="s">
        <v>2994</v>
      </c>
    </row>
    <row r="139" customFormat="false" ht="15" hidden="false" customHeight="false" outlineLevel="0" collapsed="false">
      <c r="A139" s="4" t="s">
        <v>3275</v>
      </c>
      <c r="B139" s="4" t="s">
        <v>3276</v>
      </c>
      <c r="C139" s="4" t="s">
        <v>11</v>
      </c>
      <c r="D139" s="4" t="s">
        <v>3018</v>
      </c>
      <c r="E139" s="4" t="s">
        <v>550</v>
      </c>
      <c r="F139" s="6" t="n">
        <v>43504</v>
      </c>
      <c r="G139" s="10" t="n">
        <v>110073</v>
      </c>
      <c r="H139" s="8" t="n">
        <v>4.2</v>
      </c>
      <c r="I139" s="4" t="s">
        <v>3001</v>
      </c>
    </row>
    <row r="140" customFormat="false" ht="15" hidden="false" customHeight="false" outlineLevel="0" collapsed="false">
      <c r="A140" s="4" t="s">
        <v>3277</v>
      </c>
      <c r="B140" s="4" t="s">
        <v>3278</v>
      </c>
      <c r="C140" s="4" t="s">
        <v>32</v>
      </c>
      <c r="D140" s="4" t="s">
        <v>3000</v>
      </c>
      <c r="E140" s="4" t="s">
        <v>472</v>
      </c>
      <c r="F140" s="6" t="n">
        <v>44161</v>
      </c>
      <c r="G140" s="10" t="n">
        <v>82494</v>
      </c>
      <c r="H140" s="8" t="n">
        <v>4.9</v>
      </c>
      <c r="I140" s="4" t="s">
        <v>3015</v>
      </c>
    </row>
    <row r="141" customFormat="false" ht="15" hidden="false" customHeight="false" outlineLevel="0" collapsed="false">
      <c r="A141" s="4" t="s">
        <v>3279</v>
      </c>
      <c r="B141" s="4" t="s">
        <v>3280</v>
      </c>
      <c r="C141" s="4" t="s">
        <v>11</v>
      </c>
      <c r="D141" s="4" t="s">
        <v>2986</v>
      </c>
      <c r="E141" s="4" t="s">
        <v>469</v>
      </c>
      <c r="F141" s="6" t="n">
        <v>44226</v>
      </c>
      <c r="G141" s="10" t="n">
        <v>57122</v>
      </c>
      <c r="H141" s="8" t="n">
        <v>3.3</v>
      </c>
      <c r="I141" s="4" t="s">
        <v>3007</v>
      </c>
    </row>
    <row r="142" customFormat="false" ht="15" hidden="false" customHeight="false" outlineLevel="0" collapsed="false">
      <c r="A142" s="4" t="s">
        <v>3281</v>
      </c>
      <c r="B142" s="4" t="s">
        <v>3282</v>
      </c>
      <c r="C142" s="4" t="s">
        <v>32</v>
      </c>
      <c r="D142" s="4" t="s">
        <v>2993</v>
      </c>
      <c r="E142" s="4" t="s">
        <v>550</v>
      </c>
      <c r="F142" s="6" t="n">
        <v>44780</v>
      </c>
      <c r="G142" s="10" t="n">
        <v>140054</v>
      </c>
      <c r="H142" s="8" t="n">
        <v>5</v>
      </c>
      <c r="I142" s="4" t="s">
        <v>3004</v>
      </c>
    </row>
    <row r="143" customFormat="false" ht="15" hidden="false" customHeight="false" outlineLevel="0" collapsed="false">
      <c r="A143" s="4" t="s">
        <v>3283</v>
      </c>
      <c r="B143" s="4" t="s">
        <v>3284</v>
      </c>
      <c r="C143" s="4" t="s">
        <v>29</v>
      </c>
      <c r="D143" s="4" t="s">
        <v>2986</v>
      </c>
      <c r="E143" s="4" t="s">
        <v>490</v>
      </c>
      <c r="F143" s="6" t="n">
        <v>44957</v>
      </c>
      <c r="G143" s="10" t="n">
        <v>110816</v>
      </c>
      <c r="H143" s="8" t="n">
        <v>3.8</v>
      </c>
      <c r="I143" s="4" t="s">
        <v>3007</v>
      </c>
    </row>
    <row r="144" customFormat="false" ht="15" hidden="false" customHeight="false" outlineLevel="0" collapsed="false">
      <c r="A144" s="4" t="s">
        <v>3285</v>
      </c>
      <c r="B144" s="4" t="s">
        <v>3286</v>
      </c>
      <c r="C144" s="4" t="s">
        <v>11</v>
      </c>
      <c r="D144" s="4" t="s">
        <v>3018</v>
      </c>
      <c r="E144" s="4" t="s">
        <v>459</v>
      </c>
      <c r="F144" s="6" t="n">
        <v>44490</v>
      </c>
      <c r="G144" s="10" t="n">
        <v>103905</v>
      </c>
      <c r="H144" s="8" t="n">
        <v>2.9</v>
      </c>
      <c r="I144" s="4" t="s">
        <v>3015</v>
      </c>
    </row>
    <row r="145" customFormat="false" ht="15" hidden="false" customHeight="false" outlineLevel="0" collapsed="false">
      <c r="A145" s="4" t="s">
        <v>3287</v>
      </c>
      <c r="B145" s="4" t="s">
        <v>3288</v>
      </c>
      <c r="C145" s="4" t="s">
        <v>17</v>
      </c>
      <c r="D145" s="4" t="s">
        <v>3012</v>
      </c>
      <c r="E145" s="4" t="s">
        <v>449</v>
      </c>
      <c r="F145" s="6" t="n">
        <v>44298</v>
      </c>
      <c r="G145" s="10" t="n">
        <v>92359</v>
      </c>
      <c r="H145" s="8" t="n">
        <v>4.6</v>
      </c>
      <c r="I145" s="4" t="s">
        <v>3004</v>
      </c>
    </row>
    <row r="146" customFormat="false" ht="15" hidden="false" customHeight="false" outlineLevel="0" collapsed="false">
      <c r="A146" s="4" t="s">
        <v>3289</v>
      </c>
      <c r="B146" s="4" t="s">
        <v>3290</v>
      </c>
      <c r="C146" s="4" t="s">
        <v>33</v>
      </c>
      <c r="D146" s="4" t="s">
        <v>2986</v>
      </c>
      <c r="E146" s="4" t="s">
        <v>550</v>
      </c>
      <c r="F146" s="6" t="n">
        <v>45277</v>
      </c>
      <c r="G146" s="10" t="n">
        <v>177932</v>
      </c>
      <c r="H146" s="8" t="n">
        <v>4.8</v>
      </c>
      <c r="I146" s="4" t="s">
        <v>2994</v>
      </c>
    </row>
    <row r="147" customFormat="false" ht="15" hidden="false" customHeight="false" outlineLevel="0" collapsed="false">
      <c r="A147" s="4" t="s">
        <v>3291</v>
      </c>
      <c r="B147" s="4" t="s">
        <v>3292</v>
      </c>
      <c r="C147" s="4" t="s">
        <v>11</v>
      </c>
      <c r="D147" s="4" t="s">
        <v>2993</v>
      </c>
      <c r="E147" s="4" t="s">
        <v>452</v>
      </c>
      <c r="F147" s="6" t="n">
        <v>45396</v>
      </c>
      <c r="G147" s="10" t="n">
        <v>57153</v>
      </c>
      <c r="H147" s="8" t="n">
        <v>4</v>
      </c>
      <c r="I147" s="4" t="s">
        <v>3004</v>
      </c>
    </row>
    <row r="148" customFormat="false" ht="15" hidden="false" customHeight="false" outlineLevel="0" collapsed="false">
      <c r="A148" s="4" t="s">
        <v>3293</v>
      </c>
      <c r="B148" s="4" t="s">
        <v>3294</v>
      </c>
      <c r="C148" s="4" t="s">
        <v>11</v>
      </c>
      <c r="D148" s="4" t="s">
        <v>3000</v>
      </c>
      <c r="E148" s="4" t="s">
        <v>550</v>
      </c>
      <c r="F148" s="6" t="n">
        <v>45815</v>
      </c>
      <c r="G148" s="10" t="n">
        <v>136766</v>
      </c>
      <c r="H148" s="8" t="n">
        <v>4.8</v>
      </c>
      <c r="I148" s="4" t="s">
        <v>2994</v>
      </c>
    </row>
    <row r="149" customFormat="false" ht="15" hidden="false" customHeight="false" outlineLevel="0" collapsed="false">
      <c r="A149" s="4" t="s">
        <v>3295</v>
      </c>
      <c r="B149" s="4" t="s">
        <v>3296</v>
      </c>
      <c r="C149" s="4" t="s">
        <v>33</v>
      </c>
      <c r="D149" s="4" t="s">
        <v>3000</v>
      </c>
      <c r="E149" s="4" t="s">
        <v>524</v>
      </c>
      <c r="F149" s="6" t="n">
        <v>45116</v>
      </c>
      <c r="G149" s="10" t="n">
        <v>160627</v>
      </c>
      <c r="H149" s="8" t="n">
        <v>2.6</v>
      </c>
      <c r="I149" s="4" t="s">
        <v>3007</v>
      </c>
    </row>
    <row r="150" customFormat="false" ht="15" hidden="false" customHeight="false" outlineLevel="0" collapsed="false">
      <c r="A150" s="4" t="s">
        <v>3297</v>
      </c>
      <c r="B150" s="4" t="s">
        <v>3298</v>
      </c>
      <c r="C150" s="4" t="s">
        <v>31</v>
      </c>
      <c r="D150" s="4" t="s">
        <v>3000</v>
      </c>
      <c r="E150" s="4" t="s">
        <v>472</v>
      </c>
      <c r="F150" s="6" t="n">
        <v>43648</v>
      </c>
      <c r="G150" s="10" t="n">
        <v>156827</v>
      </c>
      <c r="H150" s="8" t="n">
        <v>3.6</v>
      </c>
      <c r="I150" s="4" t="s">
        <v>3004</v>
      </c>
    </row>
    <row r="151" customFormat="false" ht="15" hidden="false" customHeight="false" outlineLevel="0" collapsed="false">
      <c r="A151" s="4" t="s">
        <v>3299</v>
      </c>
      <c r="B151" s="4" t="s">
        <v>3300</v>
      </c>
      <c r="C151" s="4" t="s">
        <v>11</v>
      </c>
      <c r="D151" s="4" t="s">
        <v>3018</v>
      </c>
      <c r="E151" s="4" t="s">
        <v>469</v>
      </c>
      <c r="F151" s="6" t="n">
        <v>44659</v>
      </c>
      <c r="G151" s="10" t="n">
        <v>179590</v>
      </c>
      <c r="H151" s="8" t="n">
        <v>2.8</v>
      </c>
      <c r="I151" s="4" t="s">
        <v>3004</v>
      </c>
    </row>
    <row r="152" customFormat="false" ht="15" hidden="false" customHeight="false" outlineLevel="0" collapsed="false">
      <c r="A152" s="4" t="s">
        <v>3301</v>
      </c>
      <c r="B152" s="4" t="s">
        <v>3302</v>
      </c>
      <c r="C152" s="4" t="s">
        <v>29</v>
      </c>
      <c r="D152" s="4" t="s">
        <v>2997</v>
      </c>
      <c r="E152" s="4" t="s">
        <v>550</v>
      </c>
      <c r="F152" s="6" t="n">
        <v>45949</v>
      </c>
      <c r="G152" s="10" t="n">
        <v>152144</v>
      </c>
      <c r="H152" s="8" t="n">
        <v>3.5</v>
      </c>
      <c r="I152" s="4" t="s">
        <v>3007</v>
      </c>
    </row>
    <row r="153" customFormat="false" ht="15" hidden="false" customHeight="false" outlineLevel="0" collapsed="false">
      <c r="A153" s="4" t="s">
        <v>3303</v>
      </c>
      <c r="B153" s="4" t="s">
        <v>3304</v>
      </c>
      <c r="C153" s="4" t="s">
        <v>31</v>
      </c>
      <c r="D153" s="4" t="s">
        <v>3018</v>
      </c>
      <c r="E153" s="4" t="s">
        <v>524</v>
      </c>
      <c r="F153" s="6" t="n">
        <v>43897</v>
      </c>
      <c r="G153" s="10" t="n">
        <v>90076</v>
      </c>
      <c r="H153" s="8" t="n">
        <v>4.7</v>
      </c>
      <c r="I153" s="4" t="s">
        <v>3007</v>
      </c>
    </row>
    <row r="154" customFormat="false" ht="15" hidden="false" customHeight="false" outlineLevel="0" collapsed="false">
      <c r="A154" s="4" t="s">
        <v>3305</v>
      </c>
      <c r="B154" s="4" t="s">
        <v>3306</v>
      </c>
      <c r="C154" s="4" t="s">
        <v>23</v>
      </c>
      <c r="D154" s="4" t="s">
        <v>3000</v>
      </c>
      <c r="E154" s="4" t="s">
        <v>462</v>
      </c>
      <c r="F154" s="6" t="n">
        <v>43725</v>
      </c>
      <c r="G154" s="10" t="n">
        <v>55544</v>
      </c>
      <c r="H154" s="8" t="n">
        <v>4.8</v>
      </c>
      <c r="I154" s="4" t="s">
        <v>3004</v>
      </c>
    </row>
    <row r="155" customFormat="false" ht="15" hidden="false" customHeight="false" outlineLevel="0" collapsed="false">
      <c r="A155" s="4" t="s">
        <v>3307</v>
      </c>
      <c r="B155" s="4" t="s">
        <v>3308</v>
      </c>
      <c r="C155" s="4" t="s">
        <v>11</v>
      </c>
      <c r="D155" s="4" t="s">
        <v>2993</v>
      </c>
      <c r="E155" s="4" t="s">
        <v>475</v>
      </c>
      <c r="F155" s="6" t="n">
        <v>43364</v>
      </c>
      <c r="G155" s="10" t="n">
        <v>158613</v>
      </c>
      <c r="H155" s="8" t="n">
        <v>3.4</v>
      </c>
      <c r="I155" s="4" t="s">
        <v>3015</v>
      </c>
    </row>
    <row r="156" customFormat="false" ht="15" hidden="false" customHeight="false" outlineLevel="0" collapsed="false">
      <c r="A156" s="4" t="s">
        <v>3309</v>
      </c>
      <c r="B156" s="4" t="s">
        <v>3310</v>
      </c>
      <c r="C156" s="4" t="s">
        <v>31</v>
      </c>
      <c r="D156" s="4" t="s">
        <v>2997</v>
      </c>
      <c r="E156" s="4" t="s">
        <v>465</v>
      </c>
      <c r="F156" s="6" t="n">
        <v>44036</v>
      </c>
      <c r="G156" s="10" t="n">
        <v>98920</v>
      </c>
      <c r="H156" s="8" t="n">
        <v>2.9</v>
      </c>
      <c r="I156" s="4" t="s">
        <v>3015</v>
      </c>
    </row>
    <row r="157" customFormat="false" ht="15" hidden="false" customHeight="false" outlineLevel="0" collapsed="false">
      <c r="A157" s="4" t="s">
        <v>3311</v>
      </c>
      <c r="B157" s="4" t="s">
        <v>3312</v>
      </c>
      <c r="C157" s="4" t="s">
        <v>29</v>
      </c>
      <c r="D157" s="4" t="s">
        <v>3018</v>
      </c>
      <c r="E157" s="4" t="s">
        <v>524</v>
      </c>
      <c r="F157" s="6" t="n">
        <v>44339</v>
      </c>
      <c r="G157" s="10" t="n">
        <v>80252</v>
      </c>
      <c r="H157" s="8" t="n">
        <v>4</v>
      </c>
      <c r="I157" s="4" t="s">
        <v>3004</v>
      </c>
    </row>
    <row r="158" customFormat="false" ht="15" hidden="false" customHeight="false" outlineLevel="0" collapsed="false">
      <c r="A158" s="4" t="s">
        <v>3313</v>
      </c>
      <c r="B158" s="4" t="s">
        <v>3314</v>
      </c>
      <c r="C158" s="4" t="s">
        <v>31</v>
      </c>
      <c r="D158" s="4" t="s">
        <v>2993</v>
      </c>
      <c r="E158" s="4" t="s">
        <v>480</v>
      </c>
      <c r="F158" s="6" t="n">
        <v>45102</v>
      </c>
      <c r="G158" s="10" t="n">
        <v>111243</v>
      </c>
      <c r="H158" s="8" t="n">
        <v>2.8</v>
      </c>
      <c r="I158" s="4" t="s">
        <v>3004</v>
      </c>
    </row>
    <row r="159" customFormat="false" ht="15" hidden="false" customHeight="false" outlineLevel="0" collapsed="false">
      <c r="A159" s="4" t="s">
        <v>3315</v>
      </c>
      <c r="B159" s="4" t="s">
        <v>3316</v>
      </c>
      <c r="C159" s="4" t="s">
        <v>33</v>
      </c>
      <c r="D159" s="4" t="s">
        <v>3018</v>
      </c>
      <c r="E159" s="4" t="s">
        <v>449</v>
      </c>
      <c r="F159" s="6" t="n">
        <v>44039</v>
      </c>
      <c r="G159" s="10" t="n">
        <v>122800</v>
      </c>
      <c r="H159" s="8" t="n">
        <v>2.9</v>
      </c>
      <c r="I159" s="4" t="s">
        <v>3001</v>
      </c>
    </row>
    <row r="160" customFormat="false" ht="15" hidden="false" customHeight="false" outlineLevel="0" collapsed="false">
      <c r="A160" s="4" t="s">
        <v>3317</v>
      </c>
      <c r="B160" s="4" t="s">
        <v>3318</v>
      </c>
      <c r="C160" s="4" t="s">
        <v>11</v>
      </c>
      <c r="D160" s="4" t="s">
        <v>2997</v>
      </c>
      <c r="E160" s="4" t="s">
        <v>480</v>
      </c>
      <c r="F160" s="6" t="n">
        <v>43253</v>
      </c>
      <c r="G160" s="10" t="n">
        <v>121093</v>
      </c>
      <c r="H160" s="8" t="n">
        <v>2.8</v>
      </c>
      <c r="I160" s="4" t="s">
        <v>3015</v>
      </c>
    </row>
    <row r="161" customFormat="false" ht="15" hidden="false" customHeight="false" outlineLevel="0" collapsed="false">
      <c r="A161" s="4" t="s">
        <v>3319</v>
      </c>
      <c r="B161" s="4" t="s">
        <v>3320</v>
      </c>
      <c r="C161" s="4" t="s">
        <v>31</v>
      </c>
      <c r="D161" s="4" t="s">
        <v>3000</v>
      </c>
      <c r="E161" s="4" t="s">
        <v>469</v>
      </c>
      <c r="F161" s="6" t="n">
        <v>45857</v>
      </c>
      <c r="G161" s="10" t="n">
        <v>137223</v>
      </c>
      <c r="H161" s="8" t="n">
        <v>4.8</v>
      </c>
      <c r="I161" s="4" t="s">
        <v>3015</v>
      </c>
    </row>
    <row r="162" customFormat="false" ht="15" hidden="false" customHeight="false" outlineLevel="0" collapsed="false">
      <c r="A162" s="4" t="s">
        <v>3321</v>
      </c>
      <c r="B162" s="4" t="s">
        <v>3322</v>
      </c>
      <c r="C162" s="4" t="s">
        <v>17</v>
      </c>
      <c r="D162" s="4" t="s">
        <v>2986</v>
      </c>
      <c r="E162" s="4" t="s">
        <v>472</v>
      </c>
      <c r="F162" s="6" t="n">
        <v>43117</v>
      </c>
      <c r="G162" s="10" t="n">
        <v>67224</v>
      </c>
      <c r="H162" s="8" t="n">
        <v>2.6</v>
      </c>
      <c r="I162" s="4" t="s">
        <v>2994</v>
      </c>
    </row>
    <row r="163" customFormat="false" ht="15" hidden="false" customHeight="false" outlineLevel="0" collapsed="false">
      <c r="A163" s="4" t="s">
        <v>3323</v>
      </c>
      <c r="B163" s="4" t="s">
        <v>3324</v>
      </c>
      <c r="C163" s="4" t="s">
        <v>33</v>
      </c>
      <c r="D163" s="4" t="s">
        <v>3012</v>
      </c>
      <c r="E163" s="4" t="s">
        <v>543</v>
      </c>
      <c r="F163" s="6" t="n">
        <v>42849</v>
      </c>
      <c r="G163" s="10" t="n">
        <v>136015</v>
      </c>
      <c r="H163" s="8" t="n">
        <v>4.3</v>
      </c>
      <c r="I163" s="4" t="s">
        <v>2994</v>
      </c>
    </row>
    <row r="164" customFormat="false" ht="15" hidden="false" customHeight="false" outlineLevel="0" collapsed="false">
      <c r="A164" s="4" t="s">
        <v>3325</v>
      </c>
      <c r="B164" s="4" t="s">
        <v>3326</v>
      </c>
      <c r="C164" s="4" t="s">
        <v>32</v>
      </c>
      <c r="D164" s="4" t="s">
        <v>3000</v>
      </c>
      <c r="E164" s="4" t="s">
        <v>475</v>
      </c>
      <c r="F164" s="6" t="n">
        <v>45776</v>
      </c>
      <c r="G164" s="10" t="n">
        <v>151229</v>
      </c>
      <c r="H164" s="8" t="n">
        <v>2.8</v>
      </c>
      <c r="I164" s="4" t="s">
        <v>3004</v>
      </c>
    </row>
    <row r="165" customFormat="false" ht="15" hidden="false" customHeight="false" outlineLevel="0" collapsed="false">
      <c r="A165" s="4" t="s">
        <v>3327</v>
      </c>
      <c r="B165" s="4" t="s">
        <v>3328</v>
      </c>
      <c r="C165" s="4" t="s">
        <v>33</v>
      </c>
      <c r="D165" s="4" t="s">
        <v>2997</v>
      </c>
      <c r="E165" s="4" t="s">
        <v>480</v>
      </c>
      <c r="F165" s="6" t="n">
        <v>44202</v>
      </c>
      <c r="G165" s="10" t="n">
        <v>79452</v>
      </c>
      <c r="H165" s="8" t="n">
        <v>3.1</v>
      </c>
      <c r="I165" s="4" t="s">
        <v>3001</v>
      </c>
    </row>
    <row r="166" customFormat="false" ht="15" hidden="false" customHeight="false" outlineLevel="0" collapsed="false">
      <c r="A166" s="4" t="s">
        <v>3329</v>
      </c>
      <c r="B166" s="4" t="s">
        <v>3330</v>
      </c>
      <c r="C166" s="4" t="s">
        <v>23</v>
      </c>
      <c r="D166" s="4" t="s">
        <v>3018</v>
      </c>
      <c r="E166" s="4" t="s">
        <v>524</v>
      </c>
      <c r="F166" s="6" t="n">
        <v>43740</v>
      </c>
      <c r="G166" s="10" t="n">
        <v>150199</v>
      </c>
      <c r="H166" s="8" t="n">
        <v>4.5</v>
      </c>
      <c r="I166" s="4" t="s">
        <v>3004</v>
      </c>
    </row>
    <row r="167" customFormat="false" ht="15" hidden="false" customHeight="false" outlineLevel="0" collapsed="false">
      <c r="A167" s="4" t="s">
        <v>3331</v>
      </c>
      <c r="B167" s="4" t="s">
        <v>3332</v>
      </c>
      <c r="C167" s="4" t="s">
        <v>31</v>
      </c>
      <c r="D167" s="4" t="s">
        <v>2986</v>
      </c>
      <c r="E167" s="4" t="s">
        <v>462</v>
      </c>
      <c r="F167" s="6" t="n">
        <v>42947</v>
      </c>
      <c r="G167" s="10" t="n">
        <v>91040</v>
      </c>
      <c r="H167" s="8" t="n">
        <v>2.7</v>
      </c>
      <c r="I167" s="4" t="s">
        <v>3001</v>
      </c>
    </row>
    <row r="168" customFormat="false" ht="15" hidden="false" customHeight="false" outlineLevel="0" collapsed="false">
      <c r="A168" s="4" t="s">
        <v>3333</v>
      </c>
      <c r="B168" s="4" t="s">
        <v>3334</v>
      </c>
      <c r="C168" s="4" t="s">
        <v>33</v>
      </c>
      <c r="D168" s="4" t="s">
        <v>2993</v>
      </c>
      <c r="E168" s="4" t="s">
        <v>462</v>
      </c>
      <c r="F168" s="6" t="n">
        <v>45109</v>
      </c>
      <c r="G168" s="10" t="n">
        <v>168631</v>
      </c>
      <c r="H168" s="8" t="n">
        <v>2.8</v>
      </c>
      <c r="I168" s="4" t="s">
        <v>3004</v>
      </c>
    </row>
    <row r="169" customFormat="false" ht="15" hidden="false" customHeight="false" outlineLevel="0" collapsed="false">
      <c r="A169" s="4" t="s">
        <v>3335</v>
      </c>
      <c r="B169" s="4" t="s">
        <v>3336</v>
      </c>
      <c r="C169" s="4" t="s">
        <v>32</v>
      </c>
      <c r="D169" s="4" t="s">
        <v>2993</v>
      </c>
      <c r="E169" s="4" t="s">
        <v>452</v>
      </c>
      <c r="F169" s="6" t="n">
        <v>43316</v>
      </c>
      <c r="G169" s="10" t="n">
        <v>92022</v>
      </c>
      <c r="H169" s="8" t="n">
        <v>3.2</v>
      </c>
      <c r="I169" s="4" t="s">
        <v>3001</v>
      </c>
    </row>
    <row r="170" customFormat="false" ht="15" hidden="false" customHeight="false" outlineLevel="0" collapsed="false">
      <c r="A170" s="4" t="s">
        <v>3337</v>
      </c>
      <c r="B170" s="4" t="s">
        <v>3338</v>
      </c>
      <c r="C170" s="4" t="s">
        <v>11</v>
      </c>
      <c r="D170" s="4" t="s">
        <v>2993</v>
      </c>
      <c r="E170" s="4" t="s">
        <v>459</v>
      </c>
      <c r="F170" s="6" t="n">
        <v>44216</v>
      </c>
      <c r="G170" s="10" t="n">
        <v>174631</v>
      </c>
      <c r="H170" s="8" t="n">
        <v>4.6</v>
      </c>
      <c r="I170" s="4" t="s">
        <v>3004</v>
      </c>
    </row>
    <row r="171" customFormat="false" ht="15" hidden="false" customHeight="false" outlineLevel="0" collapsed="false">
      <c r="A171" s="4" t="s">
        <v>3339</v>
      </c>
      <c r="B171" s="4" t="s">
        <v>3340</v>
      </c>
      <c r="C171" s="4" t="s">
        <v>11</v>
      </c>
      <c r="D171" s="4" t="s">
        <v>3000</v>
      </c>
      <c r="E171" s="4" t="s">
        <v>480</v>
      </c>
      <c r="F171" s="6" t="n">
        <v>42825</v>
      </c>
      <c r="G171" s="10" t="n">
        <v>109230</v>
      </c>
      <c r="H171" s="8" t="n">
        <v>2.7</v>
      </c>
      <c r="I171" s="4" t="s">
        <v>2994</v>
      </c>
    </row>
    <row r="172" customFormat="false" ht="15" hidden="false" customHeight="false" outlineLevel="0" collapsed="false">
      <c r="A172" s="4" t="s">
        <v>3341</v>
      </c>
      <c r="B172" s="4" t="s">
        <v>3342</v>
      </c>
      <c r="C172" s="4" t="s">
        <v>17</v>
      </c>
      <c r="D172" s="4" t="s">
        <v>2997</v>
      </c>
      <c r="E172" s="4" t="s">
        <v>449</v>
      </c>
      <c r="F172" s="6" t="n">
        <v>44273</v>
      </c>
      <c r="G172" s="10" t="n">
        <v>171616</v>
      </c>
      <c r="H172" s="8" t="n">
        <v>3.3</v>
      </c>
      <c r="I172" s="4" t="s">
        <v>3004</v>
      </c>
    </row>
    <row r="173" customFormat="false" ht="15" hidden="false" customHeight="false" outlineLevel="0" collapsed="false">
      <c r="A173" s="4" t="s">
        <v>3343</v>
      </c>
      <c r="B173" s="4" t="s">
        <v>3344</v>
      </c>
      <c r="C173" s="4" t="s">
        <v>31</v>
      </c>
      <c r="D173" s="4" t="s">
        <v>3018</v>
      </c>
      <c r="E173" s="4" t="s">
        <v>543</v>
      </c>
      <c r="F173" s="6" t="n">
        <v>43959</v>
      </c>
      <c r="G173" s="10" t="n">
        <v>56329</v>
      </c>
      <c r="H173" s="8" t="n">
        <v>4.8</v>
      </c>
      <c r="I173" s="4" t="s">
        <v>3015</v>
      </c>
    </row>
    <row r="174" customFormat="false" ht="15" hidden="false" customHeight="false" outlineLevel="0" collapsed="false">
      <c r="A174" s="4" t="s">
        <v>3345</v>
      </c>
      <c r="B174" s="4" t="s">
        <v>3346</v>
      </c>
      <c r="C174" s="4" t="s">
        <v>33</v>
      </c>
      <c r="D174" s="4" t="s">
        <v>3012</v>
      </c>
      <c r="E174" s="4" t="s">
        <v>469</v>
      </c>
      <c r="F174" s="6" t="n">
        <v>42864</v>
      </c>
      <c r="G174" s="10" t="n">
        <v>70362</v>
      </c>
      <c r="H174" s="8" t="n">
        <v>4.9</v>
      </c>
      <c r="I174" s="4" t="s">
        <v>3007</v>
      </c>
    </row>
    <row r="175" customFormat="false" ht="15" hidden="false" customHeight="false" outlineLevel="0" collapsed="false">
      <c r="A175" s="4" t="s">
        <v>3347</v>
      </c>
      <c r="B175" s="4" t="s">
        <v>3348</v>
      </c>
      <c r="C175" s="4" t="s">
        <v>29</v>
      </c>
      <c r="D175" s="4" t="s">
        <v>3012</v>
      </c>
      <c r="E175" s="4" t="s">
        <v>465</v>
      </c>
      <c r="F175" s="6" t="n">
        <v>44974</v>
      </c>
      <c r="G175" s="10" t="n">
        <v>55657</v>
      </c>
      <c r="H175" s="8" t="n">
        <v>2.9</v>
      </c>
      <c r="I175" s="4" t="s">
        <v>3007</v>
      </c>
    </row>
    <row r="176" customFormat="false" ht="15" hidden="false" customHeight="false" outlineLevel="0" collapsed="false">
      <c r="A176" s="4" t="s">
        <v>3349</v>
      </c>
      <c r="B176" s="4" t="s">
        <v>3350</v>
      </c>
      <c r="C176" s="4" t="s">
        <v>11</v>
      </c>
      <c r="D176" s="4" t="s">
        <v>3018</v>
      </c>
      <c r="E176" s="4" t="s">
        <v>465</v>
      </c>
      <c r="F176" s="6" t="n">
        <v>42857</v>
      </c>
      <c r="G176" s="10" t="n">
        <v>125248</v>
      </c>
      <c r="H176" s="8" t="n">
        <v>2.6</v>
      </c>
      <c r="I176" s="4" t="s">
        <v>3015</v>
      </c>
    </row>
    <row r="177" customFormat="false" ht="15" hidden="false" customHeight="false" outlineLevel="0" collapsed="false">
      <c r="A177" s="4" t="s">
        <v>3351</v>
      </c>
      <c r="B177" s="4" t="s">
        <v>3352</v>
      </c>
      <c r="C177" s="4" t="s">
        <v>31</v>
      </c>
      <c r="D177" s="4" t="s">
        <v>3018</v>
      </c>
      <c r="E177" s="4" t="s">
        <v>472</v>
      </c>
      <c r="F177" s="6" t="n">
        <v>44230</v>
      </c>
      <c r="G177" s="10" t="n">
        <v>70045</v>
      </c>
      <c r="H177" s="8" t="n">
        <v>4.7</v>
      </c>
      <c r="I177" s="4" t="s">
        <v>2994</v>
      </c>
    </row>
    <row r="178" customFormat="false" ht="15" hidden="false" customHeight="false" outlineLevel="0" collapsed="false">
      <c r="A178" s="4" t="s">
        <v>3353</v>
      </c>
      <c r="B178" s="4" t="s">
        <v>3354</v>
      </c>
      <c r="C178" s="4" t="s">
        <v>23</v>
      </c>
      <c r="D178" s="4" t="s">
        <v>3018</v>
      </c>
      <c r="E178" s="4" t="s">
        <v>472</v>
      </c>
      <c r="F178" s="6" t="n">
        <v>43077</v>
      </c>
      <c r="G178" s="10" t="n">
        <v>150386</v>
      </c>
      <c r="H178" s="8" t="n">
        <v>4.2</v>
      </c>
      <c r="I178" s="4" t="s">
        <v>3001</v>
      </c>
    </row>
    <row r="179" customFormat="false" ht="15" hidden="false" customHeight="false" outlineLevel="0" collapsed="false">
      <c r="A179" s="4" t="s">
        <v>3355</v>
      </c>
      <c r="B179" s="4" t="s">
        <v>3356</v>
      </c>
      <c r="C179" s="4" t="s">
        <v>23</v>
      </c>
      <c r="D179" s="4" t="s">
        <v>2986</v>
      </c>
      <c r="E179" s="4" t="s">
        <v>459</v>
      </c>
      <c r="F179" s="6" t="n">
        <v>43552</v>
      </c>
      <c r="G179" s="10" t="n">
        <v>179941</v>
      </c>
      <c r="H179" s="8" t="n">
        <v>2.7</v>
      </c>
      <c r="I179" s="4" t="s">
        <v>3015</v>
      </c>
    </row>
    <row r="180" customFormat="false" ht="15" hidden="false" customHeight="false" outlineLevel="0" collapsed="false">
      <c r="A180" s="4" t="s">
        <v>3357</v>
      </c>
      <c r="B180" s="4" t="s">
        <v>3358</v>
      </c>
      <c r="C180" s="4" t="s">
        <v>33</v>
      </c>
      <c r="D180" s="4" t="s">
        <v>2986</v>
      </c>
      <c r="E180" s="4" t="s">
        <v>459</v>
      </c>
      <c r="F180" s="6" t="n">
        <v>45788</v>
      </c>
      <c r="G180" s="10" t="n">
        <v>161038</v>
      </c>
      <c r="H180" s="8" t="n">
        <v>3.7</v>
      </c>
      <c r="I180" s="4" t="s">
        <v>3015</v>
      </c>
    </row>
    <row r="181" customFormat="false" ht="15" hidden="false" customHeight="false" outlineLevel="0" collapsed="false">
      <c r="A181" s="4" t="s">
        <v>3359</v>
      </c>
      <c r="B181" s="4" t="s">
        <v>3360</v>
      </c>
      <c r="C181" s="4" t="s">
        <v>29</v>
      </c>
      <c r="D181" s="4" t="s">
        <v>3018</v>
      </c>
      <c r="E181" s="4" t="s">
        <v>495</v>
      </c>
      <c r="F181" s="6" t="n">
        <v>43444</v>
      </c>
      <c r="G181" s="10" t="n">
        <v>80936</v>
      </c>
      <c r="H181" s="8" t="n">
        <v>4.2</v>
      </c>
      <c r="I181" s="4" t="s">
        <v>3007</v>
      </c>
    </row>
    <row r="182" customFormat="false" ht="15" hidden="false" customHeight="false" outlineLevel="0" collapsed="false">
      <c r="A182" s="4" t="s">
        <v>3361</v>
      </c>
      <c r="B182" s="4" t="s">
        <v>3362</v>
      </c>
      <c r="C182" s="4" t="s">
        <v>29</v>
      </c>
      <c r="D182" s="4" t="s">
        <v>2993</v>
      </c>
      <c r="E182" s="4" t="s">
        <v>465</v>
      </c>
      <c r="F182" s="6" t="n">
        <v>45984</v>
      </c>
      <c r="G182" s="10" t="n">
        <v>155459</v>
      </c>
      <c r="H182" s="8" t="n">
        <v>4</v>
      </c>
      <c r="I182" s="4" t="s">
        <v>3001</v>
      </c>
    </row>
    <row r="183" customFormat="false" ht="15" hidden="false" customHeight="false" outlineLevel="0" collapsed="false">
      <c r="A183" s="4" t="s">
        <v>3363</v>
      </c>
      <c r="B183" s="4" t="s">
        <v>3364</v>
      </c>
      <c r="C183" s="4" t="s">
        <v>31</v>
      </c>
      <c r="D183" s="4" t="s">
        <v>3018</v>
      </c>
      <c r="E183" s="4" t="s">
        <v>550</v>
      </c>
      <c r="F183" s="6" t="n">
        <v>44734</v>
      </c>
      <c r="G183" s="10" t="n">
        <v>111815</v>
      </c>
      <c r="H183" s="8" t="n">
        <v>4.7</v>
      </c>
      <c r="I183" s="4" t="s">
        <v>3004</v>
      </c>
    </row>
    <row r="184" customFormat="false" ht="15" hidden="false" customHeight="false" outlineLevel="0" collapsed="false">
      <c r="A184" s="4" t="s">
        <v>3365</v>
      </c>
      <c r="B184" s="4" t="s">
        <v>3366</v>
      </c>
      <c r="C184" s="4" t="s">
        <v>32</v>
      </c>
      <c r="D184" s="4" t="s">
        <v>2997</v>
      </c>
      <c r="E184" s="4" t="s">
        <v>495</v>
      </c>
      <c r="F184" s="6" t="n">
        <v>44041</v>
      </c>
      <c r="G184" s="10" t="n">
        <v>136646</v>
      </c>
      <c r="H184" s="8" t="n">
        <v>2.8</v>
      </c>
      <c r="I184" s="4" t="s">
        <v>3004</v>
      </c>
    </row>
    <row r="185" customFormat="false" ht="15" hidden="false" customHeight="false" outlineLevel="0" collapsed="false">
      <c r="A185" s="4" t="s">
        <v>3367</v>
      </c>
      <c r="B185" s="4" t="s">
        <v>3368</v>
      </c>
      <c r="C185" s="4" t="s">
        <v>29</v>
      </c>
      <c r="D185" s="4" t="s">
        <v>3018</v>
      </c>
      <c r="E185" s="4" t="s">
        <v>465</v>
      </c>
      <c r="F185" s="6" t="n">
        <v>44181</v>
      </c>
      <c r="G185" s="10" t="n">
        <v>104015</v>
      </c>
      <c r="H185" s="8" t="n">
        <v>4.7</v>
      </c>
      <c r="I185" s="4" t="s">
        <v>2994</v>
      </c>
    </row>
    <row r="186" customFormat="false" ht="15" hidden="false" customHeight="false" outlineLevel="0" collapsed="false">
      <c r="A186" s="4" t="s">
        <v>3369</v>
      </c>
      <c r="B186" s="4" t="s">
        <v>3370</v>
      </c>
      <c r="C186" s="4" t="s">
        <v>29</v>
      </c>
      <c r="D186" s="4" t="s">
        <v>3018</v>
      </c>
      <c r="E186" s="4" t="s">
        <v>455</v>
      </c>
      <c r="F186" s="6" t="n">
        <v>42874</v>
      </c>
      <c r="G186" s="10" t="n">
        <v>122024</v>
      </c>
      <c r="H186" s="8" t="n">
        <v>3.1</v>
      </c>
      <c r="I186" s="4" t="s">
        <v>3004</v>
      </c>
    </row>
    <row r="187" customFormat="false" ht="15" hidden="false" customHeight="false" outlineLevel="0" collapsed="false">
      <c r="A187" s="4" t="s">
        <v>3371</v>
      </c>
      <c r="B187" s="4" t="s">
        <v>3372</v>
      </c>
      <c r="C187" s="4" t="s">
        <v>23</v>
      </c>
      <c r="D187" s="4" t="s">
        <v>3012</v>
      </c>
      <c r="E187" s="4" t="s">
        <v>469</v>
      </c>
      <c r="F187" s="6" t="n">
        <v>45378</v>
      </c>
      <c r="G187" s="10" t="n">
        <v>179567</v>
      </c>
      <c r="H187" s="8" t="n">
        <v>4.9</v>
      </c>
      <c r="I187" s="4" t="s">
        <v>3007</v>
      </c>
    </row>
    <row r="188" customFormat="false" ht="15" hidden="false" customHeight="false" outlineLevel="0" collapsed="false">
      <c r="A188" s="4" t="s">
        <v>3373</v>
      </c>
      <c r="B188" s="4" t="s">
        <v>3374</v>
      </c>
      <c r="C188" s="4" t="s">
        <v>29</v>
      </c>
      <c r="D188" s="4" t="s">
        <v>2993</v>
      </c>
      <c r="E188" s="4" t="s">
        <v>452</v>
      </c>
      <c r="F188" s="6" t="n">
        <v>43472</v>
      </c>
      <c r="G188" s="10" t="n">
        <v>161042</v>
      </c>
      <c r="H188" s="8" t="n">
        <v>3.3</v>
      </c>
      <c r="I188" s="4" t="s">
        <v>3001</v>
      </c>
    </row>
    <row r="189" customFormat="false" ht="15" hidden="false" customHeight="false" outlineLevel="0" collapsed="false">
      <c r="A189" s="4" t="s">
        <v>3375</v>
      </c>
      <c r="B189" s="4" t="s">
        <v>3376</v>
      </c>
      <c r="C189" s="4" t="s">
        <v>23</v>
      </c>
      <c r="D189" s="4" t="s">
        <v>3018</v>
      </c>
      <c r="E189" s="4" t="s">
        <v>452</v>
      </c>
      <c r="F189" s="6" t="n">
        <v>43617</v>
      </c>
      <c r="G189" s="10" t="n">
        <v>141108</v>
      </c>
      <c r="H189" s="8" t="n">
        <v>3.4</v>
      </c>
      <c r="I189" s="4" t="s">
        <v>3001</v>
      </c>
    </row>
    <row r="190" customFormat="false" ht="15" hidden="false" customHeight="false" outlineLevel="0" collapsed="false">
      <c r="A190" s="4" t="s">
        <v>3377</v>
      </c>
      <c r="B190" s="4" t="s">
        <v>3378</v>
      </c>
      <c r="C190" s="4" t="s">
        <v>31</v>
      </c>
      <c r="D190" s="4" t="s">
        <v>2986</v>
      </c>
      <c r="E190" s="4" t="s">
        <v>452</v>
      </c>
      <c r="F190" s="6" t="n">
        <v>42775</v>
      </c>
      <c r="G190" s="10" t="n">
        <v>96758</v>
      </c>
      <c r="H190" s="8" t="n">
        <v>4.2</v>
      </c>
      <c r="I190" s="4" t="s">
        <v>3007</v>
      </c>
    </row>
    <row r="191" customFormat="false" ht="15" hidden="false" customHeight="false" outlineLevel="0" collapsed="false">
      <c r="A191" s="4" t="s">
        <v>3379</v>
      </c>
      <c r="B191" s="4" t="s">
        <v>3380</v>
      </c>
      <c r="C191" s="4" t="s">
        <v>17</v>
      </c>
      <c r="D191" s="4" t="s">
        <v>3000</v>
      </c>
      <c r="E191" s="4" t="s">
        <v>465</v>
      </c>
      <c r="F191" s="6" t="n">
        <v>45993</v>
      </c>
      <c r="G191" s="10" t="n">
        <v>97147</v>
      </c>
      <c r="H191" s="8" t="n">
        <v>4.7</v>
      </c>
      <c r="I191" s="4" t="s">
        <v>3015</v>
      </c>
    </row>
    <row r="192" customFormat="false" ht="15" hidden="false" customHeight="false" outlineLevel="0" collapsed="false">
      <c r="A192" s="4" t="s">
        <v>3381</v>
      </c>
      <c r="B192" s="4" t="s">
        <v>3382</v>
      </c>
      <c r="C192" s="4" t="s">
        <v>11</v>
      </c>
      <c r="D192" s="4" t="s">
        <v>3000</v>
      </c>
      <c r="E192" s="4" t="s">
        <v>495</v>
      </c>
      <c r="F192" s="6" t="n">
        <v>45200</v>
      </c>
      <c r="G192" s="10" t="n">
        <v>82810</v>
      </c>
      <c r="H192" s="8" t="n">
        <v>3.8</v>
      </c>
      <c r="I192" s="4" t="s">
        <v>2994</v>
      </c>
    </row>
    <row r="193" customFormat="false" ht="15" hidden="false" customHeight="false" outlineLevel="0" collapsed="false">
      <c r="A193" s="4" t="s">
        <v>3383</v>
      </c>
      <c r="B193" s="4" t="s">
        <v>3384</v>
      </c>
      <c r="C193" s="4" t="s">
        <v>32</v>
      </c>
      <c r="D193" s="4" t="s">
        <v>2986</v>
      </c>
      <c r="E193" s="4" t="s">
        <v>550</v>
      </c>
      <c r="F193" s="6" t="n">
        <v>45225</v>
      </c>
      <c r="G193" s="10" t="n">
        <v>179029</v>
      </c>
      <c r="H193" s="8" t="n">
        <v>4.7</v>
      </c>
      <c r="I193" s="4" t="s">
        <v>2994</v>
      </c>
    </row>
    <row r="194" customFormat="false" ht="15" hidden="false" customHeight="false" outlineLevel="0" collapsed="false">
      <c r="A194" s="4" t="s">
        <v>3385</v>
      </c>
      <c r="B194" s="4" t="s">
        <v>3386</v>
      </c>
      <c r="C194" s="4" t="s">
        <v>32</v>
      </c>
      <c r="D194" s="4" t="s">
        <v>2997</v>
      </c>
      <c r="E194" s="4" t="s">
        <v>449</v>
      </c>
      <c r="F194" s="6" t="n">
        <v>45530</v>
      </c>
      <c r="G194" s="10" t="n">
        <v>154116</v>
      </c>
      <c r="H194" s="8" t="n">
        <v>3.6</v>
      </c>
      <c r="I194" s="4" t="s">
        <v>3007</v>
      </c>
    </row>
    <row r="195" customFormat="false" ht="15" hidden="false" customHeight="false" outlineLevel="0" collapsed="false">
      <c r="A195" s="4" t="s">
        <v>3387</v>
      </c>
      <c r="B195" s="4" t="s">
        <v>3388</v>
      </c>
      <c r="C195" s="4" t="s">
        <v>17</v>
      </c>
      <c r="D195" s="4" t="s">
        <v>3018</v>
      </c>
      <c r="E195" s="4" t="s">
        <v>475</v>
      </c>
      <c r="F195" s="6" t="n">
        <v>46023</v>
      </c>
      <c r="G195" s="10" t="n">
        <v>119740</v>
      </c>
      <c r="H195" s="8" t="n">
        <v>3.7</v>
      </c>
      <c r="I195" s="4" t="s">
        <v>3007</v>
      </c>
    </row>
    <row r="196" customFormat="false" ht="15" hidden="false" customHeight="false" outlineLevel="0" collapsed="false">
      <c r="A196" s="4" t="s">
        <v>3389</v>
      </c>
      <c r="B196" s="4" t="s">
        <v>3390</v>
      </c>
      <c r="C196" s="4" t="s">
        <v>29</v>
      </c>
      <c r="D196" s="4" t="s">
        <v>2993</v>
      </c>
      <c r="E196" s="4" t="s">
        <v>452</v>
      </c>
      <c r="F196" s="6" t="n">
        <v>44590</v>
      </c>
      <c r="G196" s="10" t="n">
        <v>77431</v>
      </c>
      <c r="H196" s="8" t="n">
        <v>4</v>
      </c>
      <c r="I196" s="4" t="s">
        <v>3015</v>
      </c>
    </row>
    <row r="197" customFormat="false" ht="15" hidden="false" customHeight="false" outlineLevel="0" collapsed="false">
      <c r="A197" s="4" t="s">
        <v>3391</v>
      </c>
      <c r="B197" s="4" t="s">
        <v>3392</v>
      </c>
      <c r="C197" s="4" t="s">
        <v>29</v>
      </c>
      <c r="D197" s="4" t="s">
        <v>3018</v>
      </c>
      <c r="E197" s="4" t="s">
        <v>465</v>
      </c>
      <c r="F197" s="6" t="n">
        <v>42823</v>
      </c>
      <c r="G197" s="10" t="n">
        <v>92360</v>
      </c>
      <c r="H197" s="8" t="n">
        <v>2.5</v>
      </c>
      <c r="I197" s="4" t="s">
        <v>3015</v>
      </c>
    </row>
    <row r="198" customFormat="false" ht="15" hidden="false" customHeight="false" outlineLevel="0" collapsed="false">
      <c r="A198" s="4" t="s">
        <v>3393</v>
      </c>
      <c r="B198" s="4" t="s">
        <v>3394</v>
      </c>
      <c r="C198" s="4" t="s">
        <v>11</v>
      </c>
      <c r="D198" s="4" t="s">
        <v>3000</v>
      </c>
      <c r="E198" s="4" t="s">
        <v>495</v>
      </c>
      <c r="F198" s="6" t="n">
        <v>43272</v>
      </c>
      <c r="G198" s="10" t="n">
        <v>165315</v>
      </c>
      <c r="H198" s="8" t="n">
        <v>4.9</v>
      </c>
      <c r="I198" s="4" t="s">
        <v>2994</v>
      </c>
    </row>
    <row r="199" customFormat="false" ht="15" hidden="false" customHeight="false" outlineLevel="0" collapsed="false">
      <c r="A199" s="4" t="s">
        <v>3395</v>
      </c>
      <c r="B199" s="4" t="s">
        <v>3396</v>
      </c>
      <c r="C199" s="4" t="s">
        <v>32</v>
      </c>
      <c r="D199" s="4" t="s">
        <v>3012</v>
      </c>
      <c r="E199" s="4" t="s">
        <v>475</v>
      </c>
      <c r="F199" s="6" t="n">
        <v>44117</v>
      </c>
      <c r="G199" s="10" t="n">
        <v>139512</v>
      </c>
      <c r="H199" s="8" t="n">
        <v>2.5</v>
      </c>
      <c r="I199" s="4" t="s">
        <v>3004</v>
      </c>
    </row>
    <row r="200" customFormat="false" ht="15" hidden="false" customHeight="false" outlineLevel="0" collapsed="false">
      <c r="A200" s="4" t="s">
        <v>3397</v>
      </c>
      <c r="B200" s="4" t="s">
        <v>3398</v>
      </c>
      <c r="C200" s="4" t="s">
        <v>11</v>
      </c>
      <c r="D200" s="4" t="s">
        <v>3000</v>
      </c>
      <c r="E200" s="4" t="s">
        <v>550</v>
      </c>
      <c r="F200" s="6" t="n">
        <v>43968</v>
      </c>
      <c r="G200" s="10" t="n">
        <v>91002</v>
      </c>
      <c r="H200" s="8" t="n">
        <v>3.3</v>
      </c>
      <c r="I200" s="4" t="s">
        <v>3007</v>
      </c>
    </row>
    <row r="201" customFormat="false" ht="15" hidden="false" customHeight="false" outlineLevel="0" collapsed="false">
      <c r="A201" s="4" t="s">
        <v>3399</v>
      </c>
      <c r="B201" s="4" t="s">
        <v>3400</v>
      </c>
      <c r="C201" s="4" t="s">
        <v>29</v>
      </c>
      <c r="D201" s="4" t="s">
        <v>2993</v>
      </c>
      <c r="E201" s="4" t="s">
        <v>524</v>
      </c>
      <c r="F201" s="6" t="n">
        <v>45908</v>
      </c>
      <c r="G201" s="10" t="n">
        <v>96048</v>
      </c>
      <c r="H201" s="8" t="n">
        <v>3.7</v>
      </c>
      <c r="I201" s="4" t="s">
        <v>2994</v>
      </c>
    </row>
    <row r="202" customFormat="false" ht="15" hidden="false" customHeight="false" outlineLevel="0" collapsed="false">
      <c r="A202" s="4" t="s">
        <v>3401</v>
      </c>
      <c r="B202" s="4" t="s">
        <v>3402</v>
      </c>
      <c r="C202" s="4" t="s">
        <v>29</v>
      </c>
      <c r="D202" s="4" t="s">
        <v>2986</v>
      </c>
      <c r="E202" s="4" t="s">
        <v>550</v>
      </c>
      <c r="F202" s="6" t="n">
        <v>44597</v>
      </c>
      <c r="G202" s="10" t="n">
        <v>119662</v>
      </c>
      <c r="H202" s="8" t="n">
        <v>4.6</v>
      </c>
      <c r="I202" s="4" t="s">
        <v>2994</v>
      </c>
    </row>
    <row r="203" customFormat="false" ht="15" hidden="false" customHeight="false" outlineLevel="0" collapsed="false">
      <c r="A203" s="4" t="s">
        <v>3403</v>
      </c>
      <c r="B203" s="4" t="s">
        <v>3404</v>
      </c>
      <c r="C203" s="4" t="s">
        <v>31</v>
      </c>
      <c r="D203" s="4" t="s">
        <v>2986</v>
      </c>
      <c r="E203" s="4" t="s">
        <v>465</v>
      </c>
      <c r="F203" s="6" t="n">
        <v>43156</v>
      </c>
      <c r="G203" s="10" t="n">
        <v>58838</v>
      </c>
      <c r="H203" s="8" t="n">
        <v>3.1</v>
      </c>
      <c r="I203" s="4" t="s">
        <v>2994</v>
      </c>
    </row>
    <row r="204" customFormat="false" ht="15" hidden="false" customHeight="false" outlineLevel="0" collapsed="false">
      <c r="A204" s="4" t="s">
        <v>3405</v>
      </c>
      <c r="B204" s="4" t="s">
        <v>3406</v>
      </c>
      <c r="C204" s="4" t="s">
        <v>17</v>
      </c>
      <c r="D204" s="4" t="s">
        <v>2993</v>
      </c>
      <c r="E204" s="4" t="s">
        <v>490</v>
      </c>
      <c r="F204" s="6" t="n">
        <v>45552</v>
      </c>
      <c r="G204" s="10" t="n">
        <v>149929</v>
      </c>
      <c r="H204" s="8" t="n">
        <v>3.6</v>
      </c>
      <c r="I204" s="4" t="s">
        <v>3001</v>
      </c>
    </row>
    <row r="205" customFormat="false" ht="15" hidden="false" customHeight="false" outlineLevel="0" collapsed="false">
      <c r="A205" s="4" t="s">
        <v>3407</v>
      </c>
      <c r="B205" s="4" t="s">
        <v>3408</v>
      </c>
      <c r="C205" s="4" t="s">
        <v>11</v>
      </c>
      <c r="D205" s="4" t="s">
        <v>3018</v>
      </c>
      <c r="E205" s="4" t="s">
        <v>550</v>
      </c>
      <c r="F205" s="6" t="n">
        <v>44246</v>
      </c>
      <c r="G205" s="10" t="n">
        <v>161974</v>
      </c>
      <c r="H205" s="8" t="n">
        <v>4.8</v>
      </c>
      <c r="I205" s="4" t="s">
        <v>2994</v>
      </c>
    </row>
    <row r="206" customFormat="false" ht="15" hidden="false" customHeight="false" outlineLevel="0" collapsed="false">
      <c r="A206" s="4" t="s">
        <v>3409</v>
      </c>
      <c r="B206" s="4" t="s">
        <v>3410</v>
      </c>
      <c r="C206" s="4" t="s">
        <v>33</v>
      </c>
      <c r="D206" s="4" t="s">
        <v>2993</v>
      </c>
      <c r="E206" s="4" t="s">
        <v>495</v>
      </c>
      <c r="F206" s="6" t="n">
        <v>45951</v>
      </c>
      <c r="G206" s="10" t="n">
        <v>60646</v>
      </c>
      <c r="H206" s="8" t="n">
        <v>2.8</v>
      </c>
      <c r="I206" s="4" t="s">
        <v>3007</v>
      </c>
    </row>
    <row r="207" customFormat="false" ht="15" hidden="false" customHeight="false" outlineLevel="0" collapsed="false">
      <c r="A207" s="4" t="s">
        <v>3411</v>
      </c>
      <c r="B207" s="4" t="s">
        <v>3412</v>
      </c>
      <c r="C207" s="4" t="s">
        <v>11</v>
      </c>
      <c r="D207" s="4" t="s">
        <v>2986</v>
      </c>
      <c r="E207" s="4" t="s">
        <v>490</v>
      </c>
      <c r="F207" s="6" t="n">
        <v>45553</v>
      </c>
      <c r="G207" s="10" t="n">
        <v>135314</v>
      </c>
      <c r="H207" s="8" t="n">
        <v>4.5</v>
      </c>
      <c r="I207" s="4" t="s">
        <v>3004</v>
      </c>
    </row>
    <row r="208" customFormat="false" ht="15" hidden="false" customHeight="false" outlineLevel="0" collapsed="false">
      <c r="A208" s="4" t="s">
        <v>3413</v>
      </c>
      <c r="B208" s="4" t="s">
        <v>3414</v>
      </c>
      <c r="C208" s="4" t="s">
        <v>23</v>
      </c>
      <c r="D208" s="4" t="s">
        <v>2997</v>
      </c>
      <c r="E208" s="4" t="s">
        <v>543</v>
      </c>
      <c r="F208" s="6" t="n">
        <v>43300</v>
      </c>
      <c r="G208" s="10" t="n">
        <v>131474</v>
      </c>
      <c r="H208" s="8" t="n">
        <v>3.7</v>
      </c>
      <c r="I208" s="4" t="s">
        <v>3001</v>
      </c>
    </row>
    <row r="209" customFormat="false" ht="15" hidden="false" customHeight="false" outlineLevel="0" collapsed="false">
      <c r="A209" s="4" t="s">
        <v>3415</v>
      </c>
      <c r="B209" s="4" t="s">
        <v>3416</v>
      </c>
      <c r="C209" s="4" t="s">
        <v>23</v>
      </c>
      <c r="D209" s="4" t="s">
        <v>3018</v>
      </c>
      <c r="E209" s="4" t="s">
        <v>480</v>
      </c>
      <c r="F209" s="6" t="n">
        <v>45128</v>
      </c>
      <c r="G209" s="10" t="n">
        <v>171365</v>
      </c>
      <c r="H209" s="8" t="n">
        <v>4.6</v>
      </c>
      <c r="I209" s="4" t="s">
        <v>3004</v>
      </c>
    </row>
    <row r="210" customFormat="false" ht="15" hidden="false" customHeight="false" outlineLevel="0" collapsed="false">
      <c r="A210" s="4" t="s">
        <v>3417</v>
      </c>
      <c r="B210" s="4" t="s">
        <v>3418</v>
      </c>
      <c r="C210" s="4" t="s">
        <v>33</v>
      </c>
      <c r="D210" s="4" t="s">
        <v>3000</v>
      </c>
      <c r="E210" s="4" t="s">
        <v>462</v>
      </c>
      <c r="F210" s="6" t="n">
        <v>43237</v>
      </c>
      <c r="G210" s="10" t="n">
        <v>123388</v>
      </c>
      <c r="H210" s="8" t="n">
        <v>3.8</v>
      </c>
      <c r="I210" s="4" t="s">
        <v>3015</v>
      </c>
    </row>
    <row r="211" customFormat="false" ht="15" hidden="false" customHeight="false" outlineLevel="0" collapsed="false">
      <c r="A211" s="4" t="s">
        <v>3419</v>
      </c>
      <c r="B211" s="4" t="s">
        <v>3420</v>
      </c>
      <c r="C211" s="4" t="s">
        <v>29</v>
      </c>
      <c r="D211" s="4" t="s">
        <v>2997</v>
      </c>
      <c r="E211" s="4" t="s">
        <v>459</v>
      </c>
      <c r="F211" s="6" t="n">
        <v>43885</v>
      </c>
      <c r="G211" s="10" t="n">
        <v>97193</v>
      </c>
      <c r="H211" s="8" t="n">
        <v>4.4</v>
      </c>
      <c r="I211" s="4" t="s">
        <v>3004</v>
      </c>
    </row>
    <row r="212" customFormat="false" ht="15" hidden="false" customHeight="false" outlineLevel="0" collapsed="false">
      <c r="A212" s="4" t="s">
        <v>3421</v>
      </c>
      <c r="B212" s="4" t="s">
        <v>3422</v>
      </c>
      <c r="C212" s="4" t="s">
        <v>17</v>
      </c>
      <c r="D212" s="4" t="s">
        <v>2993</v>
      </c>
      <c r="E212" s="4" t="s">
        <v>495</v>
      </c>
      <c r="F212" s="6" t="n">
        <v>45874</v>
      </c>
      <c r="G212" s="10" t="n">
        <v>93828</v>
      </c>
      <c r="H212" s="8" t="n">
        <v>4.3</v>
      </c>
      <c r="I212" s="4" t="s">
        <v>3007</v>
      </c>
    </row>
    <row r="213" customFormat="false" ht="15" hidden="false" customHeight="false" outlineLevel="0" collapsed="false">
      <c r="A213" s="4" t="s">
        <v>3423</v>
      </c>
      <c r="B213" s="4" t="s">
        <v>3424</v>
      </c>
      <c r="C213" s="4" t="s">
        <v>32</v>
      </c>
      <c r="D213" s="4" t="s">
        <v>3018</v>
      </c>
      <c r="E213" s="4" t="s">
        <v>462</v>
      </c>
      <c r="F213" s="6" t="n">
        <v>45386</v>
      </c>
      <c r="G213" s="10" t="n">
        <v>151373</v>
      </c>
      <c r="H213" s="8" t="n">
        <v>4.6</v>
      </c>
      <c r="I213" s="4" t="s">
        <v>2994</v>
      </c>
    </row>
    <row r="214" customFormat="false" ht="15" hidden="false" customHeight="false" outlineLevel="0" collapsed="false">
      <c r="A214" s="4" t="s">
        <v>3425</v>
      </c>
      <c r="B214" s="4" t="s">
        <v>3426</v>
      </c>
      <c r="C214" s="4" t="s">
        <v>11</v>
      </c>
      <c r="D214" s="4" t="s">
        <v>3000</v>
      </c>
      <c r="E214" s="4" t="s">
        <v>475</v>
      </c>
      <c r="F214" s="6" t="n">
        <v>43606</v>
      </c>
      <c r="G214" s="10" t="n">
        <v>56720</v>
      </c>
      <c r="H214" s="8" t="n">
        <v>4.2</v>
      </c>
      <c r="I214" s="4" t="s">
        <v>3004</v>
      </c>
    </row>
    <row r="215" customFormat="false" ht="15" hidden="false" customHeight="false" outlineLevel="0" collapsed="false">
      <c r="A215" s="4" t="s">
        <v>3427</v>
      </c>
      <c r="B215" s="4" t="s">
        <v>3428</v>
      </c>
      <c r="C215" s="4" t="s">
        <v>31</v>
      </c>
      <c r="D215" s="4" t="s">
        <v>3000</v>
      </c>
      <c r="E215" s="4" t="s">
        <v>472</v>
      </c>
      <c r="F215" s="6" t="n">
        <v>44733</v>
      </c>
      <c r="G215" s="10" t="n">
        <v>68701</v>
      </c>
      <c r="H215" s="8" t="n">
        <v>3.4</v>
      </c>
      <c r="I215" s="4" t="s">
        <v>3015</v>
      </c>
    </row>
    <row r="216" customFormat="false" ht="15" hidden="false" customHeight="false" outlineLevel="0" collapsed="false">
      <c r="A216" s="4" t="s">
        <v>3429</v>
      </c>
      <c r="B216" s="4" t="s">
        <v>3430</v>
      </c>
      <c r="C216" s="4" t="s">
        <v>31</v>
      </c>
      <c r="D216" s="4" t="s">
        <v>3012</v>
      </c>
      <c r="E216" s="4" t="s">
        <v>524</v>
      </c>
      <c r="F216" s="6" t="n">
        <v>44019</v>
      </c>
      <c r="G216" s="10" t="n">
        <v>154678</v>
      </c>
      <c r="H216" s="8" t="n">
        <v>4.9</v>
      </c>
      <c r="I216" s="4" t="s">
        <v>3004</v>
      </c>
    </row>
    <row r="217" customFormat="false" ht="15" hidden="false" customHeight="false" outlineLevel="0" collapsed="false">
      <c r="A217" s="4" t="s">
        <v>3431</v>
      </c>
      <c r="B217" s="4" t="s">
        <v>3432</v>
      </c>
      <c r="C217" s="4" t="s">
        <v>33</v>
      </c>
      <c r="D217" s="4" t="s">
        <v>3018</v>
      </c>
      <c r="E217" s="4" t="s">
        <v>469</v>
      </c>
      <c r="F217" s="6" t="n">
        <v>44802</v>
      </c>
      <c r="G217" s="10" t="n">
        <v>68849</v>
      </c>
      <c r="H217" s="8" t="n">
        <v>4.8</v>
      </c>
      <c r="I217" s="4" t="s">
        <v>3001</v>
      </c>
    </row>
    <row r="218" customFormat="false" ht="15" hidden="false" customHeight="false" outlineLevel="0" collapsed="false">
      <c r="A218" s="4" t="s">
        <v>3433</v>
      </c>
      <c r="B218" s="4" t="s">
        <v>3434</v>
      </c>
      <c r="C218" s="4" t="s">
        <v>23</v>
      </c>
      <c r="D218" s="4" t="s">
        <v>3000</v>
      </c>
      <c r="E218" s="4" t="s">
        <v>459</v>
      </c>
      <c r="F218" s="6" t="n">
        <v>45277</v>
      </c>
      <c r="G218" s="10" t="n">
        <v>122300</v>
      </c>
      <c r="H218" s="8" t="n">
        <v>3</v>
      </c>
      <c r="I218" s="4" t="s">
        <v>3004</v>
      </c>
    </row>
    <row r="219" customFormat="false" ht="15" hidden="false" customHeight="false" outlineLevel="0" collapsed="false">
      <c r="A219" s="4" t="s">
        <v>3435</v>
      </c>
      <c r="B219" s="4" t="s">
        <v>3436</v>
      </c>
      <c r="C219" s="4" t="s">
        <v>17</v>
      </c>
      <c r="D219" s="4" t="s">
        <v>2993</v>
      </c>
      <c r="E219" s="4" t="s">
        <v>495</v>
      </c>
      <c r="F219" s="6" t="n">
        <v>44468</v>
      </c>
      <c r="G219" s="10" t="n">
        <v>76521</v>
      </c>
      <c r="H219" s="8" t="n">
        <v>4.2</v>
      </c>
      <c r="I219" s="4" t="s">
        <v>3015</v>
      </c>
    </row>
    <row r="220" customFormat="false" ht="15" hidden="false" customHeight="false" outlineLevel="0" collapsed="false">
      <c r="A220" s="4" t="s">
        <v>3437</v>
      </c>
      <c r="B220" s="4" t="s">
        <v>3438</v>
      </c>
      <c r="C220" s="4" t="s">
        <v>33</v>
      </c>
      <c r="D220" s="4" t="s">
        <v>2993</v>
      </c>
      <c r="E220" s="4" t="s">
        <v>543</v>
      </c>
      <c r="F220" s="6" t="n">
        <v>44624</v>
      </c>
      <c r="G220" s="10" t="n">
        <v>169844</v>
      </c>
      <c r="H220" s="8" t="n">
        <v>2.8</v>
      </c>
      <c r="I220" s="4" t="s">
        <v>2994</v>
      </c>
    </row>
    <row r="221" customFormat="false" ht="15" hidden="false" customHeight="false" outlineLevel="0" collapsed="false">
      <c r="A221" s="4" t="s">
        <v>3439</v>
      </c>
      <c r="B221" s="4" t="s">
        <v>3440</v>
      </c>
      <c r="C221" s="4" t="s">
        <v>17</v>
      </c>
      <c r="D221" s="4" t="s">
        <v>2993</v>
      </c>
      <c r="E221" s="4" t="s">
        <v>455</v>
      </c>
      <c r="F221" s="6" t="n">
        <v>44623</v>
      </c>
      <c r="G221" s="10" t="n">
        <v>79514</v>
      </c>
      <c r="H221" s="8" t="n">
        <v>3.2</v>
      </c>
      <c r="I221" s="4" t="s">
        <v>3004</v>
      </c>
    </row>
    <row r="222" customFormat="false" ht="15" hidden="false" customHeight="false" outlineLevel="0" collapsed="false">
      <c r="A222" s="4" t="s">
        <v>3441</v>
      </c>
      <c r="B222" s="4" t="s">
        <v>3442</v>
      </c>
      <c r="C222" s="4" t="s">
        <v>33</v>
      </c>
      <c r="D222" s="4" t="s">
        <v>3012</v>
      </c>
      <c r="E222" s="4" t="s">
        <v>459</v>
      </c>
      <c r="F222" s="6" t="n">
        <v>44177</v>
      </c>
      <c r="G222" s="10" t="n">
        <v>89809</v>
      </c>
      <c r="H222" s="8" t="n">
        <v>2.8</v>
      </c>
      <c r="I222" s="4" t="s">
        <v>3015</v>
      </c>
    </row>
    <row r="223" customFormat="false" ht="15" hidden="false" customHeight="false" outlineLevel="0" collapsed="false">
      <c r="A223" s="4" t="s">
        <v>3443</v>
      </c>
      <c r="B223" s="4" t="s">
        <v>3444</v>
      </c>
      <c r="C223" s="4" t="s">
        <v>11</v>
      </c>
      <c r="D223" s="4" t="s">
        <v>2986</v>
      </c>
      <c r="E223" s="4" t="s">
        <v>449</v>
      </c>
      <c r="F223" s="6" t="n">
        <v>43604</v>
      </c>
      <c r="G223" s="10" t="n">
        <v>74742</v>
      </c>
      <c r="H223" s="8" t="n">
        <v>3.5</v>
      </c>
      <c r="I223" s="4" t="s">
        <v>3004</v>
      </c>
    </row>
    <row r="224" customFormat="false" ht="15" hidden="false" customHeight="false" outlineLevel="0" collapsed="false">
      <c r="A224" s="4" t="s">
        <v>3445</v>
      </c>
      <c r="B224" s="4" t="s">
        <v>3446</v>
      </c>
      <c r="C224" s="4" t="s">
        <v>32</v>
      </c>
      <c r="D224" s="4" t="s">
        <v>2986</v>
      </c>
      <c r="E224" s="4" t="s">
        <v>475</v>
      </c>
      <c r="F224" s="6" t="n">
        <v>44543</v>
      </c>
      <c r="G224" s="10" t="n">
        <v>90728</v>
      </c>
      <c r="H224" s="8" t="n">
        <v>3.4</v>
      </c>
      <c r="I224" s="4" t="s">
        <v>2994</v>
      </c>
    </row>
    <row r="225" customFormat="false" ht="15" hidden="false" customHeight="false" outlineLevel="0" collapsed="false">
      <c r="A225" s="4" t="s">
        <v>3447</v>
      </c>
      <c r="B225" s="4" t="s">
        <v>3448</v>
      </c>
      <c r="C225" s="4" t="s">
        <v>33</v>
      </c>
      <c r="D225" s="4" t="s">
        <v>3000</v>
      </c>
      <c r="E225" s="4" t="s">
        <v>550</v>
      </c>
      <c r="F225" s="6" t="n">
        <v>44466</v>
      </c>
      <c r="G225" s="10" t="n">
        <v>80419</v>
      </c>
      <c r="H225" s="8" t="n">
        <v>3.2</v>
      </c>
      <c r="I225" s="4" t="s">
        <v>3004</v>
      </c>
    </row>
    <row r="226" customFormat="false" ht="15" hidden="false" customHeight="false" outlineLevel="0" collapsed="false">
      <c r="A226" s="4" t="s">
        <v>3449</v>
      </c>
      <c r="B226" s="4" t="s">
        <v>3450</v>
      </c>
      <c r="C226" s="4" t="s">
        <v>17</v>
      </c>
      <c r="D226" s="4" t="s">
        <v>3012</v>
      </c>
      <c r="E226" s="4" t="s">
        <v>495</v>
      </c>
      <c r="F226" s="6" t="n">
        <v>44905</v>
      </c>
      <c r="G226" s="10" t="n">
        <v>134619</v>
      </c>
      <c r="H226" s="8" t="n">
        <v>3.7</v>
      </c>
      <c r="I226" s="4" t="s">
        <v>3004</v>
      </c>
    </row>
    <row r="227" customFormat="false" ht="15" hidden="false" customHeight="false" outlineLevel="0" collapsed="false">
      <c r="A227" s="4" t="s">
        <v>3451</v>
      </c>
      <c r="B227" s="4" t="s">
        <v>3452</v>
      </c>
      <c r="C227" s="4" t="s">
        <v>11</v>
      </c>
      <c r="D227" s="4" t="s">
        <v>2997</v>
      </c>
      <c r="E227" s="4" t="s">
        <v>475</v>
      </c>
      <c r="F227" s="6" t="n">
        <v>45383</v>
      </c>
      <c r="G227" s="10" t="n">
        <v>87629</v>
      </c>
      <c r="H227" s="8" t="n">
        <v>4.9</v>
      </c>
      <c r="I227" s="4" t="s">
        <v>3001</v>
      </c>
    </row>
    <row r="228" customFormat="false" ht="15" hidden="false" customHeight="false" outlineLevel="0" collapsed="false">
      <c r="A228" s="4" t="s">
        <v>3453</v>
      </c>
      <c r="B228" s="4" t="s">
        <v>3454</v>
      </c>
      <c r="C228" s="4" t="s">
        <v>11</v>
      </c>
      <c r="D228" s="4" t="s">
        <v>2993</v>
      </c>
      <c r="E228" s="4" t="s">
        <v>455</v>
      </c>
      <c r="F228" s="6" t="n">
        <v>42882</v>
      </c>
      <c r="G228" s="10" t="n">
        <v>130396</v>
      </c>
      <c r="H228" s="8" t="n">
        <v>3.2</v>
      </c>
      <c r="I228" s="4" t="s">
        <v>2994</v>
      </c>
    </row>
    <row r="229" customFormat="false" ht="15" hidden="false" customHeight="false" outlineLevel="0" collapsed="false">
      <c r="A229" s="4" t="s">
        <v>3455</v>
      </c>
      <c r="B229" s="4" t="s">
        <v>3456</v>
      </c>
      <c r="C229" s="4" t="s">
        <v>32</v>
      </c>
      <c r="D229" s="4" t="s">
        <v>2993</v>
      </c>
      <c r="E229" s="4" t="s">
        <v>495</v>
      </c>
      <c r="F229" s="6" t="n">
        <v>43663</v>
      </c>
      <c r="G229" s="10" t="n">
        <v>170684</v>
      </c>
      <c r="H229" s="8" t="n">
        <v>4.1</v>
      </c>
      <c r="I229" s="4" t="s">
        <v>3004</v>
      </c>
    </row>
    <row r="230" customFormat="false" ht="15" hidden="false" customHeight="false" outlineLevel="0" collapsed="false">
      <c r="A230" s="4" t="s">
        <v>3457</v>
      </c>
      <c r="B230" s="4" t="s">
        <v>3458</v>
      </c>
      <c r="C230" s="4" t="s">
        <v>29</v>
      </c>
      <c r="D230" s="4" t="s">
        <v>3000</v>
      </c>
      <c r="E230" s="4" t="s">
        <v>452</v>
      </c>
      <c r="F230" s="6" t="n">
        <v>43636</v>
      </c>
      <c r="G230" s="10" t="n">
        <v>151196</v>
      </c>
      <c r="H230" s="8" t="n">
        <v>4.6</v>
      </c>
      <c r="I230" s="4" t="s">
        <v>3007</v>
      </c>
    </row>
    <row r="231" customFormat="false" ht="15" hidden="false" customHeight="false" outlineLevel="0" collapsed="false">
      <c r="A231" s="4" t="s">
        <v>3459</v>
      </c>
      <c r="B231" s="4" t="s">
        <v>3460</v>
      </c>
      <c r="C231" s="4" t="s">
        <v>29</v>
      </c>
      <c r="D231" s="4" t="s">
        <v>3018</v>
      </c>
      <c r="E231" s="4" t="s">
        <v>543</v>
      </c>
      <c r="F231" s="6" t="n">
        <v>45954</v>
      </c>
      <c r="G231" s="10" t="n">
        <v>81683</v>
      </c>
      <c r="H231" s="8" t="n">
        <v>3.4</v>
      </c>
      <c r="I231" s="4" t="s">
        <v>3007</v>
      </c>
    </row>
    <row r="232" customFormat="false" ht="15" hidden="false" customHeight="false" outlineLevel="0" collapsed="false">
      <c r="A232" s="4" t="s">
        <v>3461</v>
      </c>
      <c r="B232" s="4" t="s">
        <v>3462</v>
      </c>
      <c r="C232" s="4" t="s">
        <v>33</v>
      </c>
      <c r="D232" s="4" t="s">
        <v>3012</v>
      </c>
      <c r="E232" s="4" t="s">
        <v>495</v>
      </c>
      <c r="F232" s="6" t="n">
        <v>45741</v>
      </c>
      <c r="G232" s="10" t="n">
        <v>55407</v>
      </c>
      <c r="H232" s="8" t="n">
        <v>2.7</v>
      </c>
      <c r="I232" s="4" t="s">
        <v>3015</v>
      </c>
    </row>
    <row r="233" customFormat="false" ht="15" hidden="false" customHeight="false" outlineLevel="0" collapsed="false">
      <c r="A233" s="4" t="s">
        <v>3463</v>
      </c>
      <c r="B233" s="4" t="s">
        <v>3464</v>
      </c>
      <c r="C233" s="4" t="s">
        <v>33</v>
      </c>
      <c r="D233" s="4" t="s">
        <v>3012</v>
      </c>
      <c r="E233" s="4" t="s">
        <v>459</v>
      </c>
      <c r="F233" s="6" t="n">
        <v>45763</v>
      </c>
      <c r="G233" s="10" t="n">
        <v>95019</v>
      </c>
      <c r="H233" s="8" t="n">
        <v>4.6</v>
      </c>
      <c r="I233" s="4" t="s">
        <v>3001</v>
      </c>
    </row>
    <row r="234" customFormat="false" ht="15" hidden="false" customHeight="false" outlineLevel="0" collapsed="false">
      <c r="A234" s="4" t="s">
        <v>3465</v>
      </c>
      <c r="B234" s="4" t="s">
        <v>3466</v>
      </c>
      <c r="C234" s="4" t="s">
        <v>17</v>
      </c>
      <c r="D234" s="4" t="s">
        <v>2986</v>
      </c>
      <c r="E234" s="4" t="s">
        <v>462</v>
      </c>
      <c r="F234" s="6" t="n">
        <v>43020</v>
      </c>
      <c r="G234" s="10" t="n">
        <v>76842</v>
      </c>
      <c r="H234" s="8" t="n">
        <v>3</v>
      </c>
      <c r="I234" s="4" t="s">
        <v>3004</v>
      </c>
    </row>
    <row r="235" customFormat="false" ht="15" hidden="false" customHeight="false" outlineLevel="0" collapsed="false">
      <c r="A235" s="4" t="s">
        <v>3467</v>
      </c>
      <c r="B235" s="4" t="s">
        <v>3468</v>
      </c>
      <c r="C235" s="4" t="s">
        <v>17</v>
      </c>
      <c r="D235" s="4" t="s">
        <v>2993</v>
      </c>
      <c r="E235" s="4" t="s">
        <v>462</v>
      </c>
      <c r="F235" s="6" t="n">
        <v>44679</v>
      </c>
      <c r="G235" s="10" t="n">
        <v>111088</v>
      </c>
      <c r="H235" s="8" t="n">
        <v>3.3</v>
      </c>
      <c r="I235" s="4" t="s">
        <v>3001</v>
      </c>
    </row>
    <row r="236" customFormat="false" ht="15" hidden="false" customHeight="false" outlineLevel="0" collapsed="false">
      <c r="A236" s="4" t="s">
        <v>3469</v>
      </c>
      <c r="B236" s="4" t="s">
        <v>3470</v>
      </c>
      <c r="C236" s="4" t="s">
        <v>23</v>
      </c>
      <c r="D236" s="4" t="s">
        <v>2993</v>
      </c>
      <c r="E236" s="4" t="s">
        <v>543</v>
      </c>
      <c r="F236" s="6" t="n">
        <v>45518</v>
      </c>
      <c r="G236" s="10" t="n">
        <v>154648</v>
      </c>
      <c r="H236" s="8" t="n">
        <v>4.6</v>
      </c>
      <c r="I236" s="4" t="s">
        <v>3015</v>
      </c>
    </row>
    <row r="237" customFormat="false" ht="15" hidden="false" customHeight="false" outlineLevel="0" collapsed="false">
      <c r="A237" s="4" t="s">
        <v>3471</v>
      </c>
      <c r="B237" s="4" t="s">
        <v>3472</v>
      </c>
      <c r="C237" s="4" t="s">
        <v>23</v>
      </c>
      <c r="D237" s="4" t="s">
        <v>3000</v>
      </c>
      <c r="E237" s="4" t="s">
        <v>465</v>
      </c>
      <c r="F237" s="6" t="n">
        <v>42740</v>
      </c>
      <c r="G237" s="10" t="n">
        <v>119003</v>
      </c>
      <c r="H237" s="8" t="n">
        <v>4.7</v>
      </c>
      <c r="I237" s="4" t="s">
        <v>3004</v>
      </c>
    </row>
    <row r="238" customFormat="false" ht="15" hidden="false" customHeight="false" outlineLevel="0" collapsed="false">
      <c r="A238" s="4" t="s">
        <v>3473</v>
      </c>
      <c r="B238" s="4" t="s">
        <v>3474</v>
      </c>
      <c r="C238" s="4" t="s">
        <v>11</v>
      </c>
      <c r="D238" s="4" t="s">
        <v>2993</v>
      </c>
      <c r="E238" s="4" t="s">
        <v>469</v>
      </c>
      <c r="F238" s="6" t="n">
        <v>42807</v>
      </c>
      <c r="G238" s="10" t="n">
        <v>129352</v>
      </c>
      <c r="H238" s="8" t="n">
        <v>4.2</v>
      </c>
      <c r="I238" s="4" t="s">
        <v>3007</v>
      </c>
    </row>
    <row r="239" customFormat="false" ht="15" hidden="false" customHeight="false" outlineLevel="0" collapsed="false">
      <c r="A239" s="4" t="s">
        <v>3475</v>
      </c>
      <c r="B239" s="4" t="s">
        <v>3476</v>
      </c>
      <c r="C239" s="4" t="s">
        <v>31</v>
      </c>
      <c r="D239" s="4" t="s">
        <v>3018</v>
      </c>
      <c r="E239" s="4" t="s">
        <v>524</v>
      </c>
      <c r="F239" s="6" t="n">
        <v>44796</v>
      </c>
      <c r="G239" s="10" t="n">
        <v>76928</v>
      </c>
      <c r="H239" s="8" t="n">
        <v>4.4</v>
      </c>
      <c r="I239" s="4" t="s">
        <v>2994</v>
      </c>
    </row>
    <row r="240" customFormat="false" ht="15" hidden="false" customHeight="false" outlineLevel="0" collapsed="false">
      <c r="A240" s="4" t="s">
        <v>3477</v>
      </c>
      <c r="B240" s="4" t="s">
        <v>3478</v>
      </c>
      <c r="C240" s="4" t="s">
        <v>11</v>
      </c>
      <c r="D240" s="4" t="s">
        <v>2986</v>
      </c>
      <c r="E240" s="4" t="s">
        <v>480</v>
      </c>
      <c r="F240" s="6" t="n">
        <v>45751</v>
      </c>
      <c r="G240" s="10" t="n">
        <v>98997</v>
      </c>
      <c r="H240" s="8" t="n">
        <v>3.6</v>
      </c>
      <c r="I240" s="4" t="s">
        <v>3007</v>
      </c>
    </row>
    <row r="241" customFormat="false" ht="15" hidden="false" customHeight="false" outlineLevel="0" collapsed="false">
      <c r="A241" s="4" t="s">
        <v>3479</v>
      </c>
      <c r="B241" s="4" t="s">
        <v>3480</v>
      </c>
      <c r="C241" s="4" t="s">
        <v>32</v>
      </c>
      <c r="D241" s="4" t="s">
        <v>2986</v>
      </c>
      <c r="E241" s="4" t="s">
        <v>462</v>
      </c>
      <c r="F241" s="6" t="n">
        <v>44728</v>
      </c>
      <c r="G241" s="10" t="n">
        <v>88231</v>
      </c>
      <c r="H241" s="8" t="n">
        <v>3.4</v>
      </c>
      <c r="I241" s="4" t="s">
        <v>2994</v>
      </c>
    </row>
    <row r="242" customFormat="false" ht="15" hidden="false" customHeight="false" outlineLevel="0" collapsed="false">
      <c r="A242" s="4" t="s">
        <v>3481</v>
      </c>
      <c r="B242" s="4" t="s">
        <v>3482</v>
      </c>
      <c r="C242" s="4" t="s">
        <v>31</v>
      </c>
      <c r="D242" s="4" t="s">
        <v>2986</v>
      </c>
      <c r="E242" s="4" t="s">
        <v>495</v>
      </c>
      <c r="F242" s="6" t="n">
        <v>45644</v>
      </c>
      <c r="G242" s="10" t="n">
        <v>98743</v>
      </c>
      <c r="H242" s="8" t="n">
        <v>4.7</v>
      </c>
      <c r="I242" s="4" t="s">
        <v>3015</v>
      </c>
    </row>
    <row r="243" customFormat="false" ht="15" hidden="false" customHeight="false" outlineLevel="0" collapsed="false">
      <c r="A243" s="4" t="s">
        <v>3483</v>
      </c>
      <c r="B243" s="4" t="s">
        <v>3484</v>
      </c>
      <c r="C243" s="4" t="s">
        <v>29</v>
      </c>
      <c r="D243" s="4" t="s">
        <v>2993</v>
      </c>
      <c r="E243" s="4" t="s">
        <v>495</v>
      </c>
      <c r="F243" s="6" t="n">
        <v>45544</v>
      </c>
      <c r="G243" s="10" t="n">
        <v>123066</v>
      </c>
      <c r="H243" s="8" t="n">
        <v>4.3</v>
      </c>
      <c r="I243" s="4" t="s">
        <v>2994</v>
      </c>
    </row>
    <row r="244" customFormat="false" ht="15" hidden="false" customHeight="false" outlineLevel="0" collapsed="false">
      <c r="A244" s="4" t="s">
        <v>3485</v>
      </c>
      <c r="B244" s="4" t="s">
        <v>3486</v>
      </c>
      <c r="C244" s="4" t="s">
        <v>17</v>
      </c>
      <c r="D244" s="4" t="s">
        <v>3000</v>
      </c>
      <c r="E244" s="4" t="s">
        <v>469</v>
      </c>
      <c r="F244" s="6" t="n">
        <v>43638</v>
      </c>
      <c r="G244" s="10" t="n">
        <v>141424</v>
      </c>
      <c r="H244" s="8" t="n">
        <v>5</v>
      </c>
      <c r="I244" s="4" t="s">
        <v>3007</v>
      </c>
    </row>
    <row r="245" customFormat="false" ht="15" hidden="false" customHeight="false" outlineLevel="0" collapsed="false">
      <c r="A245" s="4" t="s">
        <v>3487</v>
      </c>
      <c r="B245" s="4" t="s">
        <v>3488</v>
      </c>
      <c r="C245" s="4" t="s">
        <v>29</v>
      </c>
      <c r="D245" s="4" t="s">
        <v>2993</v>
      </c>
      <c r="E245" s="4" t="s">
        <v>472</v>
      </c>
      <c r="F245" s="6" t="n">
        <v>45101</v>
      </c>
      <c r="G245" s="10" t="n">
        <v>152125</v>
      </c>
      <c r="H245" s="8" t="n">
        <v>4.2</v>
      </c>
      <c r="I245" s="4" t="s">
        <v>3004</v>
      </c>
    </row>
    <row r="246" customFormat="false" ht="15" hidden="false" customHeight="false" outlineLevel="0" collapsed="false">
      <c r="A246" s="4" t="s">
        <v>3489</v>
      </c>
      <c r="B246" s="4" t="s">
        <v>3490</v>
      </c>
      <c r="C246" s="4" t="s">
        <v>23</v>
      </c>
      <c r="D246" s="4" t="s">
        <v>3018</v>
      </c>
      <c r="E246" s="4" t="s">
        <v>550</v>
      </c>
      <c r="F246" s="6" t="n">
        <v>43101</v>
      </c>
      <c r="G246" s="10" t="n">
        <v>80407</v>
      </c>
      <c r="H246" s="8" t="n">
        <v>4.8</v>
      </c>
      <c r="I246" s="4" t="s">
        <v>3004</v>
      </c>
    </row>
    <row r="247" customFormat="false" ht="15" hidden="false" customHeight="false" outlineLevel="0" collapsed="false">
      <c r="A247" s="4" t="s">
        <v>3491</v>
      </c>
      <c r="B247" s="4" t="s">
        <v>3492</v>
      </c>
      <c r="C247" s="4" t="s">
        <v>33</v>
      </c>
      <c r="D247" s="4" t="s">
        <v>2993</v>
      </c>
      <c r="E247" s="4" t="s">
        <v>495</v>
      </c>
      <c r="F247" s="6" t="n">
        <v>45303</v>
      </c>
      <c r="G247" s="10" t="n">
        <v>143971</v>
      </c>
      <c r="H247" s="8" t="n">
        <v>3.9</v>
      </c>
      <c r="I247" s="4" t="s">
        <v>3004</v>
      </c>
    </row>
    <row r="248" customFormat="false" ht="15" hidden="false" customHeight="false" outlineLevel="0" collapsed="false">
      <c r="A248" s="4" t="s">
        <v>3493</v>
      </c>
      <c r="B248" s="4" t="s">
        <v>3494</v>
      </c>
      <c r="C248" s="4" t="s">
        <v>32</v>
      </c>
      <c r="D248" s="4" t="s">
        <v>3018</v>
      </c>
      <c r="E248" s="4" t="s">
        <v>495</v>
      </c>
      <c r="F248" s="6" t="n">
        <v>45517</v>
      </c>
      <c r="G248" s="10" t="n">
        <v>100723</v>
      </c>
      <c r="H248" s="8" t="n">
        <v>4.7</v>
      </c>
      <c r="I248" s="4" t="s">
        <v>3004</v>
      </c>
    </row>
    <row r="249" customFormat="false" ht="15" hidden="false" customHeight="false" outlineLevel="0" collapsed="false">
      <c r="A249" s="4" t="s">
        <v>3495</v>
      </c>
      <c r="B249" s="4" t="s">
        <v>3496</v>
      </c>
      <c r="C249" s="4" t="s">
        <v>32</v>
      </c>
      <c r="D249" s="4" t="s">
        <v>3000</v>
      </c>
      <c r="E249" s="4" t="s">
        <v>495</v>
      </c>
      <c r="F249" s="6" t="n">
        <v>44002</v>
      </c>
      <c r="G249" s="10" t="n">
        <v>79978</v>
      </c>
      <c r="H249" s="8" t="n">
        <v>2.6</v>
      </c>
      <c r="I249" s="4" t="s">
        <v>3015</v>
      </c>
    </row>
    <row r="250" customFormat="false" ht="15" hidden="false" customHeight="false" outlineLevel="0" collapsed="false">
      <c r="A250" s="4" t="s">
        <v>3497</v>
      </c>
      <c r="B250" s="4" t="s">
        <v>3498</v>
      </c>
      <c r="C250" s="4" t="s">
        <v>33</v>
      </c>
      <c r="D250" s="4" t="s">
        <v>2986</v>
      </c>
      <c r="E250" s="4" t="s">
        <v>469</v>
      </c>
      <c r="F250" s="6" t="n">
        <v>45244</v>
      </c>
      <c r="G250" s="10" t="n">
        <v>71116</v>
      </c>
      <c r="H250" s="8" t="n">
        <v>3.6</v>
      </c>
      <c r="I250" s="4" t="s">
        <v>3004</v>
      </c>
    </row>
    <row r="251" customFormat="false" ht="15" hidden="false" customHeight="false" outlineLevel="0" collapsed="false">
      <c r="A251" s="4" t="s">
        <v>3499</v>
      </c>
      <c r="B251" s="4" t="s">
        <v>3500</v>
      </c>
      <c r="C251" s="4" t="s">
        <v>32</v>
      </c>
      <c r="D251" s="4" t="s">
        <v>2986</v>
      </c>
      <c r="E251" s="4" t="s">
        <v>495</v>
      </c>
      <c r="F251" s="6" t="n">
        <v>43187</v>
      </c>
      <c r="G251" s="10" t="n">
        <v>56092</v>
      </c>
      <c r="H251" s="8" t="n">
        <v>3.7</v>
      </c>
      <c r="I251" s="4" t="s">
        <v>3001</v>
      </c>
    </row>
  </sheetData>
  <dataValidations count="1">
    <dataValidation allowBlank="false" errorStyle="stop" operator="between" showDropDown="false" showErrorMessage="false" showInputMessage="false" sqref="C2:C251" type="list">
      <formula1>Lookups!$F$2:$F$8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9.08"/>
    <col collapsed="false" customWidth="true" hidden="false" outlineLevel="0" max="2" min="2" style="1" width="20.43"/>
    <col collapsed="false" customWidth="true" hidden="false" outlineLevel="0" max="3" min="3" style="1" width="11.22"/>
    <col collapsed="false" customWidth="true" hidden="false" outlineLevel="0" max="4" min="4" style="1" width="20.43"/>
    <col collapsed="false" customWidth="true" hidden="false" outlineLevel="0" max="5" min="5" style="1" width="7.81"/>
    <col collapsed="false" customWidth="true" hidden="false" outlineLevel="0" max="6" min="6" style="1" width="10.36"/>
    <col collapsed="false" customWidth="true" hidden="false" outlineLevel="0" max="7" min="7" style="1" width="9.37"/>
    <col collapsed="false" customWidth="true" hidden="false" outlineLevel="0" max="8" min="8" style="1" width="8.66"/>
    <col collapsed="false" customWidth="true" hidden="false" outlineLevel="0" max="9" min="9" style="1" width="6.96"/>
    <col collapsed="false" customWidth="true" hidden="false" outlineLevel="0" max="10" min="10" style="1" width="9.65"/>
    <col collapsed="false" customWidth="true" hidden="false" outlineLevel="0" max="11" min="11" style="1" width="8.09"/>
    <col collapsed="false" customWidth="true" hidden="false" outlineLevel="0" max="12" min="12" style="1" width="12.63"/>
  </cols>
  <sheetData>
    <row r="1" customFormat="false" ht="28" hidden="false" customHeight="true" outlineLevel="0" collapsed="false">
      <c r="A1" s="3" t="s">
        <v>3501</v>
      </c>
      <c r="B1" s="3" t="s">
        <v>3502</v>
      </c>
      <c r="C1" s="3" t="s">
        <v>5</v>
      </c>
      <c r="D1" s="3" t="s">
        <v>3503</v>
      </c>
      <c r="E1" s="3" t="s">
        <v>4</v>
      </c>
      <c r="F1" s="3" t="s">
        <v>3</v>
      </c>
      <c r="G1" s="3" t="s">
        <v>3504</v>
      </c>
      <c r="H1" s="3" t="s">
        <v>3505</v>
      </c>
      <c r="I1" s="3" t="s">
        <v>3506</v>
      </c>
      <c r="J1" s="3" t="s">
        <v>3507</v>
      </c>
      <c r="K1" s="3" t="s">
        <v>3508</v>
      </c>
      <c r="L1" s="3" t="s">
        <v>3509</v>
      </c>
    </row>
    <row r="2" customFormat="false" ht="15" hidden="false" customHeight="false" outlineLevel="0" collapsed="false">
      <c r="A2" s="4" t="s">
        <v>3510</v>
      </c>
      <c r="B2" s="4" t="s">
        <v>3511</v>
      </c>
      <c r="C2" s="4" t="s">
        <v>23</v>
      </c>
      <c r="D2" s="4" t="s">
        <v>465</v>
      </c>
      <c r="E2" s="4" t="s">
        <v>16</v>
      </c>
      <c r="F2" s="4" t="s">
        <v>21</v>
      </c>
      <c r="G2" s="6" t="n">
        <v>45896</v>
      </c>
      <c r="H2" s="6" t="n">
        <v>46100</v>
      </c>
      <c r="I2" s="10" t="n">
        <v>88762</v>
      </c>
      <c r="J2" s="10" t="n">
        <v>59959.16</v>
      </c>
      <c r="K2" s="10" t="n">
        <f aca="false">I2-J2</f>
        <v>28802.84</v>
      </c>
      <c r="L2" s="9" t="n">
        <v>0.62</v>
      </c>
    </row>
    <row r="3" customFormat="false" ht="15" hidden="false" customHeight="false" outlineLevel="0" collapsed="false">
      <c r="A3" s="4" t="s">
        <v>3512</v>
      </c>
      <c r="B3" s="4" t="s">
        <v>3513</v>
      </c>
      <c r="C3" s="4" t="s">
        <v>29</v>
      </c>
      <c r="D3" s="4" t="s">
        <v>475</v>
      </c>
      <c r="E3" s="4" t="s">
        <v>16</v>
      </c>
      <c r="F3" s="4" t="s">
        <v>21</v>
      </c>
      <c r="G3" s="6" t="n">
        <v>45805</v>
      </c>
      <c r="H3" s="6" t="n">
        <v>45851</v>
      </c>
      <c r="I3" s="10" t="n">
        <v>429317</v>
      </c>
      <c r="J3" s="10" t="n">
        <v>182116.01</v>
      </c>
      <c r="K3" s="10" t="n">
        <f aca="false">I3-J3</f>
        <v>247200.99</v>
      </c>
      <c r="L3" s="9" t="n">
        <v>0.75</v>
      </c>
    </row>
    <row r="4" customFormat="false" ht="15" hidden="false" customHeight="false" outlineLevel="0" collapsed="false">
      <c r="A4" s="4" t="s">
        <v>3514</v>
      </c>
      <c r="B4" s="4" t="s">
        <v>3515</v>
      </c>
      <c r="C4" s="4" t="s">
        <v>29</v>
      </c>
      <c r="D4" s="4" t="s">
        <v>490</v>
      </c>
      <c r="E4" s="4" t="s">
        <v>10</v>
      </c>
      <c r="F4" s="4" t="s">
        <v>9</v>
      </c>
      <c r="G4" s="6" t="n">
        <v>45721</v>
      </c>
      <c r="H4" s="6" t="n">
        <v>45764</v>
      </c>
      <c r="I4" s="10" t="n">
        <v>266044</v>
      </c>
      <c r="J4" s="10" t="n">
        <v>116102.57</v>
      </c>
      <c r="K4" s="10" t="n">
        <f aca="false">I4-J4</f>
        <v>149941.43</v>
      </c>
      <c r="L4" s="9" t="n">
        <v>0.32</v>
      </c>
    </row>
    <row r="5" customFormat="false" ht="15" hidden="false" customHeight="false" outlineLevel="0" collapsed="false">
      <c r="A5" s="4" t="s">
        <v>3516</v>
      </c>
      <c r="B5" s="4" t="s">
        <v>3517</v>
      </c>
      <c r="C5" s="4" t="s">
        <v>31</v>
      </c>
      <c r="D5" s="4" t="s">
        <v>524</v>
      </c>
      <c r="E5" s="4" t="s">
        <v>16</v>
      </c>
      <c r="F5" s="4" t="s">
        <v>9</v>
      </c>
      <c r="G5" s="6" t="n">
        <v>45728</v>
      </c>
      <c r="H5" s="6" t="n">
        <v>45847</v>
      </c>
      <c r="I5" s="10" t="n">
        <v>470703</v>
      </c>
      <c r="J5" s="10" t="n">
        <v>193737.63</v>
      </c>
      <c r="K5" s="10" t="n">
        <f aca="false">I5-J5</f>
        <v>276965.37</v>
      </c>
      <c r="L5" s="9" t="n">
        <v>0.91</v>
      </c>
    </row>
    <row r="6" customFormat="false" ht="15" hidden="false" customHeight="false" outlineLevel="0" collapsed="false">
      <c r="A6" s="4" t="s">
        <v>3518</v>
      </c>
      <c r="B6" s="4" t="s">
        <v>3519</v>
      </c>
      <c r="C6" s="4" t="s">
        <v>32</v>
      </c>
      <c r="D6" s="4" t="s">
        <v>455</v>
      </c>
      <c r="E6" s="4" t="s">
        <v>10</v>
      </c>
      <c r="F6" s="4" t="s">
        <v>21</v>
      </c>
      <c r="G6" s="6" t="n">
        <v>45796</v>
      </c>
      <c r="H6" s="6" t="n">
        <v>45862</v>
      </c>
      <c r="I6" s="10" t="n">
        <v>394330</v>
      </c>
      <c r="J6" s="10" t="n">
        <v>124766.07</v>
      </c>
      <c r="K6" s="10" t="n">
        <f aca="false">I6-J6</f>
        <v>269563.93</v>
      </c>
      <c r="L6" s="9" t="n">
        <v>0.28</v>
      </c>
    </row>
    <row r="7" customFormat="false" ht="15" hidden="false" customHeight="false" outlineLevel="0" collapsed="false">
      <c r="A7" s="4" t="s">
        <v>3520</v>
      </c>
      <c r="B7" s="4" t="s">
        <v>3521</v>
      </c>
      <c r="C7" s="4" t="s">
        <v>31</v>
      </c>
      <c r="D7" s="4" t="s">
        <v>462</v>
      </c>
      <c r="E7" s="4" t="s">
        <v>28</v>
      </c>
      <c r="F7" s="4" t="s">
        <v>27</v>
      </c>
      <c r="G7" s="6" t="n">
        <v>45674</v>
      </c>
      <c r="H7" s="6" t="n">
        <v>45825</v>
      </c>
      <c r="I7" s="10" t="n">
        <v>499126</v>
      </c>
      <c r="J7" s="10" t="n">
        <v>244619.39</v>
      </c>
      <c r="K7" s="10" t="n">
        <f aca="false">I7-J7</f>
        <v>254506.61</v>
      </c>
      <c r="L7" s="9" t="n">
        <v>0.51</v>
      </c>
    </row>
    <row r="8" customFormat="false" ht="15" hidden="false" customHeight="false" outlineLevel="0" collapsed="false">
      <c r="A8" s="4" t="s">
        <v>3522</v>
      </c>
      <c r="B8" s="4" t="s">
        <v>3523</v>
      </c>
      <c r="C8" s="4" t="s">
        <v>23</v>
      </c>
      <c r="D8" s="4" t="s">
        <v>465</v>
      </c>
      <c r="E8" s="4" t="s">
        <v>22</v>
      </c>
      <c r="F8" s="4" t="s">
        <v>15</v>
      </c>
      <c r="G8" s="6" t="n">
        <v>46153</v>
      </c>
      <c r="H8" s="6" t="n">
        <v>46208</v>
      </c>
      <c r="I8" s="10" t="n">
        <v>478206</v>
      </c>
      <c r="J8" s="10" t="n">
        <v>185250.79</v>
      </c>
      <c r="K8" s="10" t="n">
        <f aca="false">I8-J8</f>
        <v>292955.21</v>
      </c>
      <c r="L8" s="9" t="n">
        <v>0.72</v>
      </c>
    </row>
    <row r="9" customFormat="false" ht="15" hidden="false" customHeight="false" outlineLevel="0" collapsed="false">
      <c r="A9" s="4" t="s">
        <v>3524</v>
      </c>
      <c r="B9" s="4" t="s">
        <v>3525</v>
      </c>
      <c r="C9" s="4" t="s">
        <v>32</v>
      </c>
      <c r="D9" s="4" t="s">
        <v>543</v>
      </c>
      <c r="E9" s="4" t="s">
        <v>16</v>
      </c>
      <c r="F9" s="4" t="s">
        <v>21</v>
      </c>
      <c r="G9" s="6" t="n">
        <v>45881</v>
      </c>
      <c r="H9" s="6" t="n">
        <v>46084</v>
      </c>
      <c r="I9" s="10" t="n">
        <v>469240</v>
      </c>
      <c r="J9" s="10" t="n">
        <v>213376.52</v>
      </c>
      <c r="K9" s="10" t="n">
        <f aca="false">I9-J9</f>
        <v>255863.48</v>
      </c>
      <c r="L9" s="9" t="n">
        <v>0.17</v>
      </c>
    </row>
    <row r="10" customFormat="false" ht="15" hidden="false" customHeight="false" outlineLevel="0" collapsed="false">
      <c r="A10" s="4" t="s">
        <v>3526</v>
      </c>
      <c r="B10" s="4" t="s">
        <v>3527</v>
      </c>
      <c r="C10" s="4" t="s">
        <v>11</v>
      </c>
      <c r="D10" s="4" t="s">
        <v>495</v>
      </c>
      <c r="E10" s="4" t="s">
        <v>28</v>
      </c>
      <c r="F10" s="4" t="s">
        <v>15</v>
      </c>
      <c r="G10" s="6" t="n">
        <v>45871</v>
      </c>
      <c r="H10" s="6" t="n">
        <v>46042</v>
      </c>
      <c r="I10" s="10" t="n">
        <v>114607</v>
      </c>
      <c r="J10" s="10" t="n">
        <v>49414.93</v>
      </c>
      <c r="K10" s="10" t="n">
        <f aca="false">I10-J10</f>
        <v>65192.07</v>
      </c>
      <c r="L10" s="9" t="n">
        <v>0.48</v>
      </c>
    </row>
    <row r="11" customFormat="false" ht="15" hidden="false" customHeight="false" outlineLevel="0" collapsed="false">
      <c r="A11" s="4" t="s">
        <v>3528</v>
      </c>
      <c r="B11" s="4" t="s">
        <v>3529</v>
      </c>
      <c r="C11" s="4" t="s">
        <v>29</v>
      </c>
      <c r="D11" s="4" t="s">
        <v>550</v>
      </c>
      <c r="E11" s="4" t="s">
        <v>22</v>
      </c>
      <c r="F11" s="4" t="s">
        <v>21</v>
      </c>
      <c r="G11" s="6" t="n">
        <v>46058</v>
      </c>
      <c r="H11" s="6" t="n">
        <v>46199</v>
      </c>
      <c r="I11" s="10" t="n">
        <v>60353</v>
      </c>
      <c r="J11" s="10" t="n">
        <v>15237.37</v>
      </c>
      <c r="K11" s="10" t="n">
        <f aca="false">I11-J11</f>
        <v>45115.63</v>
      </c>
      <c r="L11" s="9" t="n">
        <v>0.59</v>
      </c>
    </row>
    <row r="12" customFormat="false" ht="15" hidden="false" customHeight="false" outlineLevel="0" collapsed="false">
      <c r="A12" s="4" t="s">
        <v>3530</v>
      </c>
      <c r="B12" s="4" t="s">
        <v>3531</v>
      </c>
      <c r="C12" s="4" t="s">
        <v>29</v>
      </c>
      <c r="D12" s="4" t="s">
        <v>459</v>
      </c>
      <c r="E12" s="4" t="s">
        <v>10</v>
      </c>
      <c r="F12" s="4" t="s">
        <v>9</v>
      </c>
      <c r="G12" s="6" t="n">
        <v>45839</v>
      </c>
      <c r="H12" s="6" t="n">
        <v>45978</v>
      </c>
      <c r="I12" s="10" t="n">
        <v>254607</v>
      </c>
      <c r="J12" s="10" t="n">
        <v>143230.75</v>
      </c>
      <c r="K12" s="10" t="n">
        <f aca="false">I12-J12</f>
        <v>111376.25</v>
      </c>
      <c r="L12" s="9" t="n">
        <v>0.98</v>
      </c>
    </row>
    <row r="13" customFormat="false" ht="15" hidden="false" customHeight="false" outlineLevel="0" collapsed="false">
      <c r="A13" s="4" t="s">
        <v>3532</v>
      </c>
      <c r="B13" s="4" t="s">
        <v>3533</v>
      </c>
      <c r="C13" s="4" t="s">
        <v>23</v>
      </c>
      <c r="D13" s="4" t="s">
        <v>480</v>
      </c>
      <c r="E13" s="4" t="s">
        <v>16</v>
      </c>
      <c r="F13" s="4" t="s">
        <v>21</v>
      </c>
      <c r="G13" s="6" t="n">
        <v>45873</v>
      </c>
      <c r="H13" s="6" t="n">
        <v>45925</v>
      </c>
      <c r="I13" s="10" t="n">
        <v>406286</v>
      </c>
      <c r="J13" s="10" t="n">
        <v>103458.35</v>
      </c>
      <c r="K13" s="10" t="n">
        <f aca="false">I13-J13</f>
        <v>302827.65</v>
      </c>
      <c r="L13" s="9" t="n">
        <v>0.16</v>
      </c>
    </row>
    <row r="14" customFormat="false" ht="15" hidden="false" customHeight="false" outlineLevel="0" collapsed="false">
      <c r="A14" s="4" t="s">
        <v>3534</v>
      </c>
      <c r="B14" s="4" t="s">
        <v>3535</v>
      </c>
      <c r="C14" s="4" t="s">
        <v>23</v>
      </c>
      <c r="D14" s="4" t="s">
        <v>475</v>
      </c>
      <c r="E14" s="4" t="s">
        <v>28</v>
      </c>
      <c r="F14" s="4" t="s">
        <v>15</v>
      </c>
      <c r="G14" s="6" t="n">
        <v>45975</v>
      </c>
      <c r="H14" s="6" t="n">
        <v>46144</v>
      </c>
      <c r="I14" s="10" t="n">
        <v>481813</v>
      </c>
      <c r="J14" s="10" t="n">
        <v>347932.61</v>
      </c>
      <c r="K14" s="10" t="n">
        <f aca="false">I14-J14</f>
        <v>133880.39</v>
      </c>
      <c r="L14" s="9" t="n">
        <v>0.51</v>
      </c>
    </row>
    <row r="15" customFormat="false" ht="15" hidden="false" customHeight="false" outlineLevel="0" collapsed="false">
      <c r="A15" s="4" t="s">
        <v>3536</v>
      </c>
      <c r="B15" s="4" t="s">
        <v>3537</v>
      </c>
      <c r="C15" s="4" t="s">
        <v>31</v>
      </c>
      <c r="D15" s="4" t="s">
        <v>524</v>
      </c>
      <c r="E15" s="4" t="s">
        <v>28</v>
      </c>
      <c r="F15" s="4" t="s">
        <v>9</v>
      </c>
      <c r="G15" s="6" t="n">
        <v>46001</v>
      </c>
      <c r="H15" s="6" t="n">
        <v>46032</v>
      </c>
      <c r="I15" s="10" t="n">
        <v>252644</v>
      </c>
      <c r="J15" s="10" t="n">
        <v>249670.16</v>
      </c>
      <c r="K15" s="10" t="n">
        <f aca="false">I15-J15</f>
        <v>2973.84</v>
      </c>
      <c r="L15" s="9" t="n">
        <v>0.1</v>
      </c>
    </row>
    <row r="16" customFormat="false" ht="15" hidden="false" customHeight="false" outlineLevel="0" collapsed="false">
      <c r="A16" s="4" t="s">
        <v>3538</v>
      </c>
      <c r="B16" s="4" t="s">
        <v>3539</v>
      </c>
      <c r="C16" s="4" t="s">
        <v>11</v>
      </c>
      <c r="D16" s="4" t="s">
        <v>490</v>
      </c>
      <c r="E16" s="4" t="s">
        <v>10</v>
      </c>
      <c r="F16" s="4" t="s">
        <v>21</v>
      </c>
      <c r="G16" s="6" t="n">
        <v>45686</v>
      </c>
      <c r="H16" s="6" t="n">
        <v>45785</v>
      </c>
      <c r="I16" s="10" t="n">
        <v>445103</v>
      </c>
      <c r="J16" s="10" t="n">
        <v>527353.97</v>
      </c>
      <c r="K16" s="10" t="n">
        <f aca="false">I16-J16</f>
        <v>-82250.97</v>
      </c>
      <c r="L16" s="9" t="n">
        <v>0.72</v>
      </c>
    </row>
    <row r="17" customFormat="false" ht="15" hidden="false" customHeight="false" outlineLevel="0" collapsed="false">
      <c r="A17" s="4" t="s">
        <v>3540</v>
      </c>
      <c r="B17" s="4" t="s">
        <v>3541</v>
      </c>
      <c r="C17" s="4" t="s">
        <v>11</v>
      </c>
      <c r="D17" s="4" t="s">
        <v>550</v>
      </c>
      <c r="E17" s="4" t="s">
        <v>10</v>
      </c>
      <c r="F17" s="4" t="s">
        <v>15</v>
      </c>
      <c r="G17" s="6" t="n">
        <v>45904</v>
      </c>
      <c r="H17" s="6" t="n">
        <v>46110</v>
      </c>
      <c r="I17" s="10" t="n">
        <v>183700</v>
      </c>
      <c r="J17" s="10" t="n">
        <v>193021.96</v>
      </c>
      <c r="K17" s="10" t="n">
        <f aca="false">I17-J17</f>
        <v>-9321.95999999999</v>
      </c>
      <c r="L17" s="9" t="n">
        <v>0.66</v>
      </c>
    </row>
    <row r="18" customFormat="false" ht="15" hidden="false" customHeight="false" outlineLevel="0" collapsed="false">
      <c r="A18" s="4" t="s">
        <v>3542</v>
      </c>
      <c r="B18" s="4" t="s">
        <v>3543</v>
      </c>
      <c r="C18" s="4" t="s">
        <v>17</v>
      </c>
      <c r="D18" s="4" t="s">
        <v>472</v>
      </c>
      <c r="E18" s="4" t="s">
        <v>16</v>
      </c>
      <c r="F18" s="4" t="s">
        <v>21</v>
      </c>
      <c r="G18" s="6" t="n">
        <v>45731</v>
      </c>
      <c r="H18" s="6" t="n">
        <v>45904</v>
      </c>
      <c r="I18" s="10" t="n">
        <v>398195</v>
      </c>
      <c r="J18" s="10" t="n">
        <v>463501.49</v>
      </c>
      <c r="K18" s="10" t="n">
        <f aca="false">I18-J18</f>
        <v>-65306.49</v>
      </c>
      <c r="L18" s="9" t="n">
        <v>0.8</v>
      </c>
    </row>
    <row r="19" customFormat="false" ht="15" hidden="false" customHeight="false" outlineLevel="0" collapsed="false">
      <c r="A19" s="4" t="s">
        <v>3544</v>
      </c>
      <c r="B19" s="4" t="s">
        <v>3545</v>
      </c>
      <c r="C19" s="4" t="s">
        <v>32</v>
      </c>
      <c r="D19" s="4" t="s">
        <v>550</v>
      </c>
      <c r="E19" s="4" t="s">
        <v>16</v>
      </c>
      <c r="F19" s="4" t="s">
        <v>9</v>
      </c>
      <c r="G19" s="6" t="n">
        <v>45817</v>
      </c>
      <c r="H19" s="6" t="n">
        <v>46031</v>
      </c>
      <c r="I19" s="10" t="n">
        <v>13382</v>
      </c>
      <c r="J19" s="10" t="n">
        <v>13197.04</v>
      </c>
      <c r="K19" s="10" t="n">
        <f aca="false">I19-J19</f>
        <v>184.959999999999</v>
      </c>
      <c r="L19" s="9" t="n">
        <v>0.08</v>
      </c>
    </row>
    <row r="20" customFormat="false" ht="15" hidden="false" customHeight="false" outlineLevel="0" collapsed="false">
      <c r="A20" s="4" t="s">
        <v>3546</v>
      </c>
      <c r="B20" s="4" t="s">
        <v>3547</v>
      </c>
      <c r="C20" s="4" t="s">
        <v>32</v>
      </c>
      <c r="D20" s="4" t="s">
        <v>452</v>
      </c>
      <c r="E20" s="4" t="s">
        <v>16</v>
      </c>
      <c r="F20" s="4" t="s">
        <v>15</v>
      </c>
      <c r="G20" s="6" t="n">
        <v>45658</v>
      </c>
      <c r="H20" s="6" t="n">
        <v>45727</v>
      </c>
      <c r="I20" s="10" t="n">
        <v>326560</v>
      </c>
      <c r="J20" s="10" t="n">
        <v>348729.82</v>
      </c>
      <c r="K20" s="10" t="n">
        <f aca="false">I20-J20</f>
        <v>-22169.82</v>
      </c>
      <c r="L20" s="9" t="n">
        <v>0.13</v>
      </c>
    </row>
    <row r="21" customFormat="false" ht="15" hidden="false" customHeight="false" outlineLevel="0" collapsed="false">
      <c r="A21" s="4" t="s">
        <v>3548</v>
      </c>
      <c r="B21" s="4" t="s">
        <v>3549</v>
      </c>
      <c r="C21" s="4" t="s">
        <v>29</v>
      </c>
      <c r="D21" s="4" t="s">
        <v>475</v>
      </c>
      <c r="E21" s="4" t="s">
        <v>10</v>
      </c>
      <c r="F21" s="4" t="s">
        <v>21</v>
      </c>
      <c r="G21" s="6" t="n">
        <v>45900</v>
      </c>
      <c r="H21" s="6" t="n">
        <v>45936</v>
      </c>
      <c r="I21" s="10" t="n">
        <v>446588</v>
      </c>
      <c r="J21" s="10" t="n">
        <v>293133.64</v>
      </c>
      <c r="K21" s="10" t="n">
        <f aca="false">I21-J21</f>
        <v>153454.36</v>
      </c>
      <c r="L21" s="9" t="n">
        <v>0.51</v>
      </c>
    </row>
    <row r="22" customFormat="false" ht="15" hidden="false" customHeight="false" outlineLevel="0" collapsed="false">
      <c r="A22" s="4" t="s">
        <v>3550</v>
      </c>
      <c r="B22" s="4" t="s">
        <v>3551</v>
      </c>
      <c r="C22" s="4" t="s">
        <v>31</v>
      </c>
      <c r="D22" s="4" t="s">
        <v>524</v>
      </c>
      <c r="E22" s="4" t="s">
        <v>22</v>
      </c>
      <c r="F22" s="4" t="s">
        <v>27</v>
      </c>
      <c r="G22" s="6" t="n">
        <v>45905</v>
      </c>
      <c r="H22" s="6" t="n">
        <v>45982</v>
      </c>
      <c r="I22" s="10" t="n">
        <v>440058</v>
      </c>
      <c r="J22" s="10" t="n">
        <v>157725.87</v>
      </c>
      <c r="K22" s="10" t="n">
        <f aca="false">I22-J22</f>
        <v>282332.13</v>
      </c>
      <c r="L22" s="9" t="n">
        <v>0.84</v>
      </c>
    </row>
    <row r="23" customFormat="false" ht="15" hidden="false" customHeight="false" outlineLevel="0" collapsed="false">
      <c r="A23" s="4" t="s">
        <v>3552</v>
      </c>
      <c r="B23" s="4" t="s">
        <v>3553</v>
      </c>
      <c r="C23" s="4" t="s">
        <v>11</v>
      </c>
      <c r="D23" s="4" t="s">
        <v>543</v>
      </c>
      <c r="E23" s="4" t="s">
        <v>16</v>
      </c>
      <c r="F23" s="4" t="s">
        <v>15</v>
      </c>
      <c r="G23" s="6" t="n">
        <v>45973</v>
      </c>
      <c r="H23" s="6" t="n">
        <v>46034</v>
      </c>
      <c r="I23" s="10" t="n">
        <v>236677</v>
      </c>
      <c r="J23" s="10" t="n">
        <v>61742.17</v>
      </c>
      <c r="K23" s="10" t="n">
        <f aca="false">I23-J23</f>
        <v>174934.83</v>
      </c>
      <c r="L23" s="9" t="n">
        <v>0.21</v>
      </c>
    </row>
    <row r="24" customFormat="false" ht="15" hidden="false" customHeight="false" outlineLevel="0" collapsed="false">
      <c r="A24" s="4" t="s">
        <v>3554</v>
      </c>
      <c r="B24" s="4" t="s">
        <v>3555</v>
      </c>
      <c r="C24" s="4" t="s">
        <v>29</v>
      </c>
      <c r="D24" s="4" t="s">
        <v>459</v>
      </c>
      <c r="E24" s="4" t="s">
        <v>22</v>
      </c>
      <c r="F24" s="4" t="s">
        <v>21</v>
      </c>
      <c r="G24" s="6" t="n">
        <v>45919</v>
      </c>
      <c r="H24" s="6" t="n">
        <v>46138</v>
      </c>
      <c r="I24" s="10" t="n">
        <v>376806</v>
      </c>
      <c r="J24" s="10" t="n">
        <v>264272.56</v>
      </c>
      <c r="K24" s="10" t="n">
        <f aca="false">I24-J24</f>
        <v>112533.44</v>
      </c>
      <c r="L24" s="9" t="n">
        <v>0.85</v>
      </c>
    </row>
    <row r="25" customFormat="false" ht="15" hidden="false" customHeight="false" outlineLevel="0" collapsed="false">
      <c r="A25" s="4" t="s">
        <v>3556</v>
      </c>
      <c r="B25" s="4" t="s">
        <v>3557</v>
      </c>
      <c r="C25" s="4" t="s">
        <v>23</v>
      </c>
      <c r="D25" s="4" t="s">
        <v>449</v>
      </c>
      <c r="E25" s="4" t="s">
        <v>28</v>
      </c>
      <c r="F25" s="4" t="s">
        <v>9</v>
      </c>
      <c r="G25" s="6" t="n">
        <v>45709</v>
      </c>
      <c r="H25" s="6" t="n">
        <v>45889</v>
      </c>
      <c r="I25" s="10" t="n">
        <v>268455</v>
      </c>
      <c r="J25" s="10" t="n">
        <v>135321.01</v>
      </c>
      <c r="K25" s="10" t="n">
        <f aca="false">I25-J25</f>
        <v>133133.99</v>
      </c>
      <c r="L25" s="9" t="n">
        <v>0.59</v>
      </c>
    </row>
    <row r="26" customFormat="false" ht="15" hidden="false" customHeight="false" outlineLevel="0" collapsed="false">
      <c r="A26" s="4" t="s">
        <v>3558</v>
      </c>
      <c r="B26" s="4" t="s">
        <v>3559</v>
      </c>
      <c r="C26" s="4" t="s">
        <v>23</v>
      </c>
      <c r="D26" s="4" t="s">
        <v>459</v>
      </c>
      <c r="E26" s="4" t="s">
        <v>10</v>
      </c>
      <c r="F26" s="4" t="s">
        <v>27</v>
      </c>
      <c r="G26" s="6" t="n">
        <v>45871</v>
      </c>
      <c r="H26" s="6" t="n">
        <v>46109</v>
      </c>
      <c r="I26" s="10" t="n">
        <v>232734</v>
      </c>
      <c r="J26" s="10" t="n">
        <v>61205.13</v>
      </c>
      <c r="K26" s="10" t="n">
        <f aca="false">I26-J26</f>
        <v>171528.87</v>
      </c>
      <c r="L26" s="9" t="n">
        <v>0.01</v>
      </c>
    </row>
    <row r="27" customFormat="false" ht="15" hidden="false" customHeight="false" outlineLevel="0" collapsed="false">
      <c r="A27" s="4" t="s">
        <v>3560</v>
      </c>
      <c r="B27" s="4" t="s">
        <v>3561</v>
      </c>
      <c r="C27" s="4" t="s">
        <v>33</v>
      </c>
      <c r="D27" s="4" t="s">
        <v>465</v>
      </c>
      <c r="E27" s="4" t="s">
        <v>28</v>
      </c>
      <c r="F27" s="4" t="s">
        <v>9</v>
      </c>
      <c r="G27" s="6" t="n">
        <v>45955</v>
      </c>
      <c r="H27" s="6" t="n">
        <v>46062</v>
      </c>
      <c r="I27" s="10" t="n">
        <v>27869</v>
      </c>
      <c r="J27" s="10" t="n">
        <v>22563.3</v>
      </c>
      <c r="K27" s="10" t="n">
        <f aca="false">I27-J27</f>
        <v>5305.7</v>
      </c>
      <c r="L27" s="9" t="n">
        <v>0.45</v>
      </c>
    </row>
    <row r="28" customFormat="false" ht="15" hidden="false" customHeight="false" outlineLevel="0" collapsed="false">
      <c r="A28" s="4" t="s">
        <v>3562</v>
      </c>
      <c r="B28" s="4" t="s">
        <v>3563</v>
      </c>
      <c r="C28" s="4" t="s">
        <v>29</v>
      </c>
      <c r="D28" s="4" t="s">
        <v>495</v>
      </c>
      <c r="E28" s="4" t="s">
        <v>10</v>
      </c>
      <c r="F28" s="4" t="s">
        <v>15</v>
      </c>
      <c r="G28" s="6" t="n">
        <v>46150</v>
      </c>
      <c r="H28" s="6" t="n">
        <v>46215</v>
      </c>
      <c r="I28" s="10" t="n">
        <v>255318</v>
      </c>
      <c r="J28" s="10" t="n">
        <v>273360.46</v>
      </c>
      <c r="K28" s="10" t="n">
        <f aca="false">I28-J28</f>
        <v>-18042.46</v>
      </c>
      <c r="L28" s="9" t="n">
        <v>0.45</v>
      </c>
    </row>
    <row r="29" customFormat="false" ht="15" hidden="false" customHeight="false" outlineLevel="0" collapsed="false">
      <c r="A29" s="4" t="s">
        <v>3564</v>
      </c>
      <c r="B29" s="4" t="s">
        <v>3565</v>
      </c>
      <c r="C29" s="4" t="s">
        <v>33</v>
      </c>
      <c r="D29" s="4" t="s">
        <v>524</v>
      </c>
      <c r="E29" s="4" t="s">
        <v>28</v>
      </c>
      <c r="F29" s="4" t="s">
        <v>9</v>
      </c>
      <c r="G29" s="6" t="n">
        <v>45914</v>
      </c>
      <c r="H29" s="6" t="n">
        <v>46072</v>
      </c>
      <c r="I29" s="10" t="n">
        <v>120509</v>
      </c>
      <c r="J29" s="10" t="n">
        <v>58292.31</v>
      </c>
      <c r="K29" s="10" t="n">
        <f aca="false">I29-J29</f>
        <v>62216.69</v>
      </c>
      <c r="L29" s="9" t="n">
        <v>0.22</v>
      </c>
    </row>
    <row r="30" customFormat="false" ht="15" hidden="false" customHeight="false" outlineLevel="0" collapsed="false">
      <c r="A30" s="4" t="s">
        <v>3566</v>
      </c>
      <c r="B30" s="4" t="s">
        <v>3567</v>
      </c>
      <c r="C30" s="4" t="s">
        <v>32</v>
      </c>
      <c r="D30" s="4" t="s">
        <v>490</v>
      </c>
      <c r="E30" s="4" t="s">
        <v>28</v>
      </c>
      <c r="F30" s="4" t="s">
        <v>15</v>
      </c>
      <c r="G30" s="6" t="n">
        <v>45993</v>
      </c>
      <c r="H30" s="6" t="n">
        <v>46061</v>
      </c>
      <c r="I30" s="10" t="n">
        <v>194479</v>
      </c>
      <c r="J30" s="10" t="n">
        <v>159769.7</v>
      </c>
      <c r="K30" s="10" t="n">
        <f aca="false">I30-J30</f>
        <v>34709.3</v>
      </c>
      <c r="L30" s="9" t="n">
        <v>0.35</v>
      </c>
    </row>
    <row r="31" customFormat="false" ht="15" hidden="false" customHeight="false" outlineLevel="0" collapsed="false">
      <c r="A31" s="4" t="s">
        <v>3568</v>
      </c>
      <c r="B31" s="4" t="s">
        <v>3569</v>
      </c>
      <c r="C31" s="4" t="s">
        <v>29</v>
      </c>
      <c r="D31" s="4" t="s">
        <v>452</v>
      </c>
      <c r="E31" s="4" t="s">
        <v>28</v>
      </c>
      <c r="F31" s="4" t="s">
        <v>27</v>
      </c>
      <c r="G31" s="6" t="n">
        <v>46059</v>
      </c>
      <c r="H31" s="6" t="n">
        <v>46284</v>
      </c>
      <c r="I31" s="10" t="n">
        <v>355214</v>
      </c>
      <c r="J31" s="10" t="n">
        <v>153886.83</v>
      </c>
      <c r="K31" s="10" t="n">
        <f aca="false">I31-J31</f>
        <v>201327.17</v>
      </c>
      <c r="L31" s="9" t="n">
        <v>0.6</v>
      </c>
    </row>
    <row r="32" customFormat="false" ht="15" hidden="false" customHeight="false" outlineLevel="0" collapsed="false">
      <c r="A32" s="4" t="s">
        <v>3570</v>
      </c>
      <c r="B32" s="4" t="s">
        <v>3571</v>
      </c>
      <c r="C32" s="4" t="s">
        <v>32</v>
      </c>
      <c r="D32" s="4" t="s">
        <v>480</v>
      </c>
      <c r="E32" s="4" t="s">
        <v>22</v>
      </c>
      <c r="F32" s="4" t="s">
        <v>15</v>
      </c>
      <c r="G32" s="6" t="n">
        <v>45968</v>
      </c>
      <c r="H32" s="6" t="n">
        <v>46166</v>
      </c>
      <c r="I32" s="10" t="n">
        <v>104568</v>
      </c>
      <c r="J32" s="10" t="n">
        <v>76715.57</v>
      </c>
      <c r="K32" s="10" t="n">
        <f aca="false">I32-J32</f>
        <v>27852.43</v>
      </c>
      <c r="L32" s="9" t="n">
        <v>0.89</v>
      </c>
    </row>
    <row r="33" customFormat="false" ht="15" hidden="false" customHeight="false" outlineLevel="0" collapsed="false">
      <c r="A33" s="4" t="s">
        <v>3572</v>
      </c>
      <c r="B33" s="4" t="s">
        <v>3573</v>
      </c>
      <c r="C33" s="4" t="s">
        <v>32</v>
      </c>
      <c r="D33" s="4" t="s">
        <v>469</v>
      </c>
      <c r="E33" s="4" t="s">
        <v>28</v>
      </c>
      <c r="F33" s="4" t="s">
        <v>9</v>
      </c>
      <c r="G33" s="6" t="n">
        <v>45823</v>
      </c>
      <c r="H33" s="6" t="n">
        <v>46003</v>
      </c>
      <c r="I33" s="10" t="n">
        <v>314467</v>
      </c>
      <c r="J33" s="10" t="n">
        <v>151857.61</v>
      </c>
      <c r="K33" s="10" t="n">
        <f aca="false">I33-J33</f>
        <v>162609.39</v>
      </c>
      <c r="L33" s="9" t="n">
        <v>0.05</v>
      </c>
    </row>
    <row r="34" customFormat="false" ht="15" hidden="false" customHeight="false" outlineLevel="0" collapsed="false">
      <c r="A34" s="4" t="s">
        <v>3574</v>
      </c>
      <c r="B34" s="4" t="s">
        <v>3575</v>
      </c>
      <c r="C34" s="4" t="s">
        <v>33</v>
      </c>
      <c r="D34" s="4" t="s">
        <v>452</v>
      </c>
      <c r="E34" s="4" t="s">
        <v>28</v>
      </c>
      <c r="F34" s="4" t="s">
        <v>27</v>
      </c>
      <c r="G34" s="6" t="n">
        <v>45673</v>
      </c>
      <c r="H34" s="6" t="n">
        <v>45890</v>
      </c>
      <c r="I34" s="10" t="n">
        <v>93455</v>
      </c>
      <c r="J34" s="10" t="n">
        <v>33164.82</v>
      </c>
      <c r="K34" s="10" t="n">
        <f aca="false">I34-J34</f>
        <v>60290.18</v>
      </c>
      <c r="L34" s="9" t="n">
        <v>0.41</v>
      </c>
    </row>
    <row r="35" customFormat="false" ht="15" hidden="false" customHeight="false" outlineLevel="0" collapsed="false">
      <c r="A35" s="4" t="s">
        <v>3576</v>
      </c>
      <c r="B35" s="4" t="s">
        <v>3577</v>
      </c>
      <c r="C35" s="4" t="s">
        <v>33</v>
      </c>
      <c r="D35" s="4" t="s">
        <v>480</v>
      </c>
      <c r="E35" s="4" t="s">
        <v>16</v>
      </c>
      <c r="F35" s="4" t="s">
        <v>9</v>
      </c>
      <c r="G35" s="6" t="n">
        <v>46047</v>
      </c>
      <c r="H35" s="6" t="n">
        <v>46136</v>
      </c>
      <c r="I35" s="10" t="n">
        <v>414615</v>
      </c>
      <c r="J35" s="10" t="n">
        <v>410224.65</v>
      </c>
      <c r="K35" s="10" t="n">
        <f aca="false">I35-J35</f>
        <v>4390.34999999998</v>
      </c>
      <c r="L35" s="9" t="n">
        <v>0.22</v>
      </c>
    </row>
    <row r="36" customFormat="false" ht="15" hidden="false" customHeight="false" outlineLevel="0" collapsed="false">
      <c r="A36" s="4" t="s">
        <v>3578</v>
      </c>
      <c r="B36" s="4" t="s">
        <v>3579</v>
      </c>
      <c r="C36" s="4" t="s">
        <v>11</v>
      </c>
      <c r="D36" s="4" t="s">
        <v>475</v>
      </c>
      <c r="E36" s="4" t="s">
        <v>22</v>
      </c>
      <c r="F36" s="4" t="s">
        <v>9</v>
      </c>
      <c r="G36" s="6" t="n">
        <v>46030</v>
      </c>
      <c r="H36" s="6" t="n">
        <v>46158</v>
      </c>
      <c r="I36" s="10" t="n">
        <v>406264</v>
      </c>
      <c r="J36" s="10" t="n">
        <v>475593.64</v>
      </c>
      <c r="K36" s="10" t="n">
        <f aca="false">I36-J36</f>
        <v>-69329.64</v>
      </c>
      <c r="L36" s="9" t="n">
        <v>0.04</v>
      </c>
    </row>
    <row r="37" customFormat="false" ht="15" hidden="false" customHeight="false" outlineLevel="0" collapsed="false">
      <c r="A37" s="4" t="s">
        <v>3580</v>
      </c>
      <c r="B37" s="4" t="s">
        <v>3581</v>
      </c>
      <c r="C37" s="4" t="s">
        <v>23</v>
      </c>
      <c r="D37" s="4" t="s">
        <v>465</v>
      </c>
      <c r="E37" s="4" t="s">
        <v>10</v>
      </c>
      <c r="F37" s="4" t="s">
        <v>15</v>
      </c>
      <c r="G37" s="6" t="n">
        <v>46091</v>
      </c>
      <c r="H37" s="6" t="n">
        <v>46312</v>
      </c>
      <c r="I37" s="10" t="n">
        <v>48210</v>
      </c>
      <c r="J37" s="10" t="n">
        <v>28235.7</v>
      </c>
      <c r="K37" s="10" t="n">
        <f aca="false">I37-J37</f>
        <v>19974.3</v>
      </c>
      <c r="L37" s="9" t="n">
        <v>0.41</v>
      </c>
    </row>
    <row r="38" customFormat="false" ht="15" hidden="false" customHeight="false" outlineLevel="0" collapsed="false">
      <c r="A38" s="4" t="s">
        <v>3582</v>
      </c>
      <c r="B38" s="4" t="s">
        <v>3583</v>
      </c>
      <c r="C38" s="4" t="s">
        <v>33</v>
      </c>
      <c r="D38" s="4" t="s">
        <v>465</v>
      </c>
      <c r="E38" s="4" t="s">
        <v>16</v>
      </c>
      <c r="F38" s="4" t="s">
        <v>15</v>
      </c>
      <c r="G38" s="6" t="n">
        <v>45713</v>
      </c>
      <c r="H38" s="6" t="n">
        <v>45921</v>
      </c>
      <c r="I38" s="10" t="n">
        <v>245672</v>
      </c>
      <c r="J38" s="10" t="n">
        <v>126617.34</v>
      </c>
      <c r="K38" s="10" t="n">
        <f aca="false">I38-J38</f>
        <v>119054.66</v>
      </c>
      <c r="L38" s="9" t="n">
        <v>0.32</v>
      </c>
    </row>
    <row r="39" customFormat="false" ht="15" hidden="false" customHeight="false" outlineLevel="0" collapsed="false">
      <c r="A39" s="4" t="s">
        <v>3584</v>
      </c>
      <c r="B39" s="4" t="s">
        <v>3585</v>
      </c>
      <c r="C39" s="4" t="s">
        <v>17</v>
      </c>
      <c r="D39" s="4" t="s">
        <v>550</v>
      </c>
      <c r="E39" s="4" t="s">
        <v>16</v>
      </c>
      <c r="F39" s="4" t="s">
        <v>27</v>
      </c>
      <c r="G39" s="6" t="n">
        <v>45909</v>
      </c>
      <c r="H39" s="6" t="n">
        <v>46051</v>
      </c>
      <c r="I39" s="10" t="n">
        <v>365912</v>
      </c>
      <c r="J39" s="10" t="n">
        <v>151743.07</v>
      </c>
      <c r="K39" s="10" t="n">
        <f aca="false">I39-J39</f>
        <v>214168.93</v>
      </c>
      <c r="L39" s="9" t="n">
        <v>0.67</v>
      </c>
    </row>
    <row r="40" customFormat="false" ht="15" hidden="false" customHeight="false" outlineLevel="0" collapsed="false">
      <c r="A40" s="4" t="s">
        <v>3586</v>
      </c>
      <c r="B40" s="4" t="s">
        <v>3587</v>
      </c>
      <c r="C40" s="4" t="s">
        <v>11</v>
      </c>
      <c r="D40" s="4" t="s">
        <v>462</v>
      </c>
      <c r="E40" s="4" t="s">
        <v>10</v>
      </c>
      <c r="F40" s="4" t="s">
        <v>15</v>
      </c>
      <c r="G40" s="6" t="n">
        <v>46072</v>
      </c>
      <c r="H40" s="6" t="n">
        <v>46304</v>
      </c>
      <c r="I40" s="10" t="n">
        <v>110818</v>
      </c>
      <c r="J40" s="10" t="n">
        <v>21567.41</v>
      </c>
      <c r="K40" s="10" t="n">
        <f aca="false">I40-J40</f>
        <v>89250.59</v>
      </c>
      <c r="L40" s="9" t="n">
        <v>0.04</v>
      </c>
    </row>
    <row r="41" customFormat="false" ht="15" hidden="false" customHeight="false" outlineLevel="0" collapsed="false">
      <c r="A41" s="4" t="s">
        <v>3588</v>
      </c>
      <c r="B41" s="4" t="s">
        <v>3589</v>
      </c>
      <c r="C41" s="4" t="s">
        <v>31</v>
      </c>
      <c r="D41" s="4" t="s">
        <v>449</v>
      </c>
      <c r="E41" s="4" t="s">
        <v>10</v>
      </c>
      <c r="F41" s="4" t="s">
        <v>21</v>
      </c>
      <c r="G41" s="6" t="n">
        <v>46072</v>
      </c>
      <c r="H41" s="6" t="n">
        <v>46137</v>
      </c>
      <c r="I41" s="10" t="n">
        <v>478341</v>
      </c>
      <c r="J41" s="10" t="n">
        <v>50589.3</v>
      </c>
      <c r="K41" s="10" t="n">
        <f aca="false">I41-J41</f>
        <v>427751.7</v>
      </c>
      <c r="L41" s="9" t="n">
        <v>0.23</v>
      </c>
    </row>
    <row r="42" customFormat="false" ht="15" hidden="false" customHeight="false" outlineLevel="0" collapsed="false">
      <c r="A42" s="4" t="s">
        <v>3590</v>
      </c>
      <c r="B42" s="4" t="s">
        <v>3591</v>
      </c>
      <c r="C42" s="4" t="s">
        <v>32</v>
      </c>
      <c r="D42" s="4" t="s">
        <v>459</v>
      </c>
      <c r="E42" s="4" t="s">
        <v>16</v>
      </c>
      <c r="F42" s="4" t="s">
        <v>15</v>
      </c>
      <c r="G42" s="6" t="n">
        <v>46007</v>
      </c>
      <c r="H42" s="6" t="n">
        <v>46223</v>
      </c>
      <c r="I42" s="10" t="n">
        <v>487620</v>
      </c>
      <c r="J42" s="10" t="n">
        <v>439400.17</v>
      </c>
      <c r="K42" s="10" t="n">
        <f aca="false">I42-J42</f>
        <v>48219.83</v>
      </c>
      <c r="L42" s="9" t="n">
        <v>0.73</v>
      </c>
    </row>
    <row r="43" customFormat="false" ht="15" hidden="false" customHeight="false" outlineLevel="0" collapsed="false">
      <c r="A43" s="4" t="s">
        <v>3592</v>
      </c>
      <c r="B43" s="4" t="s">
        <v>3593</v>
      </c>
      <c r="C43" s="4" t="s">
        <v>32</v>
      </c>
      <c r="D43" s="4" t="s">
        <v>455</v>
      </c>
      <c r="E43" s="4" t="s">
        <v>16</v>
      </c>
      <c r="F43" s="4" t="s">
        <v>9</v>
      </c>
      <c r="G43" s="6" t="n">
        <v>46081</v>
      </c>
      <c r="H43" s="6" t="n">
        <v>46232</v>
      </c>
      <c r="I43" s="10" t="n">
        <v>272589</v>
      </c>
      <c r="J43" s="10" t="n">
        <v>132837.16</v>
      </c>
      <c r="K43" s="10" t="n">
        <f aca="false">I43-J43</f>
        <v>139751.84</v>
      </c>
      <c r="L43" s="9" t="n">
        <v>0.56</v>
      </c>
    </row>
    <row r="44" customFormat="false" ht="15" hidden="false" customHeight="false" outlineLevel="0" collapsed="false">
      <c r="A44" s="4" t="s">
        <v>3594</v>
      </c>
      <c r="B44" s="4" t="s">
        <v>3595</v>
      </c>
      <c r="C44" s="4" t="s">
        <v>32</v>
      </c>
      <c r="D44" s="4" t="s">
        <v>452</v>
      </c>
      <c r="E44" s="4" t="s">
        <v>16</v>
      </c>
      <c r="F44" s="4" t="s">
        <v>21</v>
      </c>
      <c r="G44" s="6" t="n">
        <v>45876</v>
      </c>
      <c r="H44" s="6" t="n">
        <v>46066</v>
      </c>
      <c r="I44" s="10" t="n">
        <v>207194</v>
      </c>
      <c r="J44" s="10" t="n">
        <v>219910.45</v>
      </c>
      <c r="K44" s="10" t="n">
        <f aca="false">I44-J44</f>
        <v>-12716.45</v>
      </c>
      <c r="L44" s="9" t="n">
        <v>0.12</v>
      </c>
    </row>
    <row r="45" customFormat="false" ht="15" hidden="false" customHeight="false" outlineLevel="0" collapsed="false">
      <c r="A45" s="4" t="s">
        <v>3596</v>
      </c>
      <c r="B45" s="4" t="s">
        <v>3597</v>
      </c>
      <c r="C45" s="4" t="s">
        <v>32</v>
      </c>
      <c r="D45" s="4" t="s">
        <v>490</v>
      </c>
      <c r="E45" s="4" t="s">
        <v>10</v>
      </c>
      <c r="F45" s="4" t="s">
        <v>15</v>
      </c>
      <c r="G45" s="6" t="n">
        <v>45718</v>
      </c>
      <c r="H45" s="6" t="n">
        <v>45875</v>
      </c>
      <c r="I45" s="10" t="n">
        <v>130886</v>
      </c>
      <c r="J45" s="10" t="n">
        <v>20500.27</v>
      </c>
      <c r="K45" s="10" t="n">
        <f aca="false">I45-J45</f>
        <v>110385.73</v>
      </c>
      <c r="L45" s="9" t="n">
        <v>0.37</v>
      </c>
    </row>
    <row r="46" customFormat="false" ht="15" hidden="false" customHeight="false" outlineLevel="0" collapsed="false">
      <c r="A46" s="4" t="s">
        <v>3598</v>
      </c>
      <c r="B46" s="4" t="s">
        <v>3599</v>
      </c>
      <c r="C46" s="4" t="s">
        <v>11</v>
      </c>
      <c r="D46" s="4" t="s">
        <v>469</v>
      </c>
      <c r="E46" s="4" t="s">
        <v>16</v>
      </c>
      <c r="F46" s="4" t="s">
        <v>21</v>
      </c>
      <c r="G46" s="6" t="n">
        <v>46130</v>
      </c>
      <c r="H46" s="6" t="n">
        <v>46224</v>
      </c>
      <c r="I46" s="10" t="n">
        <v>214695</v>
      </c>
      <c r="J46" s="10" t="n">
        <v>187557.69</v>
      </c>
      <c r="K46" s="10" t="n">
        <f aca="false">I46-J46</f>
        <v>27137.31</v>
      </c>
      <c r="L46" s="9" t="n">
        <v>0.09</v>
      </c>
    </row>
    <row r="47" customFormat="false" ht="15" hidden="false" customHeight="false" outlineLevel="0" collapsed="false">
      <c r="A47" s="4" t="s">
        <v>3600</v>
      </c>
      <c r="B47" s="4" t="s">
        <v>3601</v>
      </c>
      <c r="C47" s="4" t="s">
        <v>32</v>
      </c>
      <c r="D47" s="4" t="s">
        <v>524</v>
      </c>
      <c r="E47" s="4" t="s">
        <v>22</v>
      </c>
      <c r="F47" s="4" t="s">
        <v>27</v>
      </c>
      <c r="G47" s="6" t="n">
        <v>45931</v>
      </c>
      <c r="H47" s="6" t="n">
        <v>46108</v>
      </c>
      <c r="I47" s="10" t="n">
        <v>136562</v>
      </c>
      <c r="J47" s="10" t="n">
        <v>141821.65</v>
      </c>
      <c r="K47" s="10" t="n">
        <f aca="false">I47-J47</f>
        <v>-5259.64999999999</v>
      </c>
      <c r="L47" s="9" t="n">
        <v>0.79</v>
      </c>
    </row>
    <row r="48" customFormat="false" ht="15" hidden="false" customHeight="false" outlineLevel="0" collapsed="false">
      <c r="A48" s="4" t="s">
        <v>3602</v>
      </c>
      <c r="B48" s="4" t="s">
        <v>3603</v>
      </c>
      <c r="C48" s="4" t="s">
        <v>32</v>
      </c>
      <c r="D48" s="4" t="s">
        <v>459</v>
      </c>
      <c r="E48" s="4" t="s">
        <v>22</v>
      </c>
      <c r="F48" s="4" t="s">
        <v>9</v>
      </c>
      <c r="G48" s="6" t="n">
        <v>45687</v>
      </c>
      <c r="H48" s="6" t="n">
        <v>45856</v>
      </c>
      <c r="I48" s="10" t="n">
        <v>375700</v>
      </c>
      <c r="J48" s="10" t="n">
        <v>406127.65</v>
      </c>
      <c r="K48" s="10" t="n">
        <f aca="false">I48-J48</f>
        <v>-30427.65</v>
      </c>
      <c r="L48" s="9" t="n">
        <v>0.04</v>
      </c>
    </row>
    <row r="49" customFormat="false" ht="15" hidden="false" customHeight="false" outlineLevel="0" collapsed="false">
      <c r="A49" s="4" t="s">
        <v>3604</v>
      </c>
      <c r="B49" s="4" t="s">
        <v>3605</v>
      </c>
      <c r="C49" s="4" t="s">
        <v>31</v>
      </c>
      <c r="D49" s="4" t="s">
        <v>475</v>
      </c>
      <c r="E49" s="4" t="s">
        <v>16</v>
      </c>
      <c r="F49" s="4" t="s">
        <v>15</v>
      </c>
      <c r="G49" s="6" t="n">
        <v>45831</v>
      </c>
      <c r="H49" s="6" t="n">
        <v>45968</v>
      </c>
      <c r="I49" s="10" t="n">
        <v>146776</v>
      </c>
      <c r="J49" s="10" t="n">
        <v>47050.86</v>
      </c>
      <c r="K49" s="10" t="n">
        <f aca="false">I49-J49</f>
        <v>99725.14</v>
      </c>
      <c r="L49" s="9" t="n">
        <v>0.7</v>
      </c>
    </row>
    <row r="50" customFormat="false" ht="15" hidden="false" customHeight="false" outlineLevel="0" collapsed="false">
      <c r="A50" s="4" t="s">
        <v>3606</v>
      </c>
      <c r="B50" s="4" t="s">
        <v>3607</v>
      </c>
      <c r="C50" s="4" t="s">
        <v>33</v>
      </c>
      <c r="D50" s="4" t="s">
        <v>455</v>
      </c>
      <c r="E50" s="4" t="s">
        <v>10</v>
      </c>
      <c r="F50" s="4" t="s">
        <v>15</v>
      </c>
      <c r="G50" s="6" t="n">
        <v>46076</v>
      </c>
      <c r="H50" s="6" t="n">
        <v>46293</v>
      </c>
      <c r="I50" s="10" t="n">
        <v>182810</v>
      </c>
      <c r="J50" s="10" t="n">
        <v>204124.13</v>
      </c>
      <c r="K50" s="10" t="n">
        <f aca="false">I50-J50</f>
        <v>-21314.13</v>
      </c>
      <c r="L50" s="9" t="n">
        <v>0.63</v>
      </c>
    </row>
    <row r="51" customFormat="false" ht="15" hidden="false" customHeight="false" outlineLevel="0" collapsed="false">
      <c r="A51" s="4" t="s">
        <v>3608</v>
      </c>
      <c r="B51" s="4" t="s">
        <v>3609</v>
      </c>
      <c r="C51" s="4" t="s">
        <v>33</v>
      </c>
      <c r="D51" s="4" t="s">
        <v>469</v>
      </c>
      <c r="E51" s="4" t="s">
        <v>10</v>
      </c>
      <c r="F51" s="4" t="s">
        <v>21</v>
      </c>
      <c r="G51" s="6" t="n">
        <v>45695</v>
      </c>
      <c r="H51" s="6" t="n">
        <v>45931</v>
      </c>
      <c r="I51" s="10" t="n">
        <v>305623</v>
      </c>
      <c r="J51" s="10" t="n">
        <v>334582.69</v>
      </c>
      <c r="K51" s="10" t="n">
        <f aca="false">I51-J51</f>
        <v>-28959.69</v>
      </c>
      <c r="L51" s="9" t="n">
        <v>0.09</v>
      </c>
    </row>
    <row r="52" customFormat="false" ht="15" hidden="false" customHeight="false" outlineLevel="0" collapsed="false">
      <c r="A52" s="4" t="s">
        <v>3610</v>
      </c>
      <c r="B52" s="4" t="s">
        <v>3611</v>
      </c>
      <c r="C52" s="4" t="s">
        <v>11</v>
      </c>
      <c r="D52" s="4" t="s">
        <v>455</v>
      </c>
      <c r="E52" s="4" t="s">
        <v>28</v>
      </c>
      <c r="F52" s="4" t="s">
        <v>15</v>
      </c>
      <c r="G52" s="6" t="n">
        <v>46144</v>
      </c>
      <c r="H52" s="6" t="n">
        <v>46280</v>
      </c>
      <c r="I52" s="10" t="n">
        <v>323601</v>
      </c>
      <c r="J52" s="10" t="n">
        <v>295518.37</v>
      </c>
      <c r="K52" s="10" t="n">
        <f aca="false">I52-J52</f>
        <v>28082.63</v>
      </c>
      <c r="L52" s="9" t="n">
        <v>0.34</v>
      </c>
    </row>
    <row r="53" customFormat="false" ht="15" hidden="false" customHeight="false" outlineLevel="0" collapsed="false">
      <c r="A53" s="4" t="s">
        <v>3612</v>
      </c>
      <c r="B53" s="4" t="s">
        <v>3613</v>
      </c>
      <c r="C53" s="4" t="s">
        <v>32</v>
      </c>
      <c r="D53" s="4" t="s">
        <v>472</v>
      </c>
      <c r="E53" s="4" t="s">
        <v>22</v>
      </c>
      <c r="F53" s="4" t="s">
        <v>27</v>
      </c>
      <c r="G53" s="6" t="n">
        <v>46028</v>
      </c>
      <c r="H53" s="6" t="n">
        <v>46068</v>
      </c>
      <c r="I53" s="10" t="n">
        <v>64558</v>
      </c>
      <c r="J53" s="10" t="n">
        <v>8983.9</v>
      </c>
      <c r="K53" s="10" t="n">
        <f aca="false">I53-J53</f>
        <v>55574.1</v>
      </c>
      <c r="L53" s="9" t="n">
        <v>0.61</v>
      </c>
    </row>
    <row r="54" customFormat="false" ht="15" hidden="false" customHeight="false" outlineLevel="0" collapsed="false">
      <c r="A54" s="4" t="s">
        <v>3614</v>
      </c>
      <c r="B54" s="4" t="s">
        <v>3615</v>
      </c>
      <c r="C54" s="4" t="s">
        <v>17</v>
      </c>
      <c r="D54" s="4" t="s">
        <v>475</v>
      </c>
      <c r="E54" s="4" t="s">
        <v>10</v>
      </c>
      <c r="F54" s="4" t="s">
        <v>9</v>
      </c>
      <c r="G54" s="6" t="n">
        <v>45813</v>
      </c>
      <c r="H54" s="6" t="n">
        <v>46043</v>
      </c>
      <c r="I54" s="10" t="n">
        <v>455557</v>
      </c>
      <c r="J54" s="10" t="n">
        <v>484755.83</v>
      </c>
      <c r="K54" s="10" t="n">
        <f aca="false">I54-J54</f>
        <v>-29198.83</v>
      </c>
      <c r="L54" s="9" t="n">
        <v>0.99</v>
      </c>
    </row>
    <row r="55" customFormat="false" ht="15" hidden="false" customHeight="false" outlineLevel="0" collapsed="false">
      <c r="A55" s="4" t="s">
        <v>3616</v>
      </c>
      <c r="B55" s="4" t="s">
        <v>3617</v>
      </c>
      <c r="C55" s="4" t="s">
        <v>31</v>
      </c>
      <c r="D55" s="4" t="s">
        <v>449</v>
      </c>
      <c r="E55" s="4" t="s">
        <v>10</v>
      </c>
      <c r="F55" s="4" t="s">
        <v>27</v>
      </c>
      <c r="G55" s="6" t="n">
        <v>46058</v>
      </c>
      <c r="H55" s="6" t="n">
        <v>46295</v>
      </c>
      <c r="I55" s="10" t="n">
        <v>112851</v>
      </c>
      <c r="J55" s="10" t="n">
        <v>77596.85</v>
      </c>
      <c r="K55" s="10" t="n">
        <f aca="false">I55-J55</f>
        <v>35254.15</v>
      </c>
      <c r="L55" s="9" t="n">
        <v>0.06</v>
      </c>
    </row>
    <row r="56" customFormat="false" ht="15" hidden="false" customHeight="false" outlineLevel="0" collapsed="false">
      <c r="A56" s="4" t="s">
        <v>3618</v>
      </c>
      <c r="B56" s="4" t="s">
        <v>3619</v>
      </c>
      <c r="C56" s="4" t="s">
        <v>29</v>
      </c>
      <c r="D56" s="4" t="s">
        <v>550</v>
      </c>
      <c r="E56" s="4" t="s">
        <v>28</v>
      </c>
      <c r="F56" s="4" t="s">
        <v>15</v>
      </c>
      <c r="G56" s="6" t="n">
        <v>45856</v>
      </c>
      <c r="H56" s="6" t="n">
        <v>46082</v>
      </c>
      <c r="I56" s="10" t="n">
        <v>207776</v>
      </c>
      <c r="J56" s="10" t="n">
        <v>179723.04</v>
      </c>
      <c r="K56" s="10" t="n">
        <f aca="false">I56-J56</f>
        <v>28052.96</v>
      </c>
      <c r="L56" s="9" t="n">
        <v>0.14</v>
      </c>
    </row>
    <row r="57" customFormat="false" ht="15" hidden="false" customHeight="false" outlineLevel="0" collapsed="false">
      <c r="A57" s="4" t="s">
        <v>3620</v>
      </c>
      <c r="B57" s="4" t="s">
        <v>3621</v>
      </c>
      <c r="C57" s="4" t="s">
        <v>23</v>
      </c>
      <c r="D57" s="4" t="s">
        <v>490</v>
      </c>
      <c r="E57" s="4" t="s">
        <v>16</v>
      </c>
      <c r="F57" s="4" t="s">
        <v>21</v>
      </c>
      <c r="G57" s="6" t="n">
        <v>45882</v>
      </c>
      <c r="H57" s="6" t="n">
        <v>45942</v>
      </c>
      <c r="I57" s="10" t="n">
        <v>480363</v>
      </c>
      <c r="J57" s="10" t="n">
        <v>373347.02</v>
      </c>
      <c r="K57" s="10" t="n">
        <f aca="false">I57-J57</f>
        <v>107015.98</v>
      </c>
      <c r="L57" s="9" t="n">
        <v>0.55</v>
      </c>
    </row>
    <row r="58" customFormat="false" ht="15" hidden="false" customHeight="false" outlineLevel="0" collapsed="false">
      <c r="A58" s="4" t="s">
        <v>3622</v>
      </c>
      <c r="B58" s="4" t="s">
        <v>3623</v>
      </c>
      <c r="C58" s="4" t="s">
        <v>32</v>
      </c>
      <c r="D58" s="4" t="s">
        <v>475</v>
      </c>
      <c r="E58" s="4" t="s">
        <v>16</v>
      </c>
      <c r="F58" s="4" t="s">
        <v>27</v>
      </c>
      <c r="G58" s="6" t="n">
        <v>46128</v>
      </c>
      <c r="H58" s="6" t="n">
        <v>46172</v>
      </c>
      <c r="I58" s="10" t="n">
        <v>134869</v>
      </c>
      <c r="J58" s="10" t="n">
        <v>47910.43</v>
      </c>
      <c r="K58" s="10" t="n">
        <f aca="false">I58-J58</f>
        <v>86958.57</v>
      </c>
      <c r="L58" s="9" t="n">
        <v>0.95</v>
      </c>
    </row>
    <row r="59" customFormat="false" ht="15" hidden="false" customHeight="false" outlineLevel="0" collapsed="false">
      <c r="A59" s="4" t="s">
        <v>3624</v>
      </c>
      <c r="B59" s="4" t="s">
        <v>3625</v>
      </c>
      <c r="C59" s="4" t="s">
        <v>11</v>
      </c>
      <c r="D59" s="4" t="s">
        <v>480</v>
      </c>
      <c r="E59" s="4" t="s">
        <v>10</v>
      </c>
      <c r="F59" s="4" t="s">
        <v>15</v>
      </c>
      <c r="G59" s="6" t="n">
        <v>46043</v>
      </c>
      <c r="H59" s="6" t="n">
        <v>46279</v>
      </c>
      <c r="I59" s="10" t="n">
        <v>425855</v>
      </c>
      <c r="J59" s="10" t="n">
        <v>293771.53</v>
      </c>
      <c r="K59" s="10" t="n">
        <f aca="false">I59-J59</f>
        <v>132083.47</v>
      </c>
      <c r="L59" s="9" t="n">
        <v>0.07</v>
      </c>
    </row>
    <row r="60" customFormat="false" ht="15" hidden="false" customHeight="false" outlineLevel="0" collapsed="false">
      <c r="A60" s="4" t="s">
        <v>3626</v>
      </c>
      <c r="B60" s="4" t="s">
        <v>3627</v>
      </c>
      <c r="C60" s="4" t="s">
        <v>23</v>
      </c>
      <c r="D60" s="4" t="s">
        <v>475</v>
      </c>
      <c r="E60" s="4" t="s">
        <v>22</v>
      </c>
      <c r="F60" s="4" t="s">
        <v>21</v>
      </c>
      <c r="G60" s="6" t="n">
        <v>45697</v>
      </c>
      <c r="H60" s="6" t="n">
        <v>45741</v>
      </c>
      <c r="I60" s="10" t="n">
        <v>76435</v>
      </c>
      <c r="J60" s="10" t="n">
        <v>44516.62</v>
      </c>
      <c r="K60" s="10" t="n">
        <f aca="false">I60-J60</f>
        <v>31918.38</v>
      </c>
      <c r="L60" s="9" t="n">
        <v>0.77</v>
      </c>
    </row>
    <row r="61" customFormat="false" ht="15" hidden="false" customHeight="false" outlineLevel="0" collapsed="false">
      <c r="A61" s="4" t="s">
        <v>3628</v>
      </c>
      <c r="B61" s="4" t="s">
        <v>3629</v>
      </c>
      <c r="C61" s="4" t="s">
        <v>29</v>
      </c>
      <c r="D61" s="4" t="s">
        <v>459</v>
      </c>
      <c r="E61" s="4" t="s">
        <v>10</v>
      </c>
      <c r="F61" s="4" t="s">
        <v>9</v>
      </c>
      <c r="G61" s="6" t="n">
        <v>45993</v>
      </c>
      <c r="H61" s="6" t="n">
        <v>46085</v>
      </c>
      <c r="I61" s="10" t="n">
        <v>163308</v>
      </c>
      <c r="J61" s="10" t="n">
        <v>39632.87</v>
      </c>
      <c r="K61" s="10" t="n">
        <f aca="false">I61-J61</f>
        <v>123675.13</v>
      </c>
      <c r="L61" s="9" t="n">
        <v>0.09</v>
      </c>
    </row>
    <row r="62" customFormat="false" ht="15" hidden="false" customHeight="false" outlineLevel="0" collapsed="false">
      <c r="A62" s="4" t="s">
        <v>3630</v>
      </c>
      <c r="B62" s="4" t="s">
        <v>3631</v>
      </c>
      <c r="C62" s="4" t="s">
        <v>33</v>
      </c>
      <c r="D62" s="4" t="s">
        <v>469</v>
      </c>
      <c r="E62" s="4" t="s">
        <v>22</v>
      </c>
      <c r="F62" s="4" t="s">
        <v>15</v>
      </c>
      <c r="G62" s="6" t="n">
        <v>45786</v>
      </c>
      <c r="H62" s="6" t="n">
        <v>45955</v>
      </c>
      <c r="I62" s="10" t="n">
        <v>117930</v>
      </c>
      <c r="J62" s="10" t="n">
        <v>75996.71</v>
      </c>
      <c r="K62" s="10" t="n">
        <f aca="false">I62-J62</f>
        <v>41933.29</v>
      </c>
      <c r="L62" s="9" t="n">
        <v>0.56</v>
      </c>
    </row>
    <row r="63" customFormat="false" ht="15" hidden="false" customHeight="false" outlineLevel="0" collapsed="false">
      <c r="A63" s="4" t="s">
        <v>3632</v>
      </c>
      <c r="B63" s="4" t="s">
        <v>3633</v>
      </c>
      <c r="C63" s="4" t="s">
        <v>23</v>
      </c>
      <c r="D63" s="4" t="s">
        <v>469</v>
      </c>
      <c r="E63" s="4" t="s">
        <v>16</v>
      </c>
      <c r="F63" s="4" t="s">
        <v>21</v>
      </c>
      <c r="G63" s="6" t="n">
        <v>46023</v>
      </c>
      <c r="H63" s="6" t="n">
        <v>46130</v>
      </c>
      <c r="I63" s="10" t="n">
        <v>202378</v>
      </c>
      <c r="J63" s="10" t="n">
        <v>193924.52</v>
      </c>
      <c r="K63" s="10" t="n">
        <f aca="false">I63-J63</f>
        <v>8453.48000000001</v>
      </c>
      <c r="L63" s="9" t="n">
        <v>0.4</v>
      </c>
    </row>
    <row r="64" customFormat="false" ht="15" hidden="false" customHeight="false" outlineLevel="0" collapsed="false">
      <c r="A64" s="4" t="s">
        <v>3634</v>
      </c>
      <c r="B64" s="4" t="s">
        <v>3635</v>
      </c>
      <c r="C64" s="4" t="s">
        <v>23</v>
      </c>
      <c r="D64" s="4" t="s">
        <v>455</v>
      </c>
      <c r="E64" s="4" t="s">
        <v>28</v>
      </c>
      <c r="F64" s="4" t="s">
        <v>27</v>
      </c>
      <c r="G64" s="6" t="n">
        <v>46015</v>
      </c>
      <c r="H64" s="6" t="n">
        <v>46183</v>
      </c>
      <c r="I64" s="10" t="n">
        <v>273950</v>
      </c>
      <c r="J64" s="10" t="n">
        <v>58848.84</v>
      </c>
      <c r="K64" s="10" t="n">
        <f aca="false">I64-J64</f>
        <v>215101.16</v>
      </c>
      <c r="L64" s="9" t="n">
        <v>0.35</v>
      </c>
    </row>
    <row r="65" customFormat="false" ht="15" hidden="false" customHeight="false" outlineLevel="0" collapsed="false">
      <c r="A65" s="4" t="s">
        <v>3636</v>
      </c>
      <c r="B65" s="4" t="s">
        <v>3637</v>
      </c>
      <c r="C65" s="4" t="s">
        <v>32</v>
      </c>
      <c r="D65" s="4" t="s">
        <v>472</v>
      </c>
      <c r="E65" s="4" t="s">
        <v>22</v>
      </c>
      <c r="F65" s="4" t="s">
        <v>15</v>
      </c>
      <c r="G65" s="6" t="n">
        <v>45698</v>
      </c>
      <c r="H65" s="6" t="n">
        <v>45780</v>
      </c>
      <c r="I65" s="10" t="n">
        <v>488176</v>
      </c>
      <c r="J65" s="10" t="n">
        <v>122456.33</v>
      </c>
      <c r="K65" s="10" t="n">
        <f aca="false">I65-J65</f>
        <v>365719.67</v>
      </c>
      <c r="L65" s="9" t="n">
        <v>0.15</v>
      </c>
    </row>
    <row r="66" customFormat="false" ht="15" hidden="false" customHeight="false" outlineLevel="0" collapsed="false">
      <c r="A66" s="4" t="s">
        <v>3638</v>
      </c>
      <c r="B66" s="4" t="s">
        <v>3639</v>
      </c>
      <c r="C66" s="4" t="s">
        <v>11</v>
      </c>
      <c r="D66" s="4" t="s">
        <v>472</v>
      </c>
      <c r="E66" s="4" t="s">
        <v>28</v>
      </c>
      <c r="F66" s="4" t="s">
        <v>27</v>
      </c>
      <c r="G66" s="6" t="n">
        <v>45848</v>
      </c>
      <c r="H66" s="6" t="n">
        <v>46063</v>
      </c>
      <c r="I66" s="10" t="n">
        <v>438018</v>
      </c>
      <c r="J66" s="10" t="n">
        <v>423446.92</v>
      </c>
      <c r="K66" s="10" t="n">
        <f aca="false">I66-J66</f>
        <v>14571.08</v>
      </c>
      <c r="L66" s="9" t="n">
        <v>0.14</v>
      </c>
    </row>
    <row r="67" customFormat="false" ht="15" hidden="false" customHeight="false" outlineLevel="0" collapsed="false">
      <c r="A67" s="4" t="s">
        <v>3640</v>
      </c>
      <c r="B67" s="4" t="s">
        <v>3641</v>
      </c>
      <c r="C67" s="4" t="s">
        <v>23</v>
      </c>
      <c r="D67" s="4" t="s">
        <v>465</v>
      </c>
      <c r="E67" s="4" t="s">
        <v>28</v>
      </c>
      <c r="F67" s="4" t="s">
        <v>21</v>
      </c>
      <c r="G67" s="6" t="n">
        <v>45668</v>
      </c>
      <c r="H67" s="6" t="n">
        <v>45825</v>
      </c>
      <c r="I67" s="10" t="n">
        <v>448475</v>
      </c>
      <c r="J67" s="10" t="n">
        <v>61500.18</v>
      </c>
      <c r="K67" s="10" t="n">
        <f aca="false">I67-J67</f>
        <v>386974.82</v>
      </c>
      <c r="L67" s="9" t="n">
        <v>0.1</v>
      </c>
    </row>
    <row r="68" customFormat="false" ht="15" hidden="false" customHeight="false" outlineLevel="0" collapsed="false">
      <c r="A68" s="4" t="s">
        <v>3642</v>
      </c>
      <c r="B68" s="4" t="s">
        <v>3643</v>
      </c>
      <c r="C68" s="4" t="s">
        <v>29</v>
      </c>
      <c r="D68" s="4" t="s">
        <v>475</v>
      </c>
      <c r="E68" s="4" t="s">
        <v>28</v>
      </c>
      <c r="F68" s="4" t="s">
        <v>27</v>
      </c>
      <c r="G68" s="6" t="n">
        <v>45688</v>
      </c>
      <c r="H68" s="6" t="n">
        <v>45789</v>
      </c>
      <c r="I68" s="10" t="n">
        <v>458043</v>
      </c>
      <c r="J68" s="10" t="n">
        <v>353024.05</v>
      </c>
      <c r="K68" s="10" t="n">
        <f aca="false">I68-J68</f>
        <v>105018.95</v>
      </c>
      <c r="L68" s="9" t="n">
        <v>0.56</v>
      </c>
    </row>
    <row r="69" customFormat="false" ht="15" hidden="false" customHeight="false" outlineLevel="0" collapsed="false">
      <c r="A69" s="4" t="s">
        <v>3644</v>
      </c>
      <c r="B69" s="4" t="s">
        <v>3645</v>
      </c>
      <c r="C69" s="4" t="s">
        <v>33</v>
      </c>
      <c r="D69" s="4" t="s">
        <v>449</v>
      </c>
      <c r="E69" s="4" t="s">
        <v>10</v>
      </c>
      <c r="F69" s="4" t="s">
        <v>21</v>
      </c>
      <c r="G69" s="6" t="n">
        <v>45680</v>
      </c>
      <c r="H69" s="6" t="n">
        <v>45767</v>
      </c>
      <c r="I69" s="10" t="n">
        <v>117861</v>
      </c>
      <c r="J69" s="10" t="n">
        <v>60964.74</v>
      </c>
      <c r="K69" s="10" t="n">
        <f aca="false">I69-J69</f>
        <v>56896.26</v>
      </c>
      <c r="L69" s="9" t="n">
        <v>0.04</v>
      </c>
    </row>
    <row r="70" customFormat="false" ht="15" hidden="false" customHeight="false" outlineLevel="0" collapsed="false">
      <c r="A70" s="4" t="s">
        <v>3646</v>
      </c>
      <c r="B70" s="4" t="s">
        <v>3647</v>
      </c>
      <c r="C70" s="4" t="s">
        <v>32</v>
      </c>
      <c r="D70" s="4" t="s">
        <v>480</v>
      </c>
      <c r="E70" s="4" t="s">
        <v>22</v>
      </c>
      <c r="F70" s="4" t="s">
        <v>21</v>
      </c>
      <c r="G70" s="6" t="n">
        <v>45935</v>
      </c>
      <c r="H70" s="6" t="n">
        <v>46160</v>
      </c>
      <c r="I70" s="10" t="n">
        <v>192349</v>
      </c>
      <c r="J70" s="10" t="n">
        <v>217536.39</v>
      </c>
      <c r="K70" s="10" t="n">
        <f aca="false">I70-J70</f>
        <v>-25187.39</v>
      </c>
      <c r="L70" s="9" t="n">
        <v>0.96</v>
      </c>
    </row>
    <row r="71" customFormat="false" ht="15" hidden="false" customHeight="false" outlineLevel="0" collapsed="false">
      <c r="A71" s="4" t="s">
        <v>3648</v>
      </c>
      <c r="B71" s="4" t="s">
        <v>3649</v>
      </c>
      <c r="C71" s="4" t="s">
        <v>33</v>
      </c>
      <c r="D71" s="4" t="s">
        <v>469</v>
      </c>
      <c r="E71" s="4" t="s">
        <v>28</v>
      </c>
      <c r="F71" s="4" t="s">
        <v>27</v>
      </c>
      <c r="G71" s="6" t="n">
        <v>45960</v>
      </c>
      <c r="H71" s="6" t="n">
        <v>46045</v>
      </c>
      <c r="I71" s="10" t="n">
        <v>407018</v>
      </c>
      <c r="J71" s="10" t="n">
        <v>52944.76</v>
      </c>
      <c r="K71" s="10" t="n">
        <f aca="false">I71-J71</f>
        <v>354073.24</v>
      </c>
      <c r="L71" s="9" t="n">
        <v>1</v>
      </c>
    </row>
    <row r="72" customFormat="false" ht="15" hidden="false" customHeight="false" outlineLevel="0" collapsed="false">
      <c r="A72" s="4" t="s">
        <v>3650</v>
      </c>
      <c r="B72" s="4" t="s">
        <v>3651</v>
      </c>
      <c r="C72" s="4" t="s">
        <v>11</v>
      </c>
      <c r="D72" s="4" t="s">
        <v>524</v>
      </c>
      <c r="E72" s="4" t="s">
        <v>28</v>
      </c>
      <c r="F72" s="4" t="s">
        <v>21</v>
      </c>
      <c r="G72" s="6" t="n">
        <v>46031</v>
      </c>
      <c r="H72" s="6" t="n">
        <v>46249</v>
      </c>
      <c r="I72" s="10" t="n">
        <v>404474</v>
      </c>
      <c r="J72" s="10" t="n">
        <v>65860.68</v>
      </c>
      <c r="K72" s="10" t="n">
        <f aca="false">I72-J72</f>
        <v>338613.32</v>
      </c>
      <c r="L72" s="9" t="n">
        <v>0.68</v>
      </c>
    </row>
    <row r="73" customFormat="false" ht="15" hidden="false" customHeight="false" outlineLevel="0" collapsed="false">
      <c r="A73" s="4" t="s">
        <v>3652</v>
      </c>
      <c r="B73" s="4" t="s">
        <v>3653</v>
      </c>
      <c r="C73" s="4" t="s">
        <v>31</v>
      </c>
      <c r="D73" s="4" t="s">
        <v>524</v>
      </c>
      <c r="E73" s="4" t="s">
        <v>22</v>
      </c>
      <c r="F73" s="4" t="s">
        <v>15</v>
      </c>
      <c r="G73" s="6" t="n">
        <v>45895</v>
      </c>
      <c r="H73" s="6" t="n">
        <v>46033</v>
      </c>
      <c r="I73" s="10" t="n">
        <v>310208</v>
      </c>
      <c r="J73" s="10" t="n">
        <v>276439.44</v>
      </c>
      <c r="K73" s="10" t="n">
        <f aca="false">I73-J73</f>
        <v>33768.56</v>
      </c>
      <c r="L73" s="9" t="n">
        <v>0.48</v>
      </c>
    </row>
    <row r="74" customFormat="false" ht="15" hidden="false" customHeight="false" outlineLevel="0" collapsed="false">
      <c r="A74" s="4" t="s">
        <v>3654</v>
      </c>
      <c r="B74" s="4" t="s">
        <v>3655</v>
      </c>
      <c r="C74" s="4" t="s">
        <v>11</v>
      </c>
      <c r="D74" s="4" t="s">
        <v>495</v>
      </c>
      <c r="E74" s="4" t="s">
        <v>22</v>
      </c>
      <c r="F74" s="4" t="s">
        <v>9</v>
      </c>
      <c r="G74" s="6" t="n">
        <v>45897</v>
      </c>
      <c r="H74" s="6" t="n">
        <v>46117</v>
      </c>
      <c r="I74" s="10" t="n">
        <v>494788</v>
      </c>
      <c r="J74" s="10" t="n">
        <v>179137.8</v>
      </c>
      <c r="K74" s="10" t="n">
        <f aca="false">I74-J74</f>
        <v>315650.2</v>
      </c>
      <c r="L74" s="9" t="n">
        <v>0.31</v>
      </c>
    </row>
    <row r="75" customFormat="false" ht="15" hidden="false" customHeight="false" outlineLevel="0" collapsed="false">
      <c r="A75" s="4" t="s">
        <v>3656</v>
      </c>
      <c r="B75" s="4" t="s">
        <v>3657</v>
      </c>
      <c r="C75" s="4" t="s">
        <v>29</v>
      </c>
      <c r="D75" s="4" t="s">
        <v>475</v>
      </c>
      <c r="E75" s="4" t="s">
        <v>22</v>
      </c>
      <c r="F75" s="4" t="s">
        <v>21</v>
      </c>
      <c r="G75" s="6" t="n">
        <v>46052</v>
      </c>
      <c r="H75" s="6" t="n">
        <v>46220</v>
      </c>
      <c r="I75" s="10" t="n">
        <v>165097</v>
      </c>
      <c r="J75" s="10" t="n">
        <v>77807.84</v>
      </c>
      <c r="K75" s="10" t="n">
        <f aca="false">I75-J75</f>
        <v>87289.16</v>
      </c>
      <c r="L75" s="9" t="n">
        <v>0.34</v>
      </c>
    </row>
    <row r="76" customFormat="false" ht="15" hidden="false" customHeight="false" outlineLevel="0" collapsed="false">
      <c r="A76" s="4" t="s">
        <v>3658</v>
      </c>
      <c r="B76" s="4" t="s">
        <v>3659</v>
      </c>
      <c r="C76" s="4" t="s">
        <v>31</v>
      </c>
      <c r="D76" s="4" t="s">
        <v>465</v>
      </c>
      <c r="E76" s="4" t="s">
        <v>10</v>
      </c>
      <c r="F76" s="4" t="s">
        <v>9</v>
      </c>
      <c r="G76" s="6" t="n">
        <v>45995</v>
      </c>
      <c r="H76" s="6" t="n">
        <v>46089</v>
      </c>
      <c r="I76" s="10" t="n">
        <v>420216</v>
      </c>
      <c r="J76" s="10" t="n">
        <v>343877.13</v>
      </c>
      <c r="K76" s="10" t="n">
        <f aca="false">I76-J76</f>
        <v>76338.87</v>
      </c>
      <c r="L76" s="9" t="n">
        <v>0.39</v>
      </c>
    </row>
    <row r="77" customFormat="false" ht="15" hidden="false" customHeight="false" outlineLevel="0" collapsed="false">
      <c r="A77" s="4" t="s">
        <v>3660</v>
      </c>
      <c r="B77" s="4" t="s">
        <v>3661</v>
      </c>
      <c r="C77" s="4" t="s">
        <v>31</v>
      </c>
      <c r="D77" s="4" t="s">
        <v>543</v>
      </c>
      <c r="E77" s="4" t="s">
        <v>28</v>
      </c>
      <c r="F77" s="4" t="s">
        <v>27</v>
      </c>
      <c r="G77" s="6" t="n">
        <v>45949</v>
      </c>
      <c r="H77" s="6" t="n">
        <v>46148</v>
      </c>
      <c r="I77" s="10" t="n">
        <v>178290</v>
      </c>
      <c r="J77" s="10" t="n">
        <v>181784.44</v>
      </c>
      <c r="K77" s="10" t="n">
        <f aca="false">I77-J77</f>
        <v>-3494.44</v>
      </c>
      <c r="L77" s="9" t="n">
        <v>0.02</v>
      </c>
    </row>
    <row r="78" customFormat="false" ht="15" hidden="false" customHeight="false" outlineLevel="0" collapsed="false">
      <c r="A78" s="4" t="s">
        <v>3662</v>
      </c>
      <c r="B78" s="4" t="s">
        <v>3663</v>
      </c>
      <c r="C78" s="4" t="s">
        <v>23</v>
      </c>
      <c r="D78" s="4" t="s">
        <v>459</v>
      </c>
      <c r="E78" s="4" t="s">
        <v>16</v>
      </c>
      <c r="F78" s="4" t="s">
        <v>27</v>
      </c>
      <c r="G78" s="6" t="n">
        <v>45883</v>
      </c>
      <c r="H78" s="6" t="n">
        <v>45915</v>
      </c>
      <c r="I78" s="10" t="n">
        <v>254548</v>
      </c>
      <c r="J78" s="10" t="n">
        <v>35815.96</v>
      </c>
      <c r="K78" s="10" t="n">
        <f aca="false">I78-J78</f>
        <v>218732.04</v>
      </c>
      <c r="L78" s="9" t="n">
        <v>0.07</v>
      </c>
    </row>
    <row r="79" customFormat="false" ht="15" hidden="false" customHeight="false" outlineLevel="0" collapsed="false">
      <c r="A79" s="4" t="s">
        <v>3664</v>
      </c>
      <c r="B79" s="4" t="s">
        <v>3665</v>
      </c>
      <c r="C79" s="4" t="s">
        <v>32</v>
      </c>
      <c r="D79" s="4" t="s">
        <v>490</v>
      </c>
      <c r="E79" s="4" t="s">
        <v>10</v>
      </c>
      <c r="F79" s="4" t="s">
        <v>27</v>
      </c>
      <c r="G79" s="6" t="n">
        <v>45954</v>
      </c>
      <c r="H79" s="6" t="n">
        <v>46004</v>
      </c>
      <c r="I79" s="10" t="n">
        <v>154937</v>
      </c>
      <c r="J79" s="10" t="n">
        <v>168377.59</v>
      </c>
      <c r="K79" s="10" t="n">
        <f aca="false">I79-J79</f>
        <v>-13440.59</v>
      </c>
      <c r="L79" s="9" t="n">
        <v>0.23</v>
      </c>
    </row>
    <row r="80" customFormat="false" ht="15" hidden="false" customHeight="false" outlineLevel="0" collapsed="false">
      <c r="A80" s="4" t="s">
        <v>3666</v>
      </c>
      <c r="B80" s="4" t="s">
        <v>3667</v>
      </c>
      <c r="C80" s="4" t="s">
        <v>31</v>
      </c>
      <c r="D80" s="4" t="s">
        <v>459</v>
      </c>
      <c r="E80" s="4" t="s">
        <v>16</v>
      </c>
      <c r="F80" s="4" t="s">
        <v>15</v>
      </c>
      <c r="G80" s="6" t="n">
        <v>45790</v>
      </c>
      <c r="H80" s="6" t="n">
        <v>46016</v>
      </c>
      <c r="I80" s="10" t="n">
        <v>422476</v>
      </c>
      <c r="J80" s="10" t="n">
        <v>170578.39</v>
      </c>
      <c r="K80" s="10" t="n">
        <f aca="false">I80-J80</f>
        <v>251897.61</v>
      </c>
      <c r="L80" s="9" t="n">
        <v>0.8</v>
      </c>
    </row>
    <row r="81" customFormat="false" ht="15" hidden="false" customHeight="false" outlineLevel="0" collapsed="false">
      <c r="A81" s="4" t="s">
        <v>3668</v>
      </c>
      <c r="B81" s="4" t="s">
        <v>3669</v>
      </c>
      <c r="C81" s="4" t="s">
        <v>11</v>
      </c>
      <c r="D81" s="4" t="s">
        <v>472</v>
      </c>
      <c r="E81" s="4" t="s">
        <v>10</v>
      </c>
      <c r="F81" s="4" t="s">
        <v>9</v>
      </c>
      <c r="G81" s="6" t="n">
        <v>45747</v>
      </c>
      <c r="H81" s="6" t="n">
        <v>45814</v>
      </c>
      <c r="I81" s="10" t="n">
        <v>466780</v>
      </c>
      <c r="J81" s="10" t="n">
        <v>363969.01</v>
      </c>
      <c r="K81" s="10" t="n">
        <f aca="false">I81-J81</f>
        <v>102810.99</v>
      </c>
      <c r="L81" s="9" t="n">
        <v>0.23</v>
      </c>
    </row>
    <row r="82" customFormat="false" ht="15" hidden="false" customHeight="false" outlineLevel="0" collapsed="false">
      <c r="A82" s="4" t="s">
        <v>3670</v>
      </c>
      <c r="B82" s="4" t="s">
        <v>3671</v>
      </c>
      <c r="C82" s="4" t="s">
        <v>23</v>
      </c>
      <c r="D82" s="4" t="s">
        <v>475</v>
      </c>
      <c r="E82" s="4" t="s">
        <v>16</v>
      </c>
      <c r="F82" s="4" t="s">
        <v>9</v>
      </c>
      <c r="G82" s="6" t="n">
        <v>46008</v>
      </c>
      <c r="H82" s="6" t="n">
        <v>46167</v>
      </c>
      <c r="I82" s="10" t="n">
        <v>461186</v>
      </c>
      <c r="J82" s="10" t="n">
        <v>269489.32</v>
      </c>
      <c r="K82" s="10" t="n">
        <f aca="false">I82-J82</f>
        <v>191696.68</v>
      </c>
      <c r="L82" s="9" t="n">
        <v>0.91</v>
      </c>
    </row>
    <row r="83" customFormat="false" ht="15" hidden="false" customHeight="false" outlineLevel="0" collapsed="false">
      <c r="A83" s="4" t="s">
        <v>3672</v>
      </c>
      <c r="B83" s="4" t="s">
        <v>3673</v>
      </c>
      <c r="C83" s="4" t="s">
        <v>31</v>
      </c>
      <c r="D83" s="4" t="s">
        <v>469</v>
      </c>
      <c r="E83" s="4" t="s">
        <v>22</v>
      </c>
      <c r="F83" s="4" t="s">
        <v>9</v>
      </c>
      <c r="G83" s="6" t="n">
        <v>45790</v>
      </c>
      <c r="H83" s="6" t="n">
        <v>45885</v>
      </c>
      <c r="I83" s="10" t="n">
        <v>18450</v>
      </c>
      <c r="J83" s="10" t="n">
        <v>15612.88</v>
      </c>
      <c r="K83" s="10" t="n">
        <f aca="false">I83-J83</f>
        <v>2837.12</v>
      </c>
      <c r="L83" s="9" t="n">
        <v>0.76</v>
      </c>
    </row>
    <row r="84" customFormat="false" ht="15" hidden="false" customHeight="false" outlineLevel="0" collapsed="false">
      <c r="A84" s="4" t="s">
        <v>3674</v>
      </c>
      <c r="B84" s="4" t="s">
        <v>3675</v>
      </c>
      <c r="C84" s="4" t="s">
        <v>29</v>
      </c>
      <c r="D84" s="4" t="s">
        <v>452</v>
      </c>
      <c r="E84" s="4" t="s">
        <v>10</v>
      </c>
      <c r="F84" s="4" t="s">
        <v>15</v>
      </c>
      <c r="G84" s="6" t="n">
        <v>45778</v>
      </c>
      <c r="H84" s="6" t="n">
        <v>45897</v>
      </c>
      <c r="I84" s="10" t="n">
        <v>67233</v>
      </c>
      <c r="J84" s="10" t="n">
        <v>12453.37</v>
      </c>
      <c r="K84" s="10" t="n">
        <f aca="false">I84-J84</f>
        <v>54779.63</v>
      </c>
      <c r="L84" s="9" t="n">
        <v>0.26</v>
      </c>
    </row>
    <row r="85" customFormat="false" ht="15" hidden="false" customHeight="false" outlineLevel="0" collapsed="false">
      <c r="A85" s="4" t="s">
        <v>3676</v>
      </c>
      <c r="B85" s="4" t="s">
        <v>3677</v>
      </c>
      <c r="C85" s="4" t="s">
        <v>33</v>
      </c>
      <c r="D85" s="4" t="s">
        <v>449</v>
      </c>
      <c r="E85" s="4" t="s">
        <v>10</v>
      </c>
      <c r="F85" s="4" t="s">
        <v>27</v>
      </c>
      <c r="G85" s="6" t="n">
        <v>45824</v>
      </c>
      <c r="H85" s="6" t="n">
        <v>46000</v>
      </c>
      <c r="I85" s="10" t="n">
        <v>204699</v>
      </c>
      <c r="J85" s="10" t="n">
        <v>207165.96</v>
      </c>
      <c r="K85" s="10" t="n">
        <f aca="false">I85-J85</f>
        <v>-2466.95999999999</v>
      </c>
      <c r="L85" s="9" t="n">
        <v>0.36</v>
      </c>
    </row>
    <row r="86" customFormat="false" ht="15" hidden="false" customHeight="false" outlineLevel="0" collapsed="false">
      <c r="A86" s="4" t="s">
        <v>3678</v>
      </c>
      <c r="B86" s="4" t="s">
        <v>3679</v>
      </c>
      <c r="C86" s="4" t="s">
        <v>23</v>
      </c>
      <c r="D86" s="4" t="s">
        <v>490</v>
      </c>
      <c r="E86" s="4" t="s">
        <v>28</v>
      </c>
      <c r="F86" s="4" t="s">
        <v>21</v>
      </c>
      <c r="G86" s="6" t="n">
        <v>45731</v>
      </c>
      <c r="H86" s="6" t="n">
        <v>45767</v>
      </c>
      <c r="I86" s="10" t="n">
        <v>181201</v>
      </c>
      <c r="J86" s="10" t="n">
        <v>139101.38</v>
      </c>
      <c r="K86" s="10" t="n">
        <f aca="false">I86-J86</f>
        <v>42099.62</v>
      </c>
      <c r="L86" s="9" t="n">
        <v>0.6</v>
      </c>
    </row>
    <row r="87" customFormat="false" ht="15" hidden="false" customHeight="false" outlineLevel="0" collapsed="false">
      <c r="A87" s="4" t="s">
        <v>3680</v>
      </c>
      <c r="B87" s="4" t="s">
        <v>3681</v>
      </c>
      <c r="C87" s="4" t="s">
        <v>23</v>
      </c>
      <c r="D87" s="4" t="s">
        <v>475</v>
      </c>
      <c r="E87" s="4" t="s">
        <v>22</v>
      </c>
      <c r="F87" s="4" t="s">
        <v>15</v>
      </c>
      <c r="G87" s="6" t="n">
        <v>46140</v>
      </c>
      <c r="H87" s="6" t="n">
        <v>46245</v>
      </c>
      <c r="I87" s="10" t="n">
        <v>336063</v>
      </c>
      <c r="J87" s="10" t="n">
        <v>45124.24</v>
      </c>
      <c r="K87" s="10" t="n">
        <f aca="false">I87-J87</f>
        <v>290938.76</v>
      </c>
      <c r="L87" s="9" t="n">
        <v>0.75</v>
      </c>
    </row>
    <row r="88" customFormat="false" ht="15" hidden="false" customHeight="false" outlineLevel="0" collapsed="false">
      <c r="A88" s="4" t="s">
        <v>3682</v>
      </c>
      <c r="B88" s="4" t="s">
        <v>3683</v>
      </c>
      <c r="C88" s="4" t="s">
        <v>23</v>
      </c>
      <c r="D88" s="4" t="s">
        <v>524</v>
      </c>
      <c r="E88" s="4" t="s">
        <v>22</v>
      </c>
      <c r="F88" s="4" t="s">
        <v>15</v>
      </c>
      <c r="G88" s="6" t="n">
        <v>45671</v>
      </c>
      <c r="H88" s="6" t="n">
        <v>45728</v>
      </c>
      <c r="I88" s="10" t="n">
        <v>329311</v>
      </c>
      <c r="J88" s="10" t="n">
        <v>109537.93</v>
      </c>
      <c r="K88" s="10" t="n">
        <f aca="false">I88-J88</f>
        <v>219773.07</v>
      </c>
      <c r="L88" s="9" t="n">
        <v>0.48</v>
      </c>
    </row>
    <row r="89" customFormat="false" ht="15" hidden="false" customHeight="false" outlineLevel="0" collapsed="false">
      <c r="A89" s="4" t="s">
        <v>3684</v>
      </c>
      <c r="B89" s="4" t="s">
        <v>3685</v>
      </c>
      <c r="C89" s="4" t="s">
        <v>17</v>
      </c>
      <c r="D89" s="4" t="s">
        <v>449</v>
      </c>
      <c r="E89" s="4" t="s">
        <v>10</v>
      </c>
      <c r="F89" s="4" t="s">
        <v>9</v>
      </c>
      <c r="G89" s="6" t="n">
        <v>46083</v>
      </c>
      <c r="H89" s="6" t="n">
        <v>46262</v>
      </c>
      <c r="I89" s="10" t="n">
        <v>27091</v>
      </c>
      <c r="J89" s="10" t="n">
        <v>22289.53</v>
      </c>
      <c r="K89" s="10" t="n">
        <f aca="false">I89-J89</f>
        <v>4801.47</v>
      </c>
      <c r="L89" s="9" t="n">
        <v>0.28</v>
      </c>
    </row>
    <row r="90" customFormat="false" ht="15" hidden="false" customHeight="false" outlineLevel="0" collapsed="false">
      <c r="A90" s="4" t="s">
        <v>3686</v>
      </c>
      <c r="B90" s="4" t="s">
        <v>3687</v>
      </c>
      <c r="C90" s="4" t="s">
        <v>33</v>
      </c>
      <c r="D90" s="4" t="s">
        <v>449</v>
      </c>
      <c r="E90" s="4" t="s">
        <v>10</v>
      </c>
      <c r="F90" s="4" t="s">
        <v>9</v>
      </c>
      <c r="G90" s="6" t="n">
        <v>45947</v>
      </c>
      <c r="H90" s="6" t="n">
        <v>46105</v>
      </c>
      <c r="I90" s="10" t="n">
        <v>311171</v>
      </c>
      <c r="J90" s="10" t="n">
        <v>246869.63</v>
      </c>
      <c r="K90" s="10" t="n">
        <f aca="false">I90-J90</f>
        <v>64301.37</v>
      </c>
      <c r="L90" s="9" t="n">
        <v>0.77</v>
      </c>
    </row>
    <row r="91" customFormat="false" ht="15" hidden="false" customHeight="false" outlineLevel="0" collapsed="false">
      <c r="A91" s="4" t="s">
        <v>3688</v>
      </c>
      <c r="B91" s="4" t="s">
        <v>3689</v>
      </c>
      <c r="C91" s="4" t="s">
        <v>23</v>
      </c>
      <c r="D91" s="4" t="s">
        <v>495</v>
      </c>
      <c r="E91" s="4" t="s">
        <v>16</v>
      </c>
      <c r="F91" s="4" t="s">
        <v>21</v>
      </c>
      <c r="G91" s="6" t="n">
        <v>45899</v>
      </c>
      <c r="H91" s="6" t="n">
        <v>46097</v>
      </c>
      <c r="I91" s="10" t="n">
        <v>284961</v>
      </c>
      <c r="J91" s="10" t="n">
        <v>191599.11</v>
      </c>
      <c r="K91" s="10" t="n">
        <f aca="false">I91-J91</f>
        <v>93361.89</v>
      </c>
      <c r="L91" s="9" t="n">
        <v>0.31</v>
      </c>
    </row>
    <row r="92" customFormat="false" ht="15" hidden="false" customHeight="false" outlineLevel="0" collapsed="false">
      <c r="A92" s="4" t="s">
        <v>3690</v>
      </c>
      <c r="B92" s="4" t="s">
        <v>3691</v>
      </c>
      <c r="C92" s="4" t="s">
        <v>23</v>
      </c>
      <c r="D92" s="4" t="s">
        <v>472</v>
      </c>
      <c r="E92" s="4" t="s">
        <v>28</v>
      </c>
      <c r="F92" s="4" t="s">
        <v>21</v>
      </c>
      <c r="G92" s="6" t="n">
        <v>45826</v>
      </c>
      <c r="H92" s="6" t="n">
        <v>45918</v>
      </c>
      <c r="I92" s="10" t="n">
        <v>428909</v>
      </c>
      <c r="J92" s="10" t="n">
        <v>405064.99</v>
      </c>
      <c r="K92" s="10" t="n">
        <f aca="false">I92-J92</f>
        <v>23844.01</v>
      </c>
      <c r="L92" s="9" t="n">
        <v>0.95</v>
      </c>
    </row>
    <row r="93" customFormat="false" ht="15" hidden="false" customHeight="false" outlineLevel="0" collapsed="false">
      <c r="A93" s="4" t="s">
        <v>3692</v>
      </c>
      <c r="B93" s="4" t="s">
        <v>3693</v>
      </c>
      <c r="C93" s="4" t="s">
        <v>33</v>
      </c>
      <c r="D93" s="4" t="s">
        <v>455</v>
      </c>
      <c r="E93" s="4" t="s">
        <v>28</v>
      </c>
      <c r="F93" s="4" t="s">
        <v>21</v>
      </c>
      <c r="G93" s="6" t="n">
        <v>46155</v>
      </c>
      <c r="H93" s="6" t="n">
        <v>46214</v>
      </c>
      <c r="I93" s="10" t="n">
        <v>373369</v>
      </c>
      <c r="J93" s="10" t="n">
        <v>136336.11</v>
      </c>
      <c r="K93" s="10" t="n">
        <f aca="false">I93-J93</f>
        <v>237032.89</v>
      </c>
      <c r="L93" s="9" t="n">
        <v>0.1</v>
      </c>
    </row>
    <row r="94" customFormat="false" ht="15" hidden="false" customHeight="false" outlineLevel="0" collapsed="false">
      <c r="A94" s="4" t="s">
        <v>3694</v>
      </c>
      <c r="B94" s="4" t="s">
        <v>3695</v>
      </c>
      <c r="C94" s="4" t="s">
        <v>23</v>
      </c>
      <c r="D94" s="4" t="s">
        <v>462</v>
      </c>
      <c r="E94" s="4" t="s">
        <v>28</v>
      </c>
      <c r="F94" s="4" t="s">
        <v>15</v>
      </c>
      <c r="G94" s="6" t="n">
        <v>45838</v>
      </c>
      <c r="H94" s="6" t="n">
        <v>46011</v>
      </c>
      <c r="I94" s="10" t="n">
        <v>275102</v>
      </c>
      <c r="J94" s="10" t="n">
        <v>50643.02</v>
      </c>
      <c r="K94" s="10" t="n">
        <f aca="false">I94-J94</f>
        <v>224458.98</v>
      </c>
      <c r="L94" s="9" t="n">
        <v>0.57</v>
      </c>
    </row>
    <row r="95" customFormat="false" ht="15" hidden="false" customHeight="false" outlineLevel="0" collapsed="false">
      <c r="A95" s="4" t="s">
        <v>3696</v>
      </c>
      <c r="B95" s="4" t="s">
        <v>3697</v>
      </c>
      <c r="C95" s="4" t="s">
        <v>31</v>
      </c>
      <c r="D95" s="4" t="s">
        <v>543</v>
      </c>
      <c r="E95" s="4" t="s">
        <v>16</v>
      </c>
      <c r="F95" s="4" t="s">
        <v>27</v>
      </c>
      <c r="G95" s="6" t="n">
        <v>46060</v>
      </c>
      <c r="H95" s="6" t="n">
        <v>46197</v>
      </c>
      <c r="I95" s="10" t="n">
        <v>130462</v>
      </c>
      <c r="J95" s="10" t="n">
        <v>94751.48</v>
      </c>
      <c r="K95" s="10" t="n">
        <f aca="false">I95-J95</f>
        <v>35710.52</v>
      </c>
      <c r="L95" s="9" t="n">
        <v>0.86</v>
      </c>
    </row>
    <row r="96" customFormat="false" ht="15" hidden="false" customHeight="false" outlineLevel="0" collapsed="false">
      <c r="A96" s="4" t="s">
        <v>3698</v>
      </c>
      <c r="B96" s="4" t="s">
        <v>3699</v>
      </c>
      <c r="C96" s="4" t="s">
        <v>31</v>
      </c>
      <c r="D96" s="4" t="s">
        <v>495</v>
      </c>
      <c r="E96" s="4" t="s">
        <v>22</v>
      </c>
      <c r="F96" s="4" t="s">
        <v>21</v>
      </c>
      <c r="G96" s="6" t="n">
        <v>45957</v>
      </c>
      <c r="H96" s="6" t="n">
        <v>46157</v>
      </c>
      <c r="I96" s="10" t="n">
        <v>82425</v>
      </c>
      <c r="J96" s="10" t="n">
        <v>63145.81</v>
      </c>
      <c r="K96" s="10" t="n">
        <f aca="false">I96-J96</f>
        <v>19279.19</v>
      </c>
      <c r="L96" s="9" t="n">
        <v>0.15</v>
      </c>
    </row>
    <row r="97" customFormat="false" ht="15" hidden="false" customHeight="false" outlineLevel="0" collapsed="false">
      <c r="A97" s="4" t="s">
        <v>3700</v>
      </c>
      <c r="B97" s="4" t="s">
        <v>3701</v>
      </c>
      <c r="C97" s="4" t="s">
        <v>17</v>
      </c>
      <c r="D97" s="4" t="s">
        <v>465</v>
      </c>
      <c r="E97" s="4" t="s">
        <v>28</v>
      </c>
      <c r="F97" s="4" t="s">
        <v>15</v>
      </c>
      <c r="G97" s="6" t="n">
        <v>45699</v>
      </c>
      <c r="H97" s="6" t="n">
        <v>45833</v>
      </c>
      <c r="I97" s="10" t="n">
        <v>230737</v>
      </c>
      <c r="J97" s="10" t="n">
        <v>151254.69</v>
      </c>
      <c r="K97" s="10" t="n">
        <f aca="false">I97-J97</f>
        <v>79482.31</v>
      </c>
      <c r="L97" s="9" t="n">
        <v>0.23</v>
      </c>
    </row>
    <row r="98" customFormat="false" ht="15" hidden="false" customHeight="false" outlineLevel="0" collapsed="false">
      <c r="A98" s="4" t="s">
        <v>3702</v>
      </c>
      <c r="B98" s="4" t="s">
        <v>3703</v>
      </c>
      <c r="C98" s="4" t="s">
        <v>29</v>
      </c>
      <c r="D98" s="4" t="s">
        <v>495</v>
      </c>
      <c r="E98" s="4" t="s">
        <v>28</v>
      </c>
      <c r="F98" s="4" t="s">
        <v>9</v>
      </c>
      <c r="G98" s="6" t="n">
        <v>46106</v>
      </c>
      <c r="H98" s="6" t="n">
        <v>46252</v>
      </c>
      <c r="I98" s="10" t="n">
        <v>18132</v>
      </c>
      <c r="J98" s="10" t="n">
        <v>5139.48</v>
      </c>
      <c r="K98" s="10" t="n">
        <f aca="false">I98-J98</f>
        <v>12992.52</v>
      </c>
      <c r="L98" s="9" t="n">
        <v>0.16</v>
      </c>
    </row>
    <row r="99" customFormat="false" ht="15" hidden="false" customHeight="false" outlineLevel="0" collapsed="false">
      <c r="A99" s="4" t="s">
        <v>3704</v>
      </c>
      <c r="B99" s="4" t="s">
        <v>3705</v>
      </c>
      <c r="C99" s="4" t="s">
        <v>33</v>
      </c>
      <c r="D99" s="4" t="s">
        <v>543</v>
      </c>
      <c r="E99" s="4" t="s">
        <v>10</v>
      </c>
      <c r="F99" s="4" t="s">
        <v>15</v>
      </c>
      <c r="G99" s="6" t="n">
        <v>46103</v>
      </c>
      <c r="H99" s="6" t="n">
        <v>46141</v>
      </c>
      <c r="I99" s="10" t="n">
        <v>447182</v>
      </c>
      <c r="J99" s="10" t="n">
        <v>256933.72</v>
      </c>
      <c r="K99" s="10" t="n">
        <f aca="false">I99-J99</f>
        <v>190248.28</v>
      </c>
      <c r="L99" s="9" t="n">
        <v>0.65</v>
      </c>
    </row>
    <row r="100" customFormat="false" ht="15" hidden="false" customHeight="false" outlineLevel="0" collapsed="false">
      <c r="A100" s="4" t="s">
        <v>3706</v>
      </c>
      <c r="B100" s="4" t="s">
        <v>3707</v>
      </c>
      <c r="C100" s="4" t="s">
        <v>29</v>
      </c>
      <c r="D100" s="4" t="s">
        <v>490</v>
      </c>
      <c r="E100" s="4" t="s">
        <v>16</v>
      </c>
      <c r="F100" s="4" t="s">
        <v>27</v>
      </c>
      <c r="G100" s="6" t="n">
        <v>46101</v>
      </c>
      <c r="H100" s="6" t="n">
        <v>46266</v>
      </c>
      <c r="I100" s="10" t="n">
        <v>491623</v>
      </c>
      <c r="J100" s="10" t="n">
        <v>259048.72</v>
      </c>
      <c r="K100" s="10" t="n">
        <f aca="false">I100-J100</f>
        <v>232574.28</v>
      </c>
      <c r="L100" s="9" t="n">
        <v>0.89</v>
      </c>
    </row>
    <row r="101" customFormat="false" ht="15" hidden="false" customHeight="false" outlineLevel="0" collapsed="false">
      <c r="A101" s="4" t="s">
        <v>3708</v>
      </c>
      <c r="B101" s="4" t="s">
        <v>3709</v>
      </c>
      <c r="C101" s="4" t="s">
        <v>23</v>
      </c>
      <c r="D101" s="4" t="s">
        <v>455</v>
      </c>
      <c r="E101" s="4" t="s">
        <v>22</v>
      </c>
      <c r="F101" s="4" t="s">
        <v>9</v>
      </c>
      <c r="G101" s="6" t="n">
        <v>45943</v>
      </c>
      <c r="H101" s="6" t="n">
        <v>46034</v>
      </c>
      <c r="I101" s="10" t="n">
        <v>383284</v>
      </c>
      <c r="J101" s="10" t="n">
        <v>162026.06</v>
      </c>
      <c r="K101" s="10" t="n">
        <f aca="false">I101-J101</f>
        <v>221257.94</v>
      </c>
      <c r="L101" s="9" t="n">
        <v>0.92</v>
      </c>
    </row>
    <row r="102" customFormat="false" ht="15" hidden="false" customHeight="false" outlineLevel="0" collapsed="false">
      <c r="A102" s="4" t="s">
        <v>3710</v>
      </c>
      <c r="B102" s="4" t="s">
        <v>3711</v>
      </c>
      <c r="C102" s="4" t="s">
        <v>29</v>
      </c>
      <c r="D102" s="4" t="s">
        <v>455</v>
      </c>
      <c r="E102" s="4" t="s">
        <v>28</v>
      </c>
      <c r="F102" s="4" t="s">
        <v>27</v>
      </c>
      <c r="G102" s="6" t="n">
        <v>45681</v>
      </c>
      <c r="H102" s="6" t="n">
        <v>45729</v>
      </c>
      <c r="I102" s="10" t="n">
        <v>397316</v>
      </c>
      <c r="J102" s="10" t="n">
        <v>442131.69</v>
      </c>
      <c r="K102" s="10" t="n">
        <f aca="false">I102-J102</f>
        <v>-44815.69</v>
      </c>
      <c r="L102" s="9" t="n">
        <v>0.94</v>
      </c>
    </row>
    <row r="103" customFormat="false" ht="15" hidden="false" customHeight="false" outlineLevel="0" collapsed="false">
      <c r="A103" s="4" t="s">
        <v>3712</v>
      </c>
      <c r="B103" s="4" t="s">
        <v>3713</v>
      </c>
      <c r="C103" s="4" t="s">
        <v>33</v>
      </c>
      <c r="D103" s="4" t="s">
        <v>543</v>
      </c>
      <c r="E103" s="4" t="s">
        <v>16</v>
      </c>
      <c r="F103" s="4" t="s">
        <v>9</v>
      </c>
      <c r="G103" s="6" t="n">
        <v>46085</v>
      </c>
      <c r="H103" s="6" t="n">
        <v>46226</v>
      </c>
      <c r="I103" s="10" t="n">
        <v>161671</v>
      </c>
      <c r="J103" s="10" t="n">
        <v>150907.93</v>
      </c>
      <c r="K103" s="10" t="n">
        <f aca="false">I103-J103</f>
        <v>10763.07</v>
      </c>
      <c r="L103" s="9" t="n">
        <v>0.19</v>
      </c>
    </row>
    <row r="104" customFormat="false" ht="15" hidden="false" customHeight="false" outlineLevel="0" collapsed="false">
      <c r="A104" s="4" t="s">
        <v>3714</v>
      </c>
      <c r="B104" s="4" t="s">
        <v>3715</v>
      </c>
      <c r="C104" s="4" t="s">
        <v>33</v>
      </c>
      <c r="D104" s="4" t="s">
        <v>462</v>
      </c>
      <c r="E104" s="4" t="s">
        <v>28</v>
      </c>
      <c r="F104" s="4" t="s">
        <v>27</v>
      </c>
      <c r="G104" s="6" t="n">
        <v>46116</v>
      </c>
      <c r="H104" s="6" t="n">
        <v>46147</v>
      </c>
      <c r="I104" s="10" t="n">
        <v>321192</v>
      </c>
      <c r="J104" s="10" t="n">
        <v>241649.8</v>
      </c>
      <c r="K104" s="10" t="n">
        <f aca="false">I104-J104</f>
        <v>79542.2</v>
      </c>
      <c r="L104" s="9" t="n">
        <v>0.41</v>
      </c>
    </row>
    <row r="105" customFormat="false" ht="15" hidden="false" customHeight="false" outlineLevel="0" collapsed="false">
      <c r="A105" s="4" t="s">
        <v>3716</v>
      </c>
      <c r="B105" s="4" t="s">
        <v>3717</v>
      </c>
      <c r="C105" s="4" t="s">
        <v>23</v>
      </c>
      <c r="D105" s="4" t="s">
        <v>480</v>
      </c>
      <c r="E105" s="4" t="s">
        <v>10</v>
      </c>
      <c r="F105" s="4" t="s">
        <v>15</v>
      </c>
      <c r="G105" s="6" t="n">
        <v>45882</v>
      </c>
      <c r="H105" s="6" t="n">
        <v>45957</v>
      </c>
      <c r="I105" s="10" t="n">
        <v>276688</v>
      </c>
      <c r="J105" s="10" t="n">
        <v>247576.69</v>
      </c>
      <c r="K105" s="10" t="n">
        <f aca="false">I105-J105</f>
        <v>29111.31</v>
      </c>
      <c r="L105" s="9" t="n">
        <v>0.38</v>
      </c>
    </row>
    <row r="106" customFormat="false" ht="15" hidden="false" customHeight="false" outlineLevel="0" collapsed="false">
      <c r="A106" s="4" t="s">
        <v>3718</v>
      </c>
      <c r="B106" s="4" t="s">
        <v>3719</v>
      </c>
      <c r="C106" s="4" t="s">
        <v>32</v>
      </c>
      <c r="D106" s="4" t="s">
        <v>465</v>
      </c>
      <c r="E106" s="4" t="s">
        <v>28</v>
      </c>
      <c r="F106" s="4" t="s">
        <v>21</v>
      </c>
      <c r="G106" s="6" t="n">
        <v>45910</v>
      </c>
      <c r="H106" s="6" t="n">
        <v>46027</v>
      </c>
      <c r="I106" s="10" t="n">
        <v>35316</v>
      </c>
      <c r="J106" s="10" t="n">
        <v>25446.75</v>
      </c>
      <c r="K106" s="10" t="n">
        <f aca="false">I106-J106</f>
        <v>9869.25</v>
      </c>
      <c r="L106" s="9" t="n">
        <v>0.41</v>
      </c>
    </row>
    <row r="107" customFormat="false" ht="15" hidden="false" customHeight="false" outlineLevel="0" collapsed="false">
      <c r="A107" s="4" t="s">
        <v>3720</v>
      </c>
      <c r="B107" s="4" t="s">
        <v>3721</v>
      </c>
      <c r="C107" s="4" t="s">
        <v>17</v>
      </c>
      <c r="D107" s="4" t="s">
        <v>475</v>
      </c>
      <c r="E107" s="4" t="s">
        <v>16</v>
      </c>
      <c r="F107" s="4" t="s">
        <v>27</v>
      </c>
      <c r="G107" s="6" t="n">
        <v>45854</v>
      </c>
      <c r="H107" s="6" t="n">
        <v>45965</v>
      </c>
      <c r="I107" s="10" t="n">
        <v>407043</v>
      </c>
      <c r="J107" s="10" t="n">
        <v>120589.5</v>
      </c>
      <c r="K107" s="10" t="n">
        <f aca="false">I107-J107</f>
        <v>286453.5</v>
      </c>
      <c r="L107" s="9" t="n">
        <v>0.66</v>
      </c>
    </row>
    <row r="108" customFormat="false" ht="15" hidden="false" customHeight="false" outlineLevel="0" collapsed="false">
      <c r="A108" s="4" t="s">
        <v>3722</v>
      </c>
      <c r="B108" s="4" t="s">
        <v>3723</v>
      </c>
      <c r="C108" s="4" t="s">
        <v>11</v>
      </c>
      <c r="D108" s="4" t="s">
        <v>490</v>
      </c>
      <c r="E108" s="4" t="s">
        <v>22</v>
      </c>
      <c r="F108" s="4" t="s">
        <v>15</v>
      </c>
      <c r="G108" s="6" t="n">
        <v>45800</v>
      </c>
      <c r="H108" s="6" t="n">
        <v>45977</v>
      </c>
      <c r="I108" s="10" t="n">
        <v>471155</v>
      </c>
      <c r="J108" s="10" t="n">
        <v>366099.33</v>
      </c>
      <c r="K108" s="10" t="n">
        <f aca="false">I108-J108</f>
        <v>105055.67</v>
      </c>
      <c r="L108" s="9" t="n">
        <v>0.15</v>
      </c>
    </row>
    <row r="109" customFormat="false" ht="15" hidden="false" customHeight="false" outlineLevel="0" collapsed="false">
      <c r="A109" s="4" t="s">
        <v>3724</v>
      </c>
      <c r="B109" s="4" t="s">
        <v>3725</v>
      </c>
      <c r="C109" s="4" t="s">
        <v>17</v>
      </c>
      <c r="D109" s="4" t="s">
        <v>495</v>
      </c>
      <c r="E109" s="4" t="s">
        <v>22</v>
      </c>
      <c r="F109" s="4" t="s">
        <v>9</v>
      </c>
      <c r="G109" s="6" t="n">
        <v>45805</v>
      </c>
      <c r="H109" s="6" t="n">
        <v>45905</v>
      </c>
      <c r="I109" s="10" t="n">
        <v>265137</v>
      </c>
      <c r="J109" s="10" t="n">
        <v>154524.08</v>
      </c>
      <c r="K109" s="10" t="n">
        <f aca="false">I109-J109</f>
        <v>110612.92</v>
      </c>
      <c r="L109" s="9" t="n">
        <v>0.29</v>
      </c>
    </row>
    <row r="110" customFormat="false" ht="15" hidden="false" customHeight="false" outlineLevel="0" collapsed="false">
      <c r="A110" s="4" t="s">
        <v>3726</v>
      </c>
      <c r="B110" s="4" t="s">
        <v>3727</v>
      </c>
      <c r="C110" s="4" t="s">
        <v>32</v>
      </c>
      <c r="D110" s="4" t="s">
        <v>469</v>
      </c>
      <c r="E110" s="4" t="s">
        <v>16</v>
      </c>
      <c r="F110" s="4" t="s">
        <v>9</v>
      </c>
      <c r="G110" s="6" t="n">
        <v>45999</v>
      </c>
      <c r="H110" s="6" t="n">
        <v>46100</v>
      </c>
      <c r="I110" s="10" t="n">
        <v>83926</v>
      </c>
      <c r="J110" s="10" t="n">
        <v>17252.97</v>
      </c>
      <c r="K110" s="10" t="n">
        <f aca="false">I110-J110</f>
        <v>66673.03</v>
      </c>
      <c r="L110" s="9" t="n">
        <v>0.76</v>
      </c>
    </row>
    <row r="111" customFormat="false" ht="15" hidden="false" customHeight="false" outlineLevel="0" collapsed="false">
      <c r="A111" s="4" t="s">
        <v>3728</v>
      </c>
      <c r="B111" s="4" t="s">
        <v>3729</v>
      </c>
      <c r="C111" s="4" t="s">
        <v>31</v>
      </c>
      <c r="D111" s="4" t="s">
        <v>472</v>
      </c>
      <c r="E111" s="4" t="s">
        <v>10</v>
      </c>
      <c r="F111" s="4" t="s">
        <v>27</v>
      </c>
      <c r="G111" s="6" t="n">
        <v>46120</v>
      </c>
      <c r="H111" s="6" t="n">
        <v>46160</v>
      </c>
      <c r="I111" s="10" t="n">
        <v>476954</v>
      </c>
      <c r="J111" s="10" t="n">
        <v>330916.75</v>
      </c>
      <c r="K111" s="10" t="n">
        <f aca="false">I111-J111</f>
        <v>146037.25</v>
      </c>
      <c r="L111" s="9" t="n">
        <v>0.03</v>
      </c>
    </row>
    <row r="112" customFormat="false" ht="15" hidden="false" customHeight="false" outlineLevel="0" collapsed="false">
      <c r="A112" s="4" t="s">
        <v>3730</v>
      </c>
      <c r="B112" s="4" t="s">
        <v>3731</v>
      </c>
      <c r="C112" s="4" t="s">
        <v>32</v>
      </c>
      <c r="D112" s="4" t="s">
        <v>449</v>
      </c>
      <c r="E112" s="4" t="s">
        <v>28</v>
      </c>
      <c r="F112" s="4" t="s">
        <v>15</v>
      </c>
      <c r="G112" s="6" t="n">
        <v>45847</v>
      </c>
      <c r="H112" s="6" t="n">
        <v>45929</v>
      </c>
      <c r="I112" s="10" t="n">
        <v>157764</v>
      </c>
      <c r="J112" s="10" t="n">
        <v>179217.78</v>
      </c>
      <c r="K112" s="10" t="n">
        <f aca="false">I112-J112</f>
        <v>-21453.78</v>
      </c>
      <c r="L112" s="9" t="n">
        <v>0.58</v>
      </c>
    </row>
    <row r="113" customFormat="false" ht="15" hidden="false" customHeight="false" outlineLevel="0" collapsed="false">
      <c r="A113" s="4" t="s">
        <v>3732</v>
      </c>
      <c r="B113" s="4" t="s">
        <v>3733</v>
      </c>
      <c r="C113" s="4" t="s">
        <v>31</v>
      </c>
      <c r="D113" s="4" t="s">
        <v>452</v>
      </c>
      <c r="E113" s="4" t="s">
        <v>28</v>
      </c>
      <c r="F113" s="4" t="s">
        <v>27</v>
      </c>
      <c r="G113" s="6" t="n">
        <v>45809</v>
      </c>
      <c r="H113" s="6" t="n">
        <v>45867</v>
      </c>
      <c r="I113" s="10" t="n">
        <v>385521</v>
      </c>
      <c r="J113" s="10" t="n">
        <v>338084.34</v>
      </c>
      <c r="K113" s="10" t="n">
        <f aca="false">I113-J113</f>
        <v>47436.66</v>
      </c>
      <c r="L113" s="9" t="n">
        <v>0.63</v>
      </c>
    </row>
    <row r="114" customFormat="false" ht="15" hidden="false" customHeight="false" outlineLevel="0" collapsed="false">
      <c r="A114" s="4" t="s">
        <v>3734</v>
      </c>
      <c r="B114" s="4" t="s">
        <v>3735</v>
      </c>
      <c r="C114" s="4" t="s">
        <v>23</v>
      </c>
      <c r="D114" s="4" t="s">
        <v>550</v>
      </c>
      <c r="E114" s="4" t="s">
        <v>10</v>
      </c>
      <c r="F114" s="4" t="s">
        <v>21</v>
      </c>
      <c r="G114" s="6" t="n">
        <v>45792</v>
      </c>
      <c r="H114" s="6" t="n">
        <v>45844</v>
      </c>
      <c r="I114" s="10" t="n">
        <v>463248</v>
      </c>
      <c r="J114" s="10" t="n">
        <v>116043.55</v>
      </c>
      <c r="K114" s="10" t="n">
        <f aca="false">I114-J114</f>
        <v>347204.45</v>
      </c>
      <c r="L114" s="9" t="n">
        <v>0.1</v>
      </c>
    </row>
    <row r="115" customFormat="false" ht="15" hidden="false" customHeight="false" outlineLevel="0" collapsed="false">
      <c r="A115" s="4" t="s">
        <v>3736</v>
      </c>
      <c r="B115" s="4" t="s">
        <v>3737</v>
      </c>
      <c r="C115" s="4" t="s">
        <v>23</v>
      </c>
      <c r="D115" s="4" t="s">
        <v>543</v>
      </c>
      <c r="E115" s="4" t="s">
        <v>22</v>
      </c>
      <c r="F115" s="4" t="s">
        <v>21</v>
      </c>
      <c r="G115" s="6" t="n">
        <v>46039</v>
      </c>
      <c r="H115" s="6" t="n">
        <v>46272</v>
      </c>
      <c r="I115" s="10" t="n">
        <v>126623</v>
      </c>
      <c r="J115" s="10" t="n">
        <v>113973.08</v>
      </c>
      <c r="K115" s="10" t="n">
        <f aca="false">I115-J115</f>
        <v>12649.92</v>
      </c>
      <c r="L115" s="9" t="n">
        <v>0.58</v>
      </c>
    </row>
    <row r="116" customFormat="false" ht="15" hidden="false" customHeight="false" outlineLevel="0" collapsed="false">
      <c r="A116" s="4" t="s">
        <v>3738</v>
      </c>
      <c r="B116" s="4" t="s">
        <v>3739</v>
      </c>
      <c r="C116" s="4" t="s">
        <v>11</v>
      </c>
      <c r="D116" s="4" t="s">
        <v>550</v>
      </c>
      <c r="E116" s="4" t="s">
        <v>22</v>
      </c>
      <c r="F116" s="4" t="s">
        <v>9</v>
      </c>
      <c r="G116" s="6" t="n">
        <v>45980</v>
      </c>
      <c r="H116" s="6" t="n">
        <v>46198</v>
      </c>
      <c r="I116" s="10" t="n">
        <v>278878</v>
      </c>
      <c r="J116" s="10" t="n">
        <v>234059.41</v>
      </c>
      <c r="K116" s="10" t="n">
        <f aca="false">I116-J116</f>
        <v>44818.59</v>
      </c>
      <c r="L116" s="9" t="n">
        <v>0.55</v>
      </c>
    </row>
    <row r="117" customFormat="false" ht="15" hidden="false" customHeight="false" outlineLevel="0" collapsed="false">
      <c r="A117" s="4" t="s">
        <v>3740</v>
      </c>
      <c r="B117" s="4" t="s">
        <v>3741</v>
      </c>
      <c r="C117" s="4" t="s">
        <v>17</v>
      </c>
      <c r="D117" s="4" t="s">
        <v>469</v>
      </c>
      <c r="E117" s="4" t="s">
        <v>10</v>
      </c>
      <c r="F117" s="4" t="s">
        <v>9</v>
      </c>
      <c r="G117" s="6" t="n">
        <v>45709</v>
      </c>
      <c r="H117" s="6" t="n">
        <v>45919</v>
      </c>
      <c r="I117" s="10" t="n">
        <v>426388</v>
      </c>
      <c r="J117" s="10" t="n">
        <v>287140.97</v>
      </c>
      <c r="K117" s="10" t="n">
        <f aca="false">I117-J117</f>
        <v>139247.03</v>
      </c>
      <c r="L117" s="9" t="n">
        <v>0.31</v>
      </c>
    </row>
    <row r="118" customFormat="false" ht="15" hidden="false" customHeight="false" outlineLevel="0" collapsed="false">
      <c r="A118" s="4" t="s">
        <v>3742</v>
      </c>
      <c r="B118" s="4" t="s">
        <v>3743</v>
      </c>
      <c r="C118" s="4" t="s">
        <v>17</v>
      </c>
      <c r="D118" s="4" t="s">
        <v>462</v>
      </c>
      <c r="E118" s="4" t="s">
        <v>16</v>
      </c>
      <c r="F118" s="4" t="s">
        <v>21</v>
      </c>
      <c r="G118" s="6" t="n">
        <v>45728</v>
      </c>
      <c r="H118" s="6" t="n">
        <v>45908</v>
      </c>
      <c r="I118" s="10" t="n">
        <v>207241</v>
      </c>
      <c r="J118" s="10" t="n">
        <v>219535.84</v>
      </c>
      <c r="K118" s="10" t="n">
        <f aca="false">I118-J118</f>
        <v>-12294.84</v>
      </c>
      <c r="L118" s="9" t="n">
        <v>0.6</v>
      </c>
    </row>
    <row r="119" customFormat="false" ht="15" hidden="false" customHeight="false" outlineLevel="0" collapsed="false">
      <c r="A119" s="4" t="s">
        <v>3744</v>
      </c>
      <c r="B119" s="4" t="s">
        <v>3745</v>
      </c>
      <c r="C119" s="4" t="s">
        <v>29</v>
      </c>
      <c r="D119" s="4" t="s">
        <v>495</v>
      </c>
      <c r="E119" s="4" t="s">
        <v>16</v>
      </c>
      <c r="F119" s="4" t="s">
        <v>15</v>
      </c>
      <c r="G119" s="6" t="n">
        <v>45735</v>
      </c>
      <c r="H119" s="6" t="n">
        <v>45889</v>
      </c>
      <c r="I119" s="10" t="n">
        <v>436701</v>
      </c>
      <c r="J119" s="10" t="n">
        <v>133549.87</v>
      </c>
      <c r="K119" s="10" t="n">
        <f aca="false">I119-J119</f>
        <v>303151.13</v>
      </c>
      <c r="L119" s="9" t="n">
        <v>0.81</v>
      </c>
    </row>
    <row r="120" customFormat="false" ht="15" hidden="false" customHeight="false" outlineLevel="0" collapsed="false">
      <c r="A120" s="4" t="s">
        <v>3746</v>
      </c>
      <c r="B120" s="4" t="s">
        <v>3747</v>
      </c>
      <c r="C120" s="4" t="s">
        <v>33</v>
      </c>
      <c r="D120" s="4" t="s">
        <v>472</v>
      </c>
      <c r="E120" s="4" t="s">
        <v>10</v>
      </c>
      <c r="F120" s="4" t="s">
        <v>27</v>
      </c>
      <c r="G120" s="6" t="n">
        <v>46106</v>
      </c>
      <c r="H120" s="6" t="n">
        <v>46158</v>
      </c>
      <c r="I120" s="10" t="n">
        <v>280693</v>
      </c>
      <c r="J120" s="10" t="n">
        <v>292727</v>
      </c>
      <c r="K120" s="10" t="n">
        <f aca="false">I120-J120</f>
        <v>-12034</v>
      </c>
      <c r="L120" s="9" t="n">
        <v>0.08</v>
      </c>
    </row>
    <row r="121" customFormat="false" ht="15" hidden="false" customHeight="false" outlineLevel="0" collapsed="false">
      <c r="A121" s="4" t="s">
        <v>3748</v>
      </c>
      <c r="B121" s="4" t="s">
        <v>3749</v>
      </c>
      <c r="C121" s="4" t="s">
        <v>17</v>
      </c>
      <c r="D121" s="4" t="s">
        <v>475</v>
      </c>
      <c r="E121" s="4" t="s">
        <v>28</v>
      </c>
      <c r="F121" s="4" t="s">
        <v>21</v>
      </c>
      <c r="G121" s="6" t="n">
        <v>45909</v>
      </c>
      <c r="H121" s="6" t="n">
        <v>46081</v>
      </c>
      <c r="I121" s="10" t="n">
        <v>330453</v>
      </c>
      <c r="J121" s="10" t="n">
        <v>108851.77</v>
      </c>
      <c r="K121" s="10" t="n">
        <f aca="false">I121-J121</f>
        <v>221601.23</v>
      </c>
      <c r="L121" s="9" t="n">
        <v>0.78</v>
      </c>
    </row>
    <row r="122" customFormat="false" ht="15" hidden="false" customHeight="false" outlineLevel="0" collapsed="false">
      <c r="A122" s="4" t="s">
        <v>3750</v>
      </c>
      <c r="B122" s="4" t="s">
        <v>3751</v>
      </c>
      <c r="C122" s="4" t="s">
        <v>23</v>
      </c>
      <c r="D122" s="4" t="s">
        <v>459</v>
      </c>
      <c r="E122" s="4" t="s">
        <v>16</v>
      </c>
      <c r="F122" s="4" t="s">
        <v>21</v>
      </c>
      <c r="G122" s="6" t="n">
        <v>45852</v>
      </c>
      <c r="H122" s="6" t="n">
        <v>46043</v>
      </c>
      <c r="I122" s="10" t="n">
        <v>316131</v>
      </c>
      <c r="J122" s="10" t="n">
        <v>113234.13</v>
      </c>
      <c r="K122" s="10" t="n">
        <f aca="false">I122-J122</f>
        <v>202896.87</v>
      </c>
      <c r="L122" s="9" t="n">
        <v>0.29</v>
      </c>
    </row>
    <row r="123" customFormat="false" ht="15" hidden="false" customHeight="false" outlineLevel="0" collapsed="false">
      <c r="A123" s="4" t="s">
        <v>3752</v>
      </c>
      <c r="B123" s="4" t="s">
        <v>3753</v>
      </c>
      <c r="C123" s="4" t="s">
        <v>31</v>
      </c>
      <c r="D123" s="4" t="s">
        <v>462</v>
      </c>
      <c r="E123" s="4" t="s">
        <v>28</v>
      </c>
      <c r="F123" s="4" t="s">
        <v>21</v>
      </c>
      <c r="G123" s="6" t="n">
        <v>46106</v>
      </c>
      <c r="H123" s="6" t="n">
        <v>46210</v>
      </c>
      <c r="I123" s="10" t="n">
        <v>360211</v>
      </c>
      <c r="J123" s="10" t="n">
        <v>228217.42</v>
      </c>
      <c r="K123" s="10" t="n">
        <f aca="false">I123-J123</f>
        <v>131993.58</v>
      </c>
      <c r="L123" s="9" t="n">
        <v>0.69</v>
      </c>
    </row>
    <row r="124" customFormat="false" ht="15" hidden="false" customHeight="false" outlineLevel="0" collapsed="false">
      <c r="A124" s="4" t="s">
        <v>3754</v>
      </c>
      <c r="B124" s="4" t="s">
        <v>3755</v>
      </c>
      <c r="C124" s="4" t="s">
        <v>31</v>
      </c>
      <c r="D124" s="4" t="s">
        <v>480</v>
      </c>
      <c r="E124" s="4" t="s">
        <v>22</v>
      </c>
      <c r="F124" s="4" t="s">
        <v>27</v>
      </c>
      <c r="G124" s="6" t="n">
        <v>45904</v>
      </c>
      <c r="H124" s="6" t="n">
        <v>46009</v>
      </c>
      <c r="I124" s="10" t="n">
        <v>60611</v>
      </c>
      <c r="J124" s="10" t="n">
        <v>20657.66</v>
      </c>
      <c r="K124" s="10" t="n">
        <f aca="false">I124-J124</f>
        <v>39953.34</v>
      </c>
      <c r="L124" s="9" t="n">
        <v>0.57</v>
      </c>
    </row>
    <row r="125" customFormat="false" ht="15" hidden="false" customHeight="false" outlineLevel="0" collapsed="false">
      <c r="A125" s="4" t="s">
        <v>3756</v>
      </c>
      <c r="B125" s="4" t="s">
        <v>3757</v>
      </c>
      <c r="C125" s="4" t="s">
        <v>17</v>
      </c>
      <c r="D125" s="4" t="s">
        <v>459</v>
      </c>
      <c r="E125" s="4" t="s">
        <v>22</v>
      </c>
      <c r="F125" s="4" t="s">
        <v>9</v>
      </c>
      <c r="G125" s="6" t="n">
        <v>45824</v>
      </c>
      <c r="H125" s="6" t="n">
        <v>45917</v>
      </c>
      <c r="I125" s="10" t="n">
        <v>357297</v>
      </c>
      <c r="J125" s="10" t="n">
        <v>202713.1</v>
      </c>
      <c r="K125" s="10" t="n">
        <f aca="false">I125-J125</f>
        <v>154583.9</v>
      </c>
      <c r="L125" s="9" t="n">
        <v>0.44</v>
      </c>
    </row>
    <row r="126" customFormat="false" ht="15" hidden="false" customHeight="false" outlineLevel="0" collapsed="false">
      <c r="A126" s="4" t="s">
        <v>3758</v>
      </c>
      <c r="B126" s="4" t="s">
        <v>3759</v>
      </c>
      <c r="C126" s="4" t="s">
        <v>29</v>
      </c>
      <c r="D126" s="4" t="s">
        <v>469</v>
      </c>
      <c r="E126" s="4" t="s">
        <v>28</v>
      </c>
      <c r="F126" s="4" t="s">
        <v>27</v>
      </c>
      <c r="G126" s="6" t="n">
        <v>46014</v>
      </c>
      <c r="H126" s="6" t="n">
        <v>46145</v>
      </c>
      <c r="I126" s="10" t="n">
        <v>379528</v>
      </c>
      <c r="J126" s="10" t="n">
        <v>91414.5</v>
      </c>
      <c r="K126" s="10" t="n">
        <f aca="false">I126-J126</f>
        <v>288113.5</v>
      </c>
      <c r="L126" s="9" t="n">
        <v>0.87</v>
      </c>
    </row>
    <row r="127" customFormat="false" ht="15" hidden="false" customHeight="false" outlineLevel="0" collapsed="false">
      <c r="A127" s="4" t="s">
        <v>3760</v>
      </c>
      <c r="B127" s="4" t="s">
        <v>3761</v>
      </c>
      <c r="C127" s="4" t="s">
        <v>17</v>
      </c>
      <c r="D127" s="4" t="s">
        <v>455</v>
      </c>
      <c r="E127" s="4" t="s">
        <v>28</v>
      </c>
      <c r="F127" s="4" t="s">
        <v>9</v>
      </c>
      <c r="G127" s="6" t="n">
        <v>45778</v>
      </c>
      <c r="H127" s="6" t="n">
        <v>45815</v>
      </c>
      <c r="I127" s="10" t="n">
        <v>162531</v>
      </c>
      <c r="J127" s="10" t="n">
        <v>64153.63</v>
      </c>
      <c r="K127" s="10" t="n">
        <f aca="false">I127-J127</f>
        <v>98377.37</v>
      </c>
      <c r="L127" s="9" t="n">
        <v>0.71</v>
      </c>
    </row>
    <row r="128" customFormat="false" ht="15" hidden="false" customHeight="false" outlineLevel="0" collapsed="false">
      <c r="A128" s="4" t="s">
        <v>3762</v>
      </c>
      <c r="B128" s="4" t="s">
        <v>3763</v>
      </c>
      <c r="C128" s="4" t="s">
        <v>29</v>
      </c>
      <c r="D128" s="4" t="s">
        <v>449</v>
      </c>
      <c r="E128" s="4" t="s">
        <v>28</v>
      </c>
      <c r="F128" s="4" t="s">
        <v>27</v>
      </c>
      <c r="G128" s="6" t="n">
        <v>46053</v>
      </c>
      <c r="H128" s="6" t="n">
        <v>46165</v>
      </c>
      <c r="I128" s="10" t="n">
        <v>147156</v>
      </c>
      <c r="J128" s="10" t="n">
        <v>123977.16</v>
      </c>
      <c r="K128" s="10" t="n">
        <f aca="false">I128-J128</f>
        <v>23178.84</v>
      </c>
      <c r="L128" s="9" t="n">
        <v>0.51</v>
      </c>
    </row>
    <row r="129" customFormat="false" ht="15" hidden="false" customHeight="false" outlineLevel="0" collapsed="false">
      <c r="A129" s="4" t="s">
        <v>3764</v>
      </c>
      <c r="B129" s="4" t="s">
        <v>3765</v>
      </c>
      <c r="C129" s="4" t="s">
        <v>17</v>
      </c>
      <c r="D129" s="4" t="s">
        <v>490</v>
      </c>
      <c r="E129" s="4" t="s">
        <v>10</v>
      </c>
      <c r="F129" s="4" t="s">
        <v>21</v>
      </c>
      <c r="G129" s="6" t="n">
        <v>45791</v>
      </c>
      <c r="H129" s="6" t="n">
        <v>45834</v>
      </c>
      <c r="I129" s="10" t="n">
        <v>150675</v>
      </c>
      <c r="J129" s="10" t="n">
        <v>95536.38</v>
      </c>
      <c r="K129" s="10" t="n">
        <f aca="false">I129-J129</f>
        <v>55138.62</v>
      </c>
      <c r="L129" s="9" t="n">
        <v>0.57</v>
      </c>
    </row>
    <row r="130" customFormat="false" ht="15" hidden="false" customHeight="false" outlineLevel="0" collapsed="false">
      <c r="A130" s="4" t="s">
        <v>3766</v>
      </c>
      <c r="B130" s="4" t="s">
        <v>3767</v>
      </c>
      <c r="C130" s="4" t="s">
        <v>32</v>
      </c>
      <c r="D130" s="4" t="s">
        <v>472</v>
      </c>
      <c r="E130" s="4" t="s">
        <v>10</v>
      </c>
      <c r="F130" s="4" t="s">
        <v>21</v>
      </c>
      <c r="G130" s="6" t="n">
        <v>45867</v>
      </c>
      <c r="H130" s="6" t="n">
        <v>45953</v>
      </c>
      <c r="I130" s="10" t="n">
        <v>310157</v>
      </c>
      <c r="J130" s="10" t="n">
        <v>329754.01</v>
      </c>
      <c r="K130" s="10" t="n">
        <f aca="false">I130-J130</f>
        <v>-19597.01</v>
      </c>
      <c r="L130" s="9" t="n">
        <v>0.16</v>
      </c>
    </row>
    <row r="131" customFormat="false" ht="15" hidden="false" customHeight="false" outlineLevel="0" collapsed="false">
      <c r="A131" s="4" t="s">
        <v>3768</v>
      </c>
      <c r="B131" s="4" t="s">
        <v>3769</v>
      </c>
      <c r="C131" s="4" t="s">
        <v>11</v>
      </c>
      <c r="D131" s="4" t="s">
        <v>480</v>
      </c>
      <c r="E131" s="4" t="s">
        <v>28</v>
      </c>
      <c r="F131" s="4" t="s">
        <v>9</v>
      </c>
      <c r="G131" s="6" t="n">
        <v>45967</v>
      </c>
      <c r="H131" s="6" t="n">
        <v>46135</v>
      </c>
      <c r="I131" s="10" t="n">
        <v>20443</v>
      </c>
      <c r="J131" s="10" t="n">
        <v>23413.5</v>
      </c>
      <c r="K131" s="10" t="n">
        <f aca="false">I131-J131</f>
        <v>-2970.5</v>
      </c>
      <c r="L131" s="9" t="n">
        <v>0.99</v>
      </c>
    </row>
    <row r="132" customFormat="false" ht="15" hidden="false" customHeight="false" outlineLevel="0" collapsed="false">
      <c r="A132" s="4" t="s">
        <v>3770</v>
      </c>
      <c r="B132" s="4" t="s">
        <v>3771</v>
      </c>
      <c r="C132" s="4" t="s">
        <v>31</v>
      </c>
      <c r="D132" s="4" t="s">
        <v>524</v>
      </c>
      <c r="E132" s="4" t="s">
        <v>10</v>
      </c>
      <c r="F132" s="4" t="s">
        <v>9</v>
      </c>
      <c r="G132" s="6" t="n">
        <v>46018</v>
      </c>
      <c r="H132" s="6" t="n">
        <v>46133</v>
      </c>
      <c r="I132" s="10" t="n">
        <v>488270</v>
      </c>
      <c r="J132" s="10" t="n">
        <v>238261.45</v>
      </c>
      <c r="K132" s="10" t="n">
        <f aca="false">I132-J132</f>
        <v>250008.55</v>
      </c>
      <c r="L132" s="9" t="n">
        <v>0.66</v>
      </c>
    </row>
    <row r="133" customFormat="false" ht="15" hidden="false" customHeight="false" outlineLevel="0" collapsed="false">
      <c r="A133" s="4" t="s">
        <v>3772</v>
      </c>
      <c r="B133" s="4" t="s">
        <v>3773</v>
      </c>
      <c r="C133" s="4" t="s">
        <v>17</v>
      </c>
      <c r="D133" s="4" t="s">
        <v>469</v>
      </c>
      <c r="E133" s="4" t="s">
        <v>28</v>
      </c>
      <c r="F133" s="4" t="s">
        <v>15</v>
      </c>
      <c r="G133" s="6" t="n">
        <v>45765</v>
      </c>
      <c r="H133" s="6" t="n">
        <v>45887</v>
      </c>
      <c r="I133" s="10" t="n">
        <v>290741</v>
      </c>
      <c r="J133" s="10" t="n">
        <v>92538.15</v>
      </c>
      <c r="K133" s="10" t="n">
        <f aca="false">I133-J133</f>
        <v>198202.85</v>
      </c>
      <c r="L133" s="9" t="n">
        <v>0.37</v>
      </c>
    </row>
    <row r="134" customFormat="false" ht="15" hidden="false" customHeight="false" outlineLevel="0" collapsed="false">
      <c r="A134" s="4" t="s">
        <v>3774</v>
      </c>
      <c r="B134" s="4" t="s">
        <v>3775</v>
      </c>
      <c r="C134" s="4" t="s">
        <v>29</v>
      </c>
      <c r="D134" s="4" t="s">
        <v>472</v>
      </c>
      <c r="E134" s="4" t="s">
        <v>16</v>
      </c>
      <c r="F134" s="4" t="s">
        <v>9</v>
      </c>
      <c r="G134" s="6" t="n">
        <v>46068</v>
      </c>
      <c r="H134" s="6" t="n">
        <v>46139</v>
      </c>
      <c r="I134" s="10" t="n">
        <v>487444</v>
      </c>
      <c r="J134" s="10" t="n">
        <v>249214.49</v>
      </c>
      <c r="K134" s="10" t="n">
        <f aca="false">I134-J134</f>
        <v>238229.51</v>
      </c>
      <c r="L134" s="9" t="n">
        <v>0.04</v>
      </c>
    </row>
    <row r="135" customFormat="false" ht="15" hidden="false" customHeight="false" outlineLevel="0" collapsed="false">
      <c r="A135" s="4" t="s">
        <v>3776</v>
      </c>
      <c r="B135" s="4" t="s">
        <v>3777</v>
      </c>
      <c r="C135" s="4" t="s">
        <v>11</v>
      </c>
      <c r="D135" s="4" t="s">
        <v>524</v>
      </c>
      <c r="E135" s="4" t="s">
        <v>28</v>
      </c>
      <c r="F135" s="4" t="s">
        <v>27</v>
      </c>
      <c r="G135" s="6" t="n">
        <v>46090</v>
      </c>
      <c r="H135" s="6" t="n">
        <v>46125</v>
      </c>
      <c r="I135" s="10" t="n">
        <v>405901</v>
      </c>
      <c r="J135" s="10" t="n">
        <v>460450.32</v>
      </c>
      <c r="K135" s="10" t="n">
        <f aca="false">I135-J135</f>
        <v>-54549.32</v>
      </c>
      <c r="L135" s="9" t="n">
        <v>0.05</v>
      </c>
    </row>
    <row r="136" customFormat="false" ht="15" hidden="false" customHeight="false" outlineLevel="0" collapsed="false">
      <c r="A136" s="4" t="s">
        <v>3778</v>
      </c>
      <c r="B136" s="4" t="s">
        <v>3779</v>
      </c>
      <c r="C136" s="4" t="s">
        <v>33</v>
      </c>
      <c r="D136" s="4" t="s">
        <v>480</v>
      </c>
      <c r="E136" s="4" t="s">
        <v>16</v>
      </c>
      <c r="F136" s="4" t="s">
        <v>9</v>
      </c>
      <c r="G136" s="6" t="n">
        <v>45738</v>
      </c>
      <c r="H136" s="6" t="n">
        <v>45840</v>
      </c>
      <c r="I136" s="10" t="n">
        <v>168055</v>
      </c>
      <c r="J136" s="10" t="n">
        <v>21287.32</v>
      </c>
      <c r="K136" s="10" t="n">
        <f aca="false">I136-J136</f>
        <v>146767.68</v>
      </c>
      <c r="L136" s="9" t="n">
        <v>0.34</v>
      </c>
    </row>
    <row r="137" customFormat="false" ht="15" hidden="false" customHeight="false" outlineLevel="0" collapsed="false">
      <c r="A137" s="4" t="s">
        <v>3780</v>
      </c>
      <c r="B137" s="4" t="s">
        <v>3781</v>
      </c>
      <c r="C137" s="4" t="s">
        <v>33</v>
      </c>
      <c r="D137" s="4" t="s">
        <v>449</v>
      </c>
      <c r="E137" s="4" t="s">
        <v>16</v>
      </c>
      <c r="F137" s="4" t="s">
        <v>21</v>
      </c>
      <c r="G137" s="6" t="n">
        <v>46041</v>
      </c>
      <c r="H137" s="6" t="n">
        <v>46102</v>
      </c>
      <c r="I137" s="10" t="n">
        <v>436243</v>
      </c>
      <c r="J137" s="10" t="n">
        <v>419865.99</v>
      </c>
      <c r="K137" s="10" t="n">
        <f aca="false">I137-J137</f>
        <v>16377.01</v>
      </c>
      <c r="L137" s="9" t="n">
        <v>0.1</v>
      </c>
    </row>
    <row r="138" customFormat="false" ht="15" hidden="false" customHeight="false" outlineLevel="0" collapsed="false">
      <c r="A138" s="4" t="s">
        <v>3782</v>
      </c>
      <c r="B138" s="4" t="s">
        <v>3783</v>
      </c>
      <c r="C138" s="4" t="s">
        <v>31</v>
      </c>
      <c r="D138" s="4" t="s">
        <v>550</v>
      </c>
      <c r="E138" s="4" t="s">
        <v>28</v>
      </c>
      <c r="F138" s="4" t="s">
        <v>9</v>
      </c>
      <c r="G138" s="6" t="n">
        <v>45697</v>
      </c>
      <c r="H138" s="6" t="n">
        <v>45745</v>
      </c>
      <c r="I138" s="10" t="n">
        <v>274508</v>
      </c>
      <c r="J138" s="10" t="n">
        <v>245499.14</v>
      </c>
      <c r="K138" s="10" t="n">
        <f aca="false">I138-J138</f>
        <v>29008.86</v>
      </c>
      <c r="L138" s="9" t="n">
        <v>0.01</v>
      </c>
    </row>
    <row r="139" customFormat="false" ht="15" hidden="false" customHeight="false" outlineLevel="0" collapsed="false">
      <c r="A139" s="4" t="s">
        <v>3784</v>
      </c>
      <c r="B139" s="4" t="s">
        <v>3785</v>
      </c>
      <c r="C139" s="4" t="s">
        <v>11</v>
      </c>
      <c r="D139" s="4" t="s">
        <v>550</v>
      </c>
      <c r="E139" s="4" t="s">
        <v>28</v>
      </c>
      <c r="F139" s="4" t="s">
        <v>15</v>
      </c>
      <c r="G139" s="6" t="n">
        <v>46038</v>
      </c>
      <c r="H139" s="6" t="n">
        <v>46206</v>
      </c>
      <c r="I139" s="10" t="n">
        <v>327127</v>
      </c>
      <c r="J139" s="10" t="n">
        <v>363396.23</v>
      </c>
      <c r="K139" s="10" t="n">
        <f aca="false">I139-J139</f>
        <v>-36269.23</v>
      </c>
      <c r="L139" s="9" t="n">
        <v>0.77</v>
      </c>
    </row>
    <row r="140" customFormat="false" ht="15" hidden="false" customHeight="false" outlineLevel="0" collapsed="false">
      <c r="A140" s="4" t="s">
        <v>3786</v>
      </c>
      <c r="B140" s="4" t="s">
        <v>3787</v>
      </c>
      <c r="C140" s="4" t="s">
        <v>32</v>
      </c>
      <c r="D140" s="4" t="s">
        <v>550</v>
      </c>
      <c r="E140" s="4" t="s">
        <v>10</v>
      </c>
      <c r="F140" s="4" t="s">
        <v>21</v>
      </c>
      <c r="G140" s="6" t="n">
        <v>46097</v>
      </c>
      <c r="H140" s="6" t="n">
        <v>46206</v>
      </c>
      <c r="I140" s="10" t="n">
        <v>421446</v>
      </c>
      <c r="J140" s="10" t="n">
        <v>192221.27</v>
      </c>
      <c r="K140" s="10" t="n">
        <f aca="false">I140-J140</f>
        <v>229224.73</v>
      </c>
      <c r="L140" s="9" t="n">
        <v>0.35</v>
      </c>
    </row>
    <row r="141" customFormat="false" ht="15" hidden="false" customHeight="false" outlineLevel="0" collapsed="false">
      <c r="A141" s="4" t="s">
        <v>3788</v>
      </c>
      <c r="B141" s="4" t="s">
        <v>3789</v>
      </c>
      <c r="C141" s="4" t="s">
        <v>33</v>
      </c>
      <c r="D141" s="4" t="s">
        <v>465</v>
      </c>
      <c r="E141" s="4" t="s">
        <v>28</v>
      </c>
      <c r="F141" s="4" t="s">
        <v>27</v>
      </c>
      <c r="G141" s="6" t="n">
        <v>45892</v>
      </c>
      <c r="H141" s="6" t="n">
        <v>45973</v>
      </c>
      <c r="I141" s="10" t="n">
        <v>62260</v>
      </c>
      <c r="J141" s="10" t="n">
        <v>24324.79</v>
      </c>
      <c r="K141" s="10" t="n">
        <f aca="false">I141-J141</f>
        <v>37935.21</v>
      </c>
      <c r="L141" s="9" t="n">
        <v>0.37</v>
      </c>
    </row>
    <row r="142" customFormat="false" ht="15" hidden="false" customHeight="false" outlineLevel="0" collapsed="false">
      <c r="A142" s="4" t="s">
        <v>3790</v>
      </c>
      <c r="B142" s="4" t="s">
        <v>3791</v>
      </c>
      <c r="C142" s="4" t="s">
        <v>32</v>
      </c>
      <c r="D142" s="4" t="s">
        <v>495</v>
      </c>
      <c r="E142" s="4" t="s">
        <v>28</v>
      </c>
      <c r="F142" s="4" t="s">
        <v>21</v>
      </c>
      <c r="G142" s="6" t="n">
        <v>45877</v>
      </c>
      <c r="H142" s="6" t="n">
        <v>45930</v>
      </c>
      <c r="I142" s="10" t="n">
        <v>126524</v>
      </c>
      <c r="J142" s="10" t="n">
        <v>147220.16</v>
      </c>
      <c r="K142" s="10" t="n">
        <f aca="false">I142-J142</f>
        <v>-20696.16</v>
      </c>
      <c r="L142" s="9" t="n">
        <v>0.89</v>
      </c>
    </row>
    <row r="143" customFormat="false" ht="15" hidden="false" customHeight="false" outlineLevel="0" collapsed="false">
      <c r="A143" s="4" t="s">
        <v>3792</v>
      </c>
      <c r="B143" s="4" t="s">
        <v>3793</v>
      </c>
      <c r="C143" s="4" t="s">
        <v>29</v>
      </c>
      <c r="D143" s="4" t="s">
        <v>550</v>
      </c>
      <c r="E143" s="4" t="s">
        <v>28</v>
      </c>
      <c r="F143" s="4" t="s">
        <v>21</v>
      </c>
      <c r="G143" s="6" t="n">
        <v>45931</v>
      </c>
      <c r="H143" s="6" t="n">
        <v>46090</v>
      </c>
      <c r="I143" s="10" t="n">
        <v>138248</v>
      </c>
      <c r="J143" s="10" t="n">
        <v>71978.71</v>
      </c>
      <c r="K143" s="10" t="n">
        <f aca="false">I143-J143</f>
        <v>66269.29</v>
      </c>
      <c r="L143" s="9" t="n">
        <v>0.97</v>
      </c>
    </row>
    <row r="144" customFormat="false" ht="15" hidden="false" customHeight="false" outlineLevel="0" collapsed="false">
      <c r="A144" s="4" t="s">
        <v>3794</v>
      </c>
      <c r="B144" s="4" t="s">
        <v>3795</v>
      </c>
      <c r="C144" s="4" t="s">
        <v>32</v>
      </c>
      <c r="D144" s="4" t="s">
        <v>475</v>
      </c>
      <c r="E144" s="4" t="s">
        <v>28</v>
      </c>
      <c r="F144" s="4" t="s">
        <v>15</v>
      </c>
      <c r="G144" s="6" t="n">
        <v>45937</v>
      </c>
      <c r="H144" s="6" t="n">
        <v>46149</v>
      </c>
      <c r="I144" s="10" t="n">
        <v>66782</v>
      </c>
      <c r="J144" s="10" t="n">
        <v>39902.07</v>
      </c>
      <c r="K144" s="10" t="n">
        <f aca="false">I144-J144</f>
        <v>26879.93</v>
      </c>
      <c r="L144" s="9" t="n">
        <v>0.57</v>
      </c>
    </row>
    <row r="145" customFormat="false" ht="15" hidden="false" customHeight="false" outlineLevel="0" collapsed="false">
      <c r="A145" s="4" t="s">
        <v>3796</v>
      </c>
      <c r="B145" s="4" t="s">
        <v>3797</v>
      </c>
      <c r="C145" s="4" t="s">
        <v>23</v>
      </c>
      <c r="D145" s="4" t="s">
        <v>490</v>
      </c>
      <c r="E145" s="4" t="s">
        <v>16</v>
      </c>
      <c r="F145" s="4" t="s">
        <v>9</v>
      </c>
      <c r="G145" s="6" t="n">
        <v>45847</v>
      </c>
      <c r="H145" s="6" t="n">
        <v>45999</v>
      </c>
      <c r="I145" s="10" t="n">
        <v>305254</v>
      </c>
      <c r="J145" s="10" t="n">
        <v>67108.05</v>
      </c>
      <c r="K145" s="10" t="n">
        <f aca="false">I145-J145</f>
        <v>238145.95</v>
      </c>
      <c r="L145" s="9" t="n">
        <v>0.12</v>
      </c>
    </row>
    <row r="146" customFormat="false" ht="15" hidden="false" customHeight="false" outlineLevel="0" collapsed="false">
      <c r="A146" s="4" t="s">
        <v>3798</v>
      </c>
      <c r="B146" s="4" t="s">
        <v>3799</v>
      </c>
      <c r="C146" s="4" t="s">
        <v>29</v>
      </c>
      <c r="D146" s="4" t="s">
        <v>465</v>
      </c>
      <c r="E146" s="4" t="s">
        <v>16</v>
      </c>
      <c r="F146" s="4" t="s">
        <v>9</v>
      </c>
      <c r="G146" s="6" t="n">
        <v>45945</v>
      </c>
      <c r="H146" s="6" t="n">
        <v>46018</v>
      </c>
      <c r="I146" s="10" t="n">
        <v>118885</v>
      </c>
      <c r="J146" s="10" t="n">
        <v>124985.05</v>
      </c>
      <c r="K146" s="10" t="n">
        <f aca="false">I146-J146</f>
        <v>-6100.05</v>
      </c>
      <c r="L146" s="9" t="n">
        <v>0.18</v>
      </c>
    </row>
    <row r="147" customFormat="false" ht="15" hidden="false" customHeight="false" outlineLevel="0" collapsed="false">
      <c r="A147" s="4" t="s">
        <v>3800</v>
      </c>
      <c r="B147" s="4" t="s">
        <v>3801</v>
      </c>
      <c r="C147" s="4" t="s">
        <v>33</v>
      </c>
      <c r="D147" s="4" t="s">
        <v>469</v>
      </c>
      <c r="E147" s="4" t="s">
        <v>16</v>
      </c>
      <c r="F147" s="4" t="s">
        <v>9</v>
      </c>
      <c r="G147" s="6" t="n">
        <v>45864</v>
      </c>
      <c r="H147" s="6" t="n">
        <v>46051</v>
      </c>
      <c r="I147" s="10" t="n">
        <v>449390</v>
      </c>
      <c r="J147" s="10" t="n">
        <v>279011.03</v>
      </c>
      <c r="K147" s="10" t="n">
        <f aca="false">I147-J147</f>
        <v>170378.97</v>
      </c>
      <c r="L147" s="9" t="n">
        <v>0.98</v>
      </c>
    </row>
    <row r="148" customFormat="false" ht="15" hidden="false" customHeight="false" outlineLevel="0" collapsed="false">
      <c r="A148" s="4" t="s">
        <v>3802</v>
      </c>
      <c r="B148" s="4" t="s">
        <v>3803</v>
      </c>
      <c r="C148" s="4" t="s">
        <v>23</v>
      </c>
      <c r="D148" s="4" t="s">
        <v>469</v>
      </c>
      <c r="E148" s="4" t="s">
        <v>16</v>
      </c>
      <c r="F148" s="4" t="s">
        <v>9</v>
      </c>
      <c r="G148" s="6" t="n">
        <v>45910</v>
      </c>
      <c r="H148" s="6" t="n">
        <v>46004</v>
      </c>
      <c r="I148" s="10" t="n">
        <v>225932</v>
      </c>
      <c r="J148" s="10" t="n">
        <v>99997.61</v>
      </c>
      <c r="K148" s="10" t="n">
        <f aca="false">I148-J148</f>
        <v>125934.39</v>
      </c>
      <c r="L148" s="9" t="n">
        <v>0.41</v>
      </c>
    </row>
    <row r="149" customFormat="false" ht="15" hidden="false" customHeight="false" outlineLevel="0" collapsed="false">
      <c r="A149" s="4" t="s">
        <v>3804</v>
      </c>
      <c r="B149" s="4" t="s">
        <v>3805</v>
      </c>
      <c r="C149" s="4" t="s">
        <v>11</v>
      </c>
      <c r="D149" s="4" t="s">
        <v>495</v>
      </c>
      <c r="E149" s="4" t="s">
        <v>16</v>
      </c>
      <c r="F149" s="4" t="s">
        <v>27</v>
      </c>
      <c r="G149" s="6" t="n">
        <v>46010</v>
      </c>
      <c r="H149" s="6" t="n">
        <v>46184</v>
      </c>
      <c r="I149" s="10" t="n">
        <v>323907</v>
      </c>
      <c r="J149" s="10" t="n">
        <v>177237.93</v>
      </c>
      <c r="K149" s="10" t="n">
        <f aca="false">I149-J149</f>
        <v>146669.07</v>
      </c>
      <c r="L149" s="9" t="n">
        <v>0.69</v>
      </c>
    </row>
    <row r="150" customFormat="false" ht="15" hidden="false" customHeight="false" outlineLevel="0" collapsed="false">
      <c r="A150" s="4" t="s">
        <v>3806</v>
      </c>
      <c r="B150" s="4" t="s">
        <v>3807</v>
      </c>
      <c r="C150" s="4" t="s">
        <v>29</v>
      </c>
      <c r="D150" s="4" t="s">
        <v>550</v>
      </c>
      <c r="E150" s="4" t="s">
        <v>28</v>
      </c>
      <c r="F150" s="4" t="s">
        <v>9</v>
      </c>
      <c r="G150" s="6" t="n">
        <v>45913</v>
      </c>
      <c r="H150" s="6" t="n">
        <v>46023</v>
      </c>
      <c r="I150" s="10" t="n">
        <v>351840</v>
      </c>
      <c r="J150" s="10" t="n">
        <v>126420.78</v>
      </c>
      <c r="K150" s="10" t="n">
        <f aca="false">I150-J150</f>
        <v>225419.22</v>
      </c>
      <c r="L150" s="9" t="n">
        <v>0.13</v>
      </c>
    </row>
    <row r="151" customFormat="false" ht="15" hidden="false" customHeight="false" outlineLevel="0" collapsed="false">
      <c r="A151" s="4" t="s">
        <v>3808</v>
      </c>
      <c r="B151" s="4" t="s">
        <v>3809</v>
      </c>
      <c r="C151" s="4" t="s">
        <v>31</v>
      </c>
      <c r="D151" s="4" t="s">
        <v>475</v>
      </c>
      <c r="E151" s="4" t="s">
        <v>16</v>
      </c>
      <c r="F151" s="4" t="s">
        <v>9</v>
      </c>
      <c r="G151" s="6" t="n">
        <v>45875</v>
      </c>
      <c r="H151" s="6" t="n">
        <v>46084</v>
      </c>
      <c r="I151" s="10" t="n">
        <v>50634</v>
      </c>
      <c r="J151" s="10" t="n">
        <v>25988.14</v>
      </c>
      <c r="K151" s="10" t="n">
        <f aca="false">I151-J151</f>
        <v>24645.86</v>
      </c>
      <c r="L151" s="9" t="n">
        <v>0.21</v>
      </c>
    </row>
    <row r="152" customFormat="false" ht="15" hidden="false" customHeight="false" outlineLevel="0" collapsed="false">
      <c r="A152" s="4" t="s">
        <v>3810</v>
      </c>
      <c r="B152" s="4" t="s">
        <v>3811</v>
      </c>
      <c r="C152" s="4" t="s">
        <v>11</v>
      </c>
      <c r="D152" s="4" t="s">
        <v>455</v>
      </c>
      <c r="E152" s="4" t="s">
        <v>28</v>
      </c>
      <c r="F152" s="4" t="s">
        <v>27</v>
      </c>
      <c r="G152" s="6" t="n">
        <v>45759</v>
      </c>
      <c r="H152" s="6" t="n">
        <v>45901</v>
      </c>
      <c r="I152" s="10" t="n">
        <v>465999</v>
      </c>
      <c r="J152" s="10" t="n">
        <v>544803.11</v>
      </c>
      <c r="K152" s="10" t="n">
        <f aca="false">I152-J152</f>
        <v>-78804.11</v>
      </c>
      <c r="L152" s="9" t="n">
        <v>0.21</v>
      </c>
    </row>
    <row r="153" customFormat="false" ht="15" hidden="false" customHeight="false" outlineLevel="0" collapsed="false">
      <c r="A153" s="4" t="s">
        <v>3812</v>
      </c>
      <c r="B153" s="4" t="s">
        <v>3813</v>
      </c>
      <c r="C153" s="4" t="s">
        <v>33</v>
      </c>
      <c r="D153" s="4" t="s">
        <v>469</v>
      </c>
      <c r="E153" s="4" t="s">
        <v>28</v>
      </c>
      <c r="F153" s="4" t="s">
        <v>27</v>
      </c>
      <c r="G153" s="6" t="n">
        <v>45978</v>
      </c>
      <c r="H153" s="6" t="n">
        <v>46213</v>
      </c>
      <c r="I153" s="10" t="n">
        <v>285035</v>
      </c>
      <c r="J153" s="10" t="n">
        <v>181257.38</v>
      </c>
      <c r="K153" s="10" t="n">
        <f aca="false">I153-J153</f>
        <v>103777.62</v>
      </c>
      <c r="L153" s="9" t="n">
        <v>0.01</v>
      </c>
    </row>
    <row r="154" customFormat="false" ht="15" hidden="false" customHeight="false" outlineLevel="0" collapsed="false">
      <c r="A154" s="4" t="s">
        <v>3814</v>
      </c>
      <c r="B154" s="4" t="s">
        <v>3815</v>
      </c>
      <c r="C154" s="4" t="s">
        <v>33</v>
      </c>
      <c r="D154" s="4" t="s">
        <v>455</v>
      </c>
      <c r="E154" s="4" t="s">
        <v>22</v>
      </c>
      <c r="F154" s="4" t="s">
        <v>21</v>
      </c>
      <c r="G154" s="6" t="n">
        <v>45809</v>
      </c>
      <c r="H154" s="6" t="n">
        <v>45869</v>
      </c>
      <c r="I154" s="10" t="n">
        <v>238316</v>
      </c>
      <c r="J154" s="10" t="n">
        <v>284863.58</v>
      </c>
      <c r="K154" s="10" t="n">
        <f aca="false">I154-J154</f>
        <v>-46547.58</v>
      </c>
      <c r="L154" s="9" t="n">
        <v>0.78</v>
      </c>
    </row>
    <row r="155" customFormat="false" ht="15" hidden="false" customHeight="false" outlineLevel="0" collapsed="false">
      <c r="A155" s="4" t="s">
        <v>3816</v>
      </c>
      <c r="B155" s="4" t="s">
        <v>3817</v>
      </c>
      <c r="C155" s="4" t="s">
        <v>17</v>
      </c>
      <c r="D155" s="4" t="s">
        <v>495</v>
      </c>
      <c r="E155" s="4" t="s">
        <v>16</v>
      </c>
      <c r="F155" s="4" t="s">
        <v>21</v>
      </c>
      <c r="G155" s="6" t="n">
        <v>46113</v>
      </c>
      <c r="H155" s="6" t="n">
        <v>46238</v>
      </c>
      <c r="I155" s="10" t="n">
        <v>305599</v>
      </c>
      <c r="J155" s="10" t="n">
        <v>249137.38</v>
      </c>
      <c r="K155" s="10" t="n">
        <f aca="false">I155-J155</f>
        <v>56461.62</v>
      </c>
      <c r="L155" s="9" t="n">
        <v>0.66</v>
      </c>
    </row>
    <row r="156" customFormat="false" ht="15" hidden="false" customHeight="false" outlineLevel="0" collapsed="false">
      <c r="A156" s="4" t="s">
        <v>3818</v>
      </c>
      <c r="B156" s="4" t="s">
        <v>3819</v>
      </c>
      <c r="C156" s="4" t="s">
        <v>23</v>
      </c>
      <c r="D156" s="4" t="s">
        <v>455</v>
      </c>
      <c r="E156" s="4" t="s">
        <v>16</v>
      </c>
      <c r="F156" s="4" t="s">
        <v>15</v>
      </c>
      <c r="G156" s="6" t="n">
        <v>45967</v>
      </c>
      <c r="H156" s="6" t="n">
        <v>46061</v>
      </c>
      <c r="I156" s="10" t="n">
        <v>257521</v>
      </c>
      <c r="J156" s="10" t="n">
        <v>156873.6</v>
      </c>
      <c r="K156" s="10" t="n">
        <f aca="false">I156-J156</f>
        <v>100647.4</v>
      </c>
      <c r="L156" s="9" t="n">
        <v>0.67</v>
      </c>
    </row>
    <row r="157" customFormat="false" ht="15" hidden="false" customHeight="false" outlineLevel="0" collapsed="false">
      <c r="A157" s="4" t="s">
        <v>3820</v>
      </c>
      <c r="B157" s="4" t="s">
        <v>3821</v>
      </c>
      <c r="C157" s="4" t="s">
        <v>17</v>
      </c>
      <c r="D157" s="4" t="s">
        <v>543</v>
      </c>
      <c r="E157" s="4" t="s">
        <v>28</v>
      </c>
      <c r="F157" s="4" t="s">
        <v>9</v>
      </c>
      <c r="G157" s="6" t="n">
        <v>46024</v>
      </c>
      <c r="H157" s="6" t="n">
        <v>46175</v>
      </c>
      <c r="I157" s="10" t="n">
        <v>15149</v>
      </c>
      <c r="J157" s="10" t="n">
        <v>6808.82</v>
      </c>
      <c r="K157" s="10" t="n">
        <f aca="false">I157-J157</f>
        <v>8340.18</v>
      </c>
      <c r="L157" s="9" t="n">
        <v>0</v>
      </c>
    </row>
    <row r="158" customFormat="false" ht="15" hidden="false" customHeight="false" outlineLevel="0" collapsed="false">
      <c r="A158" s="4" t="s">
        <v>3822</v>
      </c>
      <c r="B158" s="4" t="s">
        <v>3823</v>
      </c>
      <c r="C158" s="4" t="s">
        <v>11</v>
      </c>
      <c r="D158" s="4" t="s">
        <v>524</v>
      </c>
      <c r="E158" s="4" t="s">
        <v>28</v>
      </c>
      <c r="F158" s="4" t="s">
        <v>21</v>
      </c>
      <c r="G158" s="6" t="n">
        <v>45817</v>
      </c>
      <c r="H158" s="6" t="n">
        <v>46026</v>
      </c>
      <c r="I158" s="10" t="n">
        <v>108395</v>
      </c>
      <c r="J158" s="10" t="n">
        <v>34599.08</v>
      </c>
      <c r="K158" s="10" t="n">
        <f aca="false">I158-J158</f>
        <v>73795.92</v>
      </c>
      <c r="L158" s="9" t="n">
        <v>0.12</v>
      </c>
    </row>
    <row r="159" customFormat="false" ht="15" hidden="false" customHeight="false" outlineLevel="0" collapsed="false">
      <c r="A159" s="4" t="s">
        <v>3824</v>
      </c>
      <c r="B159" s="4" t="s">
        <v>3825</v>
      </c>
      <c r="C159" s="4" t="s">
        <v>11</v>
      </c>
      <c r="D159" s="4" t="s">
        <v>490</v>
      </c>
      <c r="E159" s="4" t="s">
        <v>16</v>
      </c>
      <c r="F159" s="4" t="s">
        <v>21</v>
      </c>
      <c r="G159" s="6" t="n">
        <v>45689</v>
      </c>
      <c r="H159" s="6" t="n">
        <v>45878</v>
      </c>
      <c r="I159" s="10" t="n">
        <v>255730</v>
      </c>
      <c r="J159" s="10" t="n">
        <v>192794.82</v>
      </c>
      <c r="K159" s="10" t="n">
        <f aca="false">I159-J159</f>
        <v>62935.18</v>
      </c>
      <c r="L159" s="9" t="n">
        <v>0.8</v>
      </c>
    </row>
    <row r="160" customFormat="false" ht="15" hidden="false" customHeight="false" outlineLevel="0" collapsed="false">
      <c r="A160" s="4" t="s">
        <v>3826</v>
      </c>
      <c r="B160" s="4" t="s">
        <v>3827</v>
      </c>
      <c r="C160" s="4" t="s">
        <v>31</v>
      </c>
      <c r="D160" s="4" t="s">
        <v>449</v>
      </c>
      <c r="E160" s="4" t="s">
        <v>22</v>
      </c>
      <c r="F160" s="4" t="s">
        <v>21</v>
      </c>
      <c r="G160" s="6" t="n">
        <v>45665</v>
      </c>
      <c r="H160" s="6" t="n">
        <v>45744</v>
      </c>
      <c r="I160" s="10" t="n">
        <v>153959</v>
      </c>
      <c r="J160" s="10" t="n">
        <v>63524.46</v>
      </c>
      <c r="K160" s="10" t="n">
        <f aca="false">I160-J160</f>
        <v>90434.54</v>
      </c>
      <c r="L160" s="9" t="n">
        <v>0.79</v>
      </c>
    </row>
    <row r="161" customFormat="false" ht="15" hidden="false" customHeight="false" outlineLevel="0" collapsed="false">
      <c r="A161" s="4" t="s">
        <v>3828</v>
      </c>
      <c r="B161" s="4" t="s">
        <v>3829</v>
      </c>
      <c r="C161" s="4" t="s">
        <v>32</v>
      </c>
      <c r="D161" s="4" t="s">
        <v>462</v>
      </c>
      <c r="E161" s="4" t="s">
        <v>16</v>
      </c>
      <c r="F161" s="4" t="s">
        <v>9</v>
      </c>
      <c r="G161" s="6" t="n">
        <v>46050</v>
      </c>
      <c r="H161" s="6" t="n">
        <v>46183</v>
      </c>
      <c r="I161" s="10" t="n">
        <v>499846</v>
      </c>
      <c r="J161" s="10" t="n">
        <v>190053.61</v>
      </c>
      <c r="K161" s="10" t="n">
        <f aca="false">I161-J161</f>
        <v>309792.39</v>
      </c>
      <c r="L161" s="9" t="n">
        <v>0.75</v>
      </c>
    </row>
    <row r="162" customFormat="false" ht="15" hidden="false" customHeight="false" outlineLevel="0" collapsed="false">
      <c r="A162" s="4" t="s">
        <v>3830</v>
      </c>
      <c r="B162" s="4" t="s">
        <v>3831</v>
      </c>
      <c r="C162" s="4" t="s">
        <v>17</v>
      </c>
      <c r="D162" s="4" t="s">
        <v>495</v>
      </c>
      <c r="E162" s="4" t="s">
        <v>10</v>
      </c>
      <c r="F162" s="4" t="s">
        <v>15</v>
      </c>
      <c r="G162" s="6" t="n">
        <v>45736</v>
      </c>
      <c r="H162" s="6" t="n">
        <v>45792</v>
      </c>
      <c r="I162" s="10" t="n">
        <v>393075</v>
      </c>
      <c r="J162" s="10" t="n">
        <v>132893</v>
      </c>
      <c r="K162" s="10" t="n">
        <f aca="false">I162-J162</f>
        <v>260182</v>
      </c>
      <c r="L162" s="9" t="n">
        <v>0.66</v>
      </c>
    </row>
    <row r="163" customFormat="false" ht="15" hidden="false" customHeight="false" outlineLevel="0" collapsed="false">
      <c r="A163" s="4" t="s">
        <v>3832</v>
      </c>
      <c r="B163" s="4" t="s">
        <v>3833</v>
      </c>
      <c r="C163" s="4" t="s">
        <v>32</v>
      </c>
      <c r="D163" s="4" t="s">
        <v>480</v>
      </c>
      <c r="E163" s="4" t="s">
        <v>22</v>
      </c>
      <c r="F163" s="4" t="s">
        <v>27</v>
      </c>
      <c r="G163" s="6" t="n">
        <v>45958</v>
      </c>
      <c r="H163" s="6" t="n">
        <v>46153</v>
      </c>
      <c r="I163" s="10" t="n">
        <v>411633</v>
      </c>
      <c r="J163" s="10" t="n">
        <v>214560.07</v>
      </c>
      <c r="K163" s="10" t="n">
        <f aca="false">I163-J163</f>
        <v>197072.93</v>
      </c>
      <c r="L163" s="9" t="n">
        <v>0.26</v>
      </c>
    </row>
    <row r="164" customFormat="false" ht="15" hidden="false" customHeight="false" outlineLevel="0" collapsed="false">
      <c r="A164" s="4" t="s">
        <v>3834</v>
      </c>
      <c r="B164" s="4" t="s">
        <v>3835</v>
      </c>
      <c r="C164" s="4" t="s">
        <v>17</v>
      </c>
      <c r="D164" s="4" t="s">
        <v>452</v>
      </c>
      <c r="E164" s="4" t="s">
        <v>16</v>
      </c>
      <c r="F164" s="4" t="s">
        <v>15</v>
      </c>
      <c r="G164" s="6" t="n">
        <v>45744</v>
      </c>
      <c r="H164" s="6" t="n">
        <v>45774</v>
      </c>
      <c r="I164" s="10" t="n">
        <v>420708</v>
      </c>
      <c r="J164" s="10" t="n">
        <v>149357.29</v>
      </c>
      <c r="K164" s="10" t="n">
        <f aca="false">I164-J164</f>
        <v>271350.71</v>
      </c>
      <c r="L164" s="9" t="n">
        <v>0.21</v>
      </c>
    </row>
    <row r="165" customFormat="false" ht="15" hidden="false" customHeight="false" outlineLevel="0" collapsed="false">
      <c r="A165" s="4" t="s">
        <v>3836</v>
      </c>
      <c r="B165" s="4" t="s">
        <v>3837</v>
      </c>
      <c r="C165" s="4" t="s">
        <v>11</v>
      </c>
      <c r="D165" s="4" t="s">
        <v>543</v>
      </c>
      <c r="E165" s="4" t="s">
        <v>28</v>
      </c>
      <c r="F165" s="4" t="s">
        <v>27</v>
      </c>
      <c r="G165" s="6" t="n">
        <v>45901</v>
      </c>
      <c r="H165" s="6" t="n">
        <v>45931</v>
      </c>
      <c r="I165" s="10" t="n">
        <v>179522</v>
      </c>
      <c r="J165" s="10" t="n">
        <v>33313.21</v>
      </c>
      <c r="K165" s="10" t="n">
        <f aca="false">I165-J165</f>
        <v>146208.79</v>
      </c>
      <c r="L165" s="9" t="n">
        <v>0.85</v>
      </c>
    </row>
    <row r="166" customFormat="false" ht="15" hidden="false" customHeight="false" outlineLevel="0" collapsed="false">
      <c r="A166" s="4" t="s">
        <v>3838</v>
      </c>
      <c r="B166" s="4" t="s">
        <v>3839</v>
      </c>
      <c r="C166" s="4" t="s">
        <v>11</v>
      </c>
      <c r="D166" s="4" t="s">
        <v>472</v>
      </c>
      <c r="E166" s="4" t="s">
        <v>28</v>
      </c>
      <c r="F166" s="4" t="s">
        <v>27</v>
      </c>
      <c r="G166" s="6" t="n">
        <v>45899</v>
      </c>
      <c r="H166" s="6" t="n">
        <v>46012</v>
      </c>
      <c r="I166" s="10" t="n">
        <v>168627</v>
      </c>
      <c r="J166" s="10" t="n">
        <v>109677.13</v>
      </c>
      <c r="K166" s="10" t="n">
        <f aca="false">I166-J166</f>
        <v>58949.87</v>
      </c>
      <c r="L166" s="9" t="n">
        <v>0.99</v>
      </c>
    </row>
    <row r="167" customFormat="false" ht="15" hidden="false" customHeight="false" outlineLevel="0" collapsed="false">
      <c r="A167" s="4" t="s">
        <v>3840</v>
      </c>
      <c r="B167" s="4" t="s">
        <v>3841</v>
      </c>
      <c r="C167" s="4" t="s">
        <v>31</v>
      </c>
      <c r="D167" s="4" t="s">
        <v>524</v>
      </c>
      <c r="E167" s="4" t="s">
        <v>22</v>
      </c>
      <c r="F167" s="4" t="s">
        <v>9</v>
      </c>
      <c r="G167" s="6" t="n">
        <v>45855</v>
      </c>
      <c r="H167" s="6" t="n">
        <v>46065</v>
      </c>
      <c r="I167" s="10" t="n">
        <v>258763</v>
      </c>
      <c r="J167" s="10" t="n">
        <v>126920.87</v>
      </c>
      <c r="K167" s="10" t="n">
        <f aca="false">I167-J167</f>
        <v>131842.13</v>
      </c>
      <c r="L167" s="9" t="n">
        <v>0.77</v>
      </c>
    </row>
    <row r="168" customFormat="false" ht="15" hidden="false" customHeight="false" outlineLevel="0" collapsed="false">
      <c r="A168" s="4" t="s">
        <v>3842</v>
      </c>
      <c r="B168" s="4" t="s">
        <v>3843</v>
      </c>
      <c r="C168" s="4" t="s">
        <v>31</v>
      </c>
      <c r="D168" s="4" t="s">
        <v>495</v>
      </c>
      <c r="E168" s="4" t="s">
        <v>16</v>
      </c>
      <c r="F168" s="4" t="s">
        <v>27</v>
      </c>
      <c r="G168" s="6" t="n">
        <v>46089</v>
      </c>
      <c r="H168" s="6" t="n">
        <v>46173</v>
      </c>
      <c r="I168" s="10" t="n">
        <v>97092</v>
      </c>
      <c r="J168" s="10" t="n">
        <v>110688.66</v>
      </c>
      <c r="K168" s="10" t="n">
        <f aca="false">I168-J168</f>
        <v>-13596.66</v>
      </c>
      <c r="L168" s="9" t="n">
        <v>0.71</v>
      </c>
    </row>
    <row r="169" customFormat="false" ht="15" hidden="false" customHeight="false" outlineLevel="0" collapsed="false">
      <c r="A169" s="4" t="s">
        <v>3844</v>
      </c>
      <c r="B169" s="4" t="s">
        <v>3845</v>
      </c>
      <c r="C169" s="4" t="s">
        <v>33</v>
      </c>
      <c r="D169" s="4" t="s">
        <v>452</v>
      </c>
      <c r="E169" s="4" t="s">
        <v>28</v>
      </c>
      <c r="F169" s="4" t="s">
        <v>21</v>
      </c>
      <c r="G169" s="6" t="n">
        <v>45884</v>
      </c>
      <c r="H169" s="6" t="n">
        <v>46039</v>
      </c>
      <c r="I169" s="10" t="n">
        <v>374432</v>
      </c>
      <c r="J169" s="10" t="n">
        <v>362398.34</v>
      </c>
      <c r="K169" s="10" t="n">
        <f aca="false">I169-J169</f>
        <v>12033.66</v>
      </c>
      <c r="L169" s="9" t="n">
        <v>0.22</v>
      </c>
    </row>
    <row r="170" customFormat="false" ht="15" hidden="false" customHeight="false" outlineLevel="0" collapsed="false">
      <c r="A170" s="4" t="s">
        <v>3846</v>
      </c>
      <c r="B170" s="4" t="s">
        <v>3847</v>
      </c>
      <c r="C170" s="4" t="s">
        <v>33</v>
      </c>
      <c r="D170" s="4" t="s">
        <v>490</v>
      </c>
      <c r="E170" s="4" t="s">
        <v>28</v>
      </c>
      <c r="F170" s="4" t="s">
        <v>15</v>
      </c>
      <c r="G170" s="6" t="n">
        <v>45670</v>
      </c>
      <c r="H170" s="6" t="n">
        <v>45793</v>
      </c>
      <c r="I170" s="10" t="n">
        <v>458461</v>
      </c>
      <c r="J170" s="10" t="n">
        <v>280891.48</v>
      </c>
      <c r="K170" s="10" t="n">
        <f aca="false">I170-J170</f>
        <v>177569.52</v>
      </c>
      <c r="L170" s="9" t="n">
        <v>0.78</v>
      </c>
    </row>
    <row r="171" customFormat="false" ht="15" hidden="false" customHeight="false" outlineLevel="0" collapsed="false">
      <c r="A171" s="4" t="s">
        <v>3848</v>
      </c>
      <c r="B171" s="4" t="s">
        <v>3849</v>
      </c>
      <c r="C171" s="4" t="s">
        <v>33</v>
      </c>
      <c r="D171" s="4" t="s">
        <v>475</v>
      </c>
      <c r="E171" s="4" t="s">
        <v>16</v>
      </c>
      <c r="F171" s="4" t="s">
        <v>27</v>
      </c>
      <c r="G171" s="6" t="n">
        <v>45944</v>
      </c>
      <c r="H171" s="6" t="n">
        <v>46022</v>
      </c>
      <c r="I171" s="10" t="n">
        <v>210517</v>
      </c>
      <c r="J171" s="10" t="n">
        <v>107706.06</v>
      </c>
      <c r="K171" s="10" t="n">
        <f aca="false">I171-J171</f>
        <v>102810.94</v>
      </c>
      <c r="L171" s="9" t="n">
        <v>0.46</v>
      </c>
    </row>
    <row r="172" customFormat="false" ht="15" hidden="false" customHeight="false" outlineLevel="0" collapsed="false">
      <c r="A172" s="4" t="s">
        <v>3850</v>
      </c>
      <c r="B172" s="4" t="s">
        <v>3851</v>
      </c>
      <c r="C172" s="4" t="s">
        <v>23</v>
      </c>
      <c r="D172" s="4" t="s">
        <v>452</v>
      </c>
      <c r="E172" s="4" t="s">
        <v>22</v>
      </c>
      <c r="F172" s="4" t="s">
        <v>21</v>
      </c>
      <c r="G172" s="6" t="n">
        <v>45927</v>
      </c>
      <c r="H172" s="6" t="n">
        <v>46006</v>
      </c>
      <c r="I172" s="10" t="n">
        <v>12943</v>
      </c>
      <c r="J172" s="10" t="n">
        <v>9640.04</v>
      </c>
      <c r="K172" s="10" t="n">
        <f aca="false">I172-J172</f>
        <v>3302.96</v>
      </c>
      <c r="L172" s="9" t="n">
        <v>0.64</v>
      </c>
    </row>
    <row r="173" customFormat="false" ht="15" hidden="false" customHeight="false" outlineLevel="0" collapsed="false">
      <c r="A173" s="4" t="s">
        <v>3852</v>
      </c>
      <c r="B173" s="4" t="s">
        <v>3853</v>
      </c>
      <c r="C173" s="4" t="s">
        <v>33</v>
      </c>
      <c r="D173" s="4" t="s">
        <v>495</v>
      </c>
      <c r="E173" s="4" t="s">
        <v>28</v>
      </c>
      <c r="F173" s="4" t="s">
        <v>27</v>
      </c>
      <c r="G173" s="6" t="n">
        <v>46129</v>
      </c>
      <c r="H173" s="6" t="n">
        <v>46162</v>
      </c>
      <c r="I173" s="10" t="n">
        <v>328124</v>
      </c>
      <c r="J173" s="10" t="n">
        <v>131358.08</v>
      </c>
      <c r="K173" s="10" t="n">
        <f aca="false">I173-J173</f>
        <v>196765.92</v>
      </c>
      <c r="L173" s="9" t="n">
        <v>0.05</v>
      </c>
    </row>
    <row r="174" customFormat="false" ht="15" hidden="false" customHeight="false" outlineLevel="0" collapsed="false">
      <c r="A174" s="4" t="s">
        <v>3854</v>
      </c>
      <c r="B174" s="4" t="s">
        <v>3855</v>
      </c>
      <c r="C174" s="4" t="s">
        <v>11</v>
      </c>
      <c r="D174" s="4" t="s">
        <v>465</v>
      </c>
      <c r="E174" s="4" t="s">
        <v>10</v>
      </c>
      <c r="F174" s="4" t="s">
        <v>27</v>
      </c>
      <c r="G174" s="6" t="n">
        <v>46014</v>
      </c>
      <c r="H174" s="6" t="n">
        <v>46224</v>
      </c>
      <c r="I174" s="10" t="n">
        <v>142664</v>
      </c>
      <c r="J174" s="10" t="n">
        <v>57292.61</v>
      </c>
      <c r="K174" s="10" t="n">
        <f aca="false">I174-J174</f>
        <v>85371.39</v>
      </c>
      <c r="L174" s="9" t="n">
        <v>0.77</v>
      </c>
    </row>
    <row r="175" customFormat="false" ht="15" hidden="false" customHeight="false" outlineLevel="0" collapsed="false">
      <c r="A175" s="4" t="s">
        <v>3856</v>
      </c>
      <c r="B175" s="4" t="s">
        <v>3857</v>
      </c>
      <c r="C175" s="4" t="s">
        <v>33</v>
      </c>
      <c r="D175" s="4" t="s">
        <v>469</v>
      </c>
      <c r="E175" s="4" t="s">
        <v>10</v>
      </c>
      <c r="F175" s="4" t="s">
        <v>9</v>
      </c>
      <c r="G175" s="6" t="n">
        <v>45981</v>
      </c>
      <c r="H175" s="6" t="n">
        <v>46127</v>
      </c>
      <c r="I175" s="10" t="n">
        <v>267058</v>
      </c>
      <c r="J175" s="10" t="n">
        <v>77753.42</v>
      </c>
      <c r="K175" s="10" t="n">
        <f aca="false">I175-J175</f>
        <v>189304.58</v>
      </c>
      <c r="L175" s="9" t="n">
        <v>0.47</v>
      </c>
    </row>
    <row r="176" customFormat="false" ht="15" hidden="false" customHeight="false" outlineLevel="0" collapsed="false">
      <c r="A176" s="4" t="s">
        <v>3858</v>
      </c>
      <c r="B176" s="4" t="s">
        <v>3859</v>
      </c>
      <c r="C176" s="4" t="s">
        <v>33</v>
      </c>
      <c r="D176" s="4" t="s">
        <v>550</v>
      </c>
      <c r="E176" s="4" t="s">
        <v>16</v>
      </c>
      <c r="F176" s="4" t="s">
        <v>15</v>
      </c>
      <c r="G176" s="6" t="n">
        <v>45672</v>
      </c>
      <c r="H176" s="6" t="n">
        <v>45858</v>
      </c>
      <c r="I176" s="10" t="n">
        <v>478852</v>
      </c>
      <c r="J176" s="10" t="n">
        <v>423612.35</v>
      </c>
      <c r="K176" s="10" t="n">
        <f aca="false">I176-J176</f>
        <v>55239.65</v>
      </c>
      <c r="L176" s="9" t="n">
        <v>0.1</v>
      </c>
    </row>
    <row r="177" customFormat="false" ht="15" hidden="false" customHeight="false" outlineLevel="0" collapsed="false">
      <c r="A177" s="4" t="s">
        <v>3860</v>
      </c>
      <c r="B177" s="4" t="s">
        <v>3861</v>
      </c>
      <c r="C177" s="4" t="s">
        <v>33</v>
      </c>
      <c r="D177" s="4" t="s">
        <v>475</v>
      </c>
      <c r="E177" s="4" t="s">
        <v>22</v>
      </c>
      <c r="F177" s="4" t="s">
        <v>9</v>
      </c>
      <c r="G177" s="6" t="n">
        <v>45872</v>
      </c>
      <c r="H177" s="6" t="n">
        <v>45932</v>
      </c>
      <c r="I177" s="10" t="n">
        <v>39385</v>
      </c>
      <c r="J177" s="10" t="n">
        <v>23147.19</v>
      </c>
      <c r="K177" s="10" t="n">
        <f aca="false">I177-J177</f>
        <v>16237.81</v>
      </c>
      <c r="L177" s="9" t="n">
        <v>0.69</v>
      </c>
    </row>
    <row r="178" customFormat="false" ht="15" hidden="false" customHeight="false" outlineLevel="0" collapsed="false">
      <c r="A178" s="4" t="s">
        <v>3862</v>
      </c>
      <c r="B178" s="4" t="s">
        <v>3863</v>
      </c>
      <c r="C178" s="4" t="s">
        <v>11</v>
      </c>
      <c r="D178" s="4" t="s">
        <v>490</v>
      </c>
      <c r="E178" s="4" t="s">
        <v>22</v>
      </c>
      <c r="F178" s="4" t="s">
        <v>15</v>
      </c>
      <c r="G178" s="6" t="n">
        <v>45800</v>
      </c>
      <c r="H178" s="6" t="n">
        <v>45879</v>
      </c>
      <c r="I178" s="10" t="n">
        <v>353463</v>
      </c>
      <c r="J178" s="10" t="n">
        <v>274076.68</v>
      </c>
      <c r="K178" s="10" t="n">
        <f aca="false">I178-J178</f>
        <v>79386.32</v>
      </c>
      <c r="L178" s="9" t="n">
        <v>0.75</v>
      </c>
    </row>
    <row r="179" customFormat="false" ht="15" hidden="false" customHeight="false" outlineLevel="0" collapsed="false">
      <c r="A179" s="4" t="s">
        <v>3864</v>
      </c>
      <c r="B179" s="4" t="s">
        <v>3865</v>
      </c>
      <c r="C179" s="4" t="s">
        <v>33</v>
      </c>
      <c r="D179" s="4" t="s">
        <v>449</v>
      </c>
      <c r="E179" s="4" t="s">
        <v>28</v>
      </c>
      <c r="F179" s="4" t="s">
        <v>9</v>
      </c>
      <c r="G179" s="6" t="n">
        <v>46027</v>
      </c>
      <c r="H179" s="6" t="n">
        <v>46150</v>
      </c>
      <c r="I179" s="10" t="n">
        <v>280711</v>
      </c>
      <c r="J179" s="10" t="n">
        <v>32446.92</v>
      </c>
      <c r="K179" s="10" t="n">
        <f aca="false">I179-J179</f>
        <v>248264.08</v>
      </c>
      <c r="L179" s="9" t="n">
        <v>0.08</v>
      </c>
    </row>
    <row r="180" customFormat="false" ht="15" hidden="false" customHeight="false" outlineLevel="0" collapsed="false">
      <c r="A180" s="4" t="s">
        <v>3866</v>
      </c>
      <c r="B180" s="4" t="s">
        <v>3867</v>
      </c>
      <c r="C180" s="4" t="s">
        <v>23</v>
      </c>
      <c r="D180" s="4" t="s">
        <v>452</v>
      </c>
      <c r="E180" s="4" t="s">
        <v>16</v>
      </c>
      <c r="F180" s="4" t="s">
        <v>27</v>
      </c>
      <c r="G180" s="6" t="n">
        <v>45756</v>
      </c>
      <c r="H180" s="6" t="n">
        <v>45980</v>
      </c>
      <c r="I180" s="10" t="n">
        <v>272943</v>
      </c>
      <c r="J180" s="10" t="n">
        <v>71583.49</v>
      </c>
      <c r="K180" s="10" t="n">
        <f aca="false">I180-J180</f>
        <v>201359.51</v>
      </c>
      <c r="L180" s="9" t="n">
        <v>0.05</v>
      </c>
    </row>
    <row r="181" customFormat="false" ht="15" hidden="false" customHeight="false" outlineLevel="0" collapsed="false">
      <c r="A181" s="4" t="s">
        <v>3868</v>
      </c>
      <c r="B181" s="4" t="s">
        <v>3869</v>
      </c>
      <c r="C181" s="4" t="s">
        <v>29</v>
      </c>
      <c r="D181" s="4" t="s">
        <v>543</v>
      </c>
      <c r="E181" s="4" t="s">
        <v>10</v>
      </c>
      <c r="F181" s="4" t="s">
        <v>21</v>
      </c>
      <c r="G181" s="6" t="n">
        <v>45799</v>
      </c>
      <c r="H181" s="6" t="n">
        <v>45984</v>
      </c>
      <c r="I181" s="10" t="n">
        <v>114167</v>
      </c>
      <c r="J181" s="10" t="n">
        <v>97908.29</v>
      </c>
      <c r="K181" s="10" t="n">
        <f aca="false">I181-J181</f>
        <v>16258.71</v>
      </c>
      <c r="L181" s="9" t="n">
        <v>0.35</v>
      </c>
    </row>
    <row r="182" customFormat="false" ht="15" hidden="false" customHeight="false" outlineLevel="0" collapsed="false">
      <c r="A182" s="4" t="s">
        <v>3870</v>
      </c>
      <c r="B182" s="4" t="s">
        <v>3871</v>
      </c>
      <c r="C182" s="4" t="s">
        <v>32</v>
      </c>
      <c r="D182" s="4" t="s">
        <v>469</v>
      </c>
      <c r="E182" s="4" t="s">
        <v>10</v>
      </c>
      <c r="F182" s="4" t="s">
        <v>27</v>
      </c>
      <c r="G182" s="6" t="n">
        <v>45945</v>
      </c>
      <c r="H182" s="6" t="n">
        <v>46064</v>
      </c>
      <c r="I182" s="10" t="n">
        <v>71716</v>
      </c>
      <c r="J182" s="10" t="n">
        <v>34107.97</v>
      </c>
      <c r="K182" s="10" t="n">
        <f aca="false">I182-J182</f>
        <v>37608.03</v>
      </c>
      <c r="L182" s="9" t="n">
        <v>0.11</v>
      </c>
    </row>
    <row r="183" customFormat="false" ht="15" hidden="false" customHeight="false" outlineLevel="0" collapsed="false">
      <c r="A183" s="4" t="s">
        <v>3872</v>
      </c>
      <c r="B183" s="4" t="s">
        <v>3873</v>
      </c>
      <c r="C183" s="4" t="s">
        <v>17</v>
      </c>
      <c r="D183" s="4" t="s">
        <v>490</v>
      </c>
      <c r="E183" s="4" t="s">
        <v>10</v>
      </c>
      <c r="F183" s="4" t="s">
        <v>15</v>
      </c>
      <c r="G183" s="6" t="n">
        <v>45717</v>
      </c>
      <c r="H183" s="6" t="n">
        <v>45770</v>
      </c>
      <c r="I183" s="10" t="n">
        <v>105683</v>
      </c>
      <c r="J183" s="10" t="n">
        <v>95379.48</v>
      </c>
      <c r="K183" s="10" t="n">
        <f aca="false">I183-J183</f>
        <v>10303.52</v>
      </c>
      <c r="L183" s="9" t="n">
        <v>1</v>
      </c>
    </row>
    <row r="184" customFormat="false" ht="15" hidden="false" customHeight="false" outlineLevel="0" collapsed="false">
      <c r="A184" s="4" t="s">
        <v>3874</v>
      </c>
      <c r="B184" s="4" t="s">
        <v>3875</v>
      </c>
      <c r="C184" s="4" t="s">
        <v>11</v>
      </c>
      <c r="D184" s="4" t="s">
        <v>455</v>
      </c>
      <c r="E184" s="4" t="s">
        <v>16</v>
      </c>
      <c r="F184" s="4" t="s">
        <v>21</v>
      </c>
      <c r="G184" s="6" t="n">
        <v>45663</v>
      </c>
      <c r="H184" s="6" t="n">
        <v>45748</v>
      </c>
      <c r="I184" s="10" t="n">
        <v>344467</v>
      </c>
      <c r="J184" s="10" t="n">
        <v>176361.08</v>
      </c>
      <c r="K184" s="10" t="n">
        <f aca="false">I184-J184</f>
        <v>168105.92</v>
      </c>
      <c r="L184" s="9" t="n">
        <v>0.87</v>
      </c>
    </row>
    <row r="185" customFormat="false" ht="15" hidden="false" customHeight="false" outlineLevel="0" collapsed="false">
      <c r="A185" s="4" t="s">
        <v>3876</v>
      </c>
      <c r="B185" s="4" t="s">
        <v>3877</v>
      </c>
      <c r="C185" s="4" t="s">
        <v>17</v>
      </c>
      <c r="D185" s="4" t="s">
        <v>495</v>
      </c>
      <c r="E185" s="4" t="s">
        <v>10</v>
      </c>
      <c r="F185" s="4" t="s">
        <v>27</v>
      </c>
      <c r="G185" s="6" t="n">
        <v>45986</v>
      </c>
      <c r="H185" s="6" t="n">
        <v>46064</v>
      </c>
      <c r="I185" s="10" t="n">
        <v>401857</v>
      </c>
      <c r="J185" s="10" t="n">
        <v>374295.96</v>
      </c>
      <c r="K185" s="10" t="n">
        <f aca="false">I185-J185</f>
        <v>27561.04</v>
      </c>
      <c r="L185" s="9" t="n">
        <v>0.9</v>
      </c>
    </row>
    <row r="186" customFormat="false" ht="15" hidden="false" customHeight="false" outlineLevel="0" collapsed="false">
      <c r="A186" s="4" t="s">
        <v>3878</v>
      </c>
      <c r="B186" s="4" t="s">
        <v>3879</v>
      </c>
      <c r="C186" s="4" t="s">
        <v>23</v>
      </c>
      <c r="D186" s="4" t="s">
        <v>449</v>
      </c>
      <c r="E186" s="4" t="s">
        <v>16</v>
      </c>
      <c r="F186" s="4" t="s">
        <v>15</v>
      </c>
      <c r="G186" s="6" t="n">
        <v>45804</v>
      </c>
      <c r="H186" s="6" t="n">
        <v>45879</v>
      </c>
      <c r="I186" s="10" t="n">
        <v>156257</v>
      </c>
      <c r="J186" s="10" t="n">
        <v>39762.51</v>
      </c>
      <c r="K186" s="10" t="n">
        <f aca="false">I186-J186</f>
        <v>116494.49</v>
      </c>
      <c r="L186" s="9" t="n">
        <v>0.34</v>
      </c>
    </row>
    <row r="187" customFormat="false" ht="15" hidden="false" customHeight="false" outlineLevel="0" collapsed="false">
      <c r="A187" s="4" t="s">
        <v>3880</v>
      </c>
      <c r="B187" s="4" t="s">
        <v>3881</v>
      </c>
      <c r="C187" s="4" t="s">
        <v>23</v>
      </c>
      <c r="D187" s="4" t="s">
        <v>550</v>
      </c>
      <c r="E187" s="4" t="s">
        <v>28</v>
      </c>
      <c r="F187" s="4" t="s">
        <v>21</v>
      </c>
      <c r="G187" s="6" t="n">
        <v>46110</v>
      </c>
      <c r="H187" s="6" t="n">
        <v>46191</v>
      </c>
      <c r="I187" s="10" t="n">
        <v>102857</v>
      </c>
      <c r="J187" s="10" t="n">
        <v>121083.88</v>
      </c>
      <c r="K187" s="10" t="n">
        <f aca="false">I187-J187</f>
        <v>-18226.88</v>
      </c>
      <c r="L187" s="9" t="n">
        <v>0.11</v>
      </c>
    </row>
    <row r="188" customFormat="false" ht="15" hidden="false" customHeight="false" outlineLevel="0" collapsed="false">
      <c r="A188" s="4" t="s">
        <v>3882</v>
      </c>
      <c r="B188" s="4" t="s">
        <v>3883</v>
      </c>
      <c r="C188" s="4" t="s">
        <v>31</v>
      </c>
      <c r="D188" s="4" t="s">
        <v>462</v>
      </c>
      <c r="E188" s="4" t="s">
        <v>28</v>
      </c>
      <c r="F188" s="4" t="s">
        <v>15</v>
      </c>
      <c r="G188" s="6" t="n">
        <v>45908</v>
      </c>
      <c r="H188" s="6" t="n">
        <v>46028</v>
      </c>
      <c r="I188" s="10" t="n">
        <v>313403</v>
      </c>
      <c r="J188" s="10" t="n">
        <v>156693.51</v>
      </c>
      <c r="K188" s="10" t="n">
        <f aca="false">I188-J188</f>
        <v>156709.49</v>
      </c>
      <c r="L188" s="9" t="n">
        <v>0.04</v>
      </c>
    </row>
    <row r="189" customFormat="false" ht="15" hidden="false" customHeight="false" outlineLevel="0" collapsed="false">
      <c r="A189" s="4" t="s">
        <v>3884</v>
      </c>
      <c r="B189" s="4" t="s">
        <v>3885</v>
      </c>
      <c r="C189" s="4" t="s">
        <v>32</v>
      </c>
      <c r="D189" s="4" t="s">
        <v>472</v>
      </c>
      <c r="E189" s="4" t="s">
        <v>28</v>
      </c>
      <c r="F189" s="4" t="s">
        <v>21</v>
      </c>
      <c r="G189" s="6" t="n">
        <v>46144</v>
      </c>
      <c r="H189" s="6" t="n">
        <v>46323</v>
      </c>
      <c r="I189" s="10" t="n">
        <v>212207</v>
      </c>
      <c r="J189" s="10" t="n">
        <v>57566.38</v>
      </c>
      <c r="K189" s="10" t="n">
        <f aca="false">I189-J189</f>
        <v>154640.62</v>
      </c>
      <c r="L189" s="9" t="n">
        <v>0.82</v>
      </c>
    </row>
    <row r="190" customFormat="false" ht="15" hidden="false" customHeight="false" outlineLevel="0" collapsed="false">
      <c r="A190" s="4" t="s">
        <v>3886</v>
      </c>
      <c r="B190" s="4" t="s">
        <v>3887</v>
      </c>
      <c r="C190" s="4" t="s">
        <v>23</v>
      </c>
      <c r="D190" s="4" t="s">
        <v>550</v>
      </c>
      <c r="E190" s="4" t="s">
        <v>22</v>
      </c>
      <c r="F190" s="4" t="s">
        <v>9</v>
      </c>
      <c r="G190" s="6" t="n">
        <v>46073</v>
      </c>
      <c r="H190" s="6" t="n">
        <v>46277</v>
      </c>
      <c r="I190" s="10" t="n">
        <v>427475</v>
      </c>
      <c r="J190" s="10" t="n">
        <v>178495.57</v>
      </c>
      <c r="K190" s="10" t="n">
        <f aca="false">I190-J190</f>
        <v>248979.43</v>
      </c>
      <c r="L190" s="9" t="n">
        <v>0.65</v>
      </c>
    </row>
    <row r="191" customFormat="false" ht="15" hidden="false" customHeight="false" outlineLevel="0" collapsed="false">
      <c r="A191" s="4" t="s">
        <v>3888</v>
      </c>
      <c r="B191" s="4" t="s">
        <v>3889</v>
      </c>
      <c r="C191" s="4" t="s">
        <v>23</v>
      </c>
      <c r="D191" s="4" t="s">
        <v>475</v>
      </c>
      <c r="E191" s="4" t="s">
        <v>10</v>
      </c>
      <c r="F191" s="4" t="s">
        <v>15</v>
      </c>
      <c r="G191" s="6" t="n">
        <v>46053</v>
      </c>
      <c r="H191" s="6" t="n">
        <v>46136</v>
      </c>
      <c r="I191" s="10" t="n">
        <v>145378</v>
      </c>
      <c r="J191" s="10" t="n">
        <v>49440.21</v>
      </c>
      <c r="K191" s="10" t="n">
        <f aca="false">I191-J191</f>
        <v>95937.79</v>
      </c>
      <c r="L191" s="9" t="n">
        <v>0.6</v>
      </c>
    </row>
    <row r="192" customFormat="false" ht="15" hidden="false" customHeight="false" outlineLevel="0" collapsed="false">
      <c r="A192" s="4" t="s">
        <v>3890</v>
      </c>
      <c r="B192" s="4" t="s">
        <v>3891</v>
      </c>
      <c r="C192" s="4" t="s">
        <v>32</v>
      </c>
      <c r="D192" s="4" t="s">
        <v>449</v>
      </c>
      <c r="E192" s="4" t="s">
        <v>10</v>
      </c>
      <c r="F192" s="4" t="s">
        <v>21</v>
      </c>
      <c r="G192" s="6" t="n">
        <v>45729</v>
      </c>
      <c r="H192" s="6" t="n">
        <v>45878</v>
      </c>
      <c r="I192" s="10" t="n">
        <v>317663</v>
      </c>
      <c r="J192" s="10" t="n">
        <v>144628.8</v>
      </c>
      <c r="K192" s="10" t="n">
        <f aca="false">I192-J192</f>
        <v>173034.2</v>
      </c>
      <c r="L192" s="9" t="n">
        <v>0.89</v>
      </c>
    </row>
    <row r="193" customFormat="false" ht="15" hidden="false" customHeight="false" outlineLevel="0" collapsed="false">
      <c r="A193" s="4" t="s">
        <v>3892</v>
      </c>
      <c r="B193" s="4" t="s">
        <v>3893</v>
      </c>
      <c r="C193" s="4" t="s">
        <v>11</v>
      </c>
      <c r="D193" s="4" t="s">
        <v>543</v>
      </c>
      <c r="E193" s="4" t="s">
        <v>28</v>
      </c>
      <c r="F193" s="4" t="s">
        <v>27</v>
      </c>
      <c r="G193" s="6" t="n">
        <v>45711</v>
      </c>
      <c r="H193" s="6" t="n">
        <v>45902</v>
      </c>
      <c r="I193" s="10" t="n">
        <v>198158</v>
      </c>
      <c r="J193" s="10" t="n">
        <v>209306.77</v>
      </c>
      <c r="K193" s="10" t="n">
        <f aca="false">I193-J193</f>
        <v>-11148.77</v>
      </c>
      <c r="L193" s="9" t="n">
        <v>0.42</v>
      </c>
    </row>
    <row r="194" customFormat="false" ht="15" hidden="false" customHeight="false" outlineLevel="0" collapsed="false">
      <c r="A194" s="4" t="s">
        <v>3894</v>
      </c>
      <c r="B194" s="4" t="s">
        <v>3895</v>
      </c>
      <c r="C194" s="4" t="s">
        <v>23</v>
      </c>
      <c r="D194" s="4" t="s">
        <v>495</v>
      </c>
      <c r="E194" s="4" t="s">
        <v>16</v>
      </c>
      <c r="F194" s="4" t="s">
        <v>27</v>
      </c>
      <c r="G194" s="6" t="n">
        <v>45830</v>
      </c>
      <c r="H194" s="6" t="n">
        <v>46025</v>
      </c>
      <c r="I194" s="10" t="n">
        <v>483421</v>
      </c>
      <c r="J194" s="10" t="n">
        <v>101628.85</v>
      </c>
      <c r="K194" s="10" t="n">
        <f aca="false">I194-J194</f>
        <v>381792.15</v>
      </c>
      <c r="L194" s="9" t="n">
        <v>0.69</v>
      </c>
    </row>
    <row r="195" customFormat="false" ht="15" hidden="false" customHeight="false" outlineLevel="0" collapsed="false">
      <c r="A195" s="4" t="s">
        <v>3896</v>
      </c>
      <c r="B195" s="4" t="s">
        <v>3897</v>
      </c>
      <c r="C195" s="4" t="s">
        <v>32</v>
      </c>
      <c r="D195" s="4" t="s">
        <v>459</v>
      </c>
      <c r="E195" s="4" t="s">
        <v>28</v>
      </c>
      <c r="F195" s="4" t="s">
        <v>27</v>
      </c>
      <c r="G195" s="6" t="n">
        <v>45753</v>
      </c>
      <c r="H195" s="6" t="n">
        <v>45975</v>
      </c>
      <c r="I195" s="10" t="n">
        <v>21403</v>
      </c>
      <c r="J195" s="10" t="n">
        <v>12476.01</v>
      </c>
      <c r="K195" s="10" t="n">
        <f aca="false">I195-J195</f>
        <v>8926.99</v>
      </c>
      <c r="L195" s="9" t="n">
        <v>0.6</v>
      </c>
    </row>
    <row r="196" customFormat="false" ht="15" hidden="false" customHeight="false" outlineLevel="0" collapsed="false">
      <c r="A196" s="4" t="s">
        <v>3898</v>
      </c>
      <c r="B196" s="4" t="s">
        <v>3899</v>
      </c>
      <c r="C196" s="4" t="s">
        <v>32</v>
      </c>
      <c r="D196" s="4" t="s">
        <v>490</v>
      </c>
      <c r="E196" s="4" t="s">
        <v>28</v>
      </c>
      <c r="F196" s="4" t="s">
        <v>27</v>
      </c>
      <c r="G196" s="6" t="n">
        <v>46085</v>
      </c>
      <c r="H196" s="6" t="n">
        <v>46177</v>
      </c>
      <c r="I196" s="10" t="n">
        <v>142421</v>
      </c>
      <c r="J196" s="10" t="n">
        <v>127567.87</v>
      </c>
      <c r="K196" s="10" t="n">
        <f aca="false">I196-J196</f>
        <v>14853.13</v>
      </c>
      <c r="L196" s="9" t="n">
        <v>0.38</v>
      </c>
    </row>
    <row r="197" customFormat="false" ht="15" hidden="false" customHeight="false" outlineLevel="0" collapsed="false">
      <c r="A197" s="4" t="s">
        <v>3900</v>
      </c>
      <c r="B197" s="4" t="s">
        <v>3901</v>
      </c>
      <c r="C197" s="4" t="s">
        <v>32</v>
      </c>
      <c r="D197" s="4" t="s">
        <v>452</v>
      </c>
      <c r="E197" s="4" t="s">
        <v>28</v>
      </c>
      <c r="F197" s="4" t="s">
        <v>27</v>
      </c>
      <c r="G197" s="6" t="n">
        <v>45678</v>
      </c>
      <c r="H197" s="6" t="n">
        <v>45767</v>
      </c>
      <c r="I197" s="10" t="n">
        <v>410122</v>
      </c>
      <c r="J197" s="10" t="n">
        <v>462711.9</v>
      </c>
      <c r="K197" s="10" t="n">
        <f aca="false">I197-J197</f>
        <v>-52589.9</v>
      </c>
      <c r="L197" s="9" t="n">
        <v>0.99</v>
      </c>
    </row>
    <row r="198" customFormat="false" ht="15" hidden="false" customHeight="false" outlineLevel="0" collapsed="false">
      <c r="A198" s="4" t="s">
        <v>3902</v>
      </c>
      <c r="B198" s="4" t="s">
        <v>3903</v>
      </c>
      <c r="C198" s="4" t="s">
        <v>17</v>
      </c>
      <c r="D198" s="4" t="s">
        <v>524</v>
      </c>
      <c r="E198" s="4" t="s">
        <v>16</v>
      </c>
      <c r="F198" s="4" t="s">
        <v>21</v>
      </c>
      <c r="G198" s="6" t="n">
        <v>45795</v>
      </c>
      <c r="H198" s="6" t="n">
        <v>45972</v>
      </c>
      <c r="I198" s="10" t="n">
        <v>220108</v>
      </c>
      <c r="J198" s="10" t="n">
        <v>165605.66</v>
      </c>
      <c r="K198" s="10" t="n">
        <f aca="false">I198-J198</f>
        <v>54502.34</v>
      </c>
      <c r="L198" s="9" t="n">
        <v>0.76</v>
      </c>
    </row>
    <row r="199" customFormat="false" ht="15" hidden="false" customHeight="false" outlineLevel="0" collapsed="false">
      <c r="A199" s="4" t="s">
        <v>3904</v>
      </c>
      <c r="B199" s="4" t="s">
        <v>3905</v>
      </c>
      <c r="C199" s="4" t="s">
        <v>32</v>
      </c>
      <c r="D199" s="4" t="s">
        <v>480</v>
      </c>
      <c r="E199" s="4" t="s">
        <v>16</v>
      </c>
      <c r="F199" s="4" t="s">
        <v>15</v>
      </c>
      <c r="G199" s="6" t="n">
        <v>46152</v>
      </c>
      <c r="H199" s="6" t="n">
        <v>46360</v>
      </c>
      <c r="I199" s="10" t="n">
        <v>284771</v>
      </c>
      <c r="J199" s="10" t="n">
        <v>90644.99</v>
      </c>
      <c r="K199" s="10" t="n">
        <f aca="false">I199-J199</f>
        <v>194126.01</v>
      </c>
      <c r="L199" s="9" t="n">
        <v>0.84</v>
      </c>
    </row>
    <row r="200" customFormat="false" ht="15" hidden="false" customHeight="false" outlineLevel="0" collapsed="false">
      <c r="A200" s="4" t="s">
        <v>3906</v>
      </c>
      <c r="B200" s="4" t="s">
        <v>3907</v>
      </c>
      <c r="C200" s="4" t="s">
        <v>23</v>
      </c>
      <c r="D200" s="4" t="s">
        <v>480</v>
      </c>
      <c r="E200" s="4" t="s">
        <v>16</v>
      </c>
      <c r="F200" s="4" t="s">
        <v>21</v>
      </c>
      <c r="G200" s="6" t="n">
        <v>45828</v>
      </c>
      <c r="H200" s="6" t="n">
        <v>46059</v>
      </c>
      <c r="I200" s="10" t="n">
        <v>38206</v>
      </c>
      <c r="J200" s="10" t="n">
        <v>44600.07</v>
      </c>
      <c r="K200" s="10" t="n">
        <f aca="false">I200-J200</f>
        <v>-6394.07</v>
      </c>
      <c r="L200" s="9" t="n">
        <v>0.58</v>
      </c>
    </row>
    <row r="201" customFormat="false" ht="15" hidden="false" customHeight="false" outlineLevel="0" collapsed="false">
      <c r="A201" s="4" t="s">
        <v>3908</v>
      </c>
      <c r="B201" s="4" t="s">
        <v>3909</v>
      </c>
      <c r="C201" s="4" t="s">
        <v>17</v>
      </c>
      <c r="D201" s="4" t="s">
        <v>472</v>
      </c>
      <c r="E201" s="4" t="s">
        <v>16</v>
      </c>
      <c r="F201" s="4" t="s">
        <v>21</v>
      </c>
      <c r="G201" s="6" t="n">
        <v>45860</v>
      </c>
      <c r="H201" s="6" t="n">
        <v>45932</v>
      </c>
      <c r="I201" s="10" t="n">
        <v>251480</v>
      </c>
      <c r="J201" s="10" t="n">
        <v>25381.26</v>
      </c>
      <c r="K201" s="10" t="n">
        <f aca="false">I201-J201</f>
        <v>226098.74</v>
      </c>
      <c r="L201" s="9" t="n">
        <v>0.39</v>
      </c>
    </row>
  </sheetData>
  <dataValidations count="2">
    <dataValidation allowBlank="false" errorStyle="stop" operator="between" showDropDown="false" showErrorMessage="false" showInputMessage="false" sqref="E2:E201" type="list">
      <formula1>Lookups!$E$2:$E$5</formula1>
      <formula2>0</formula2>
    </dataValidation>
    <dataValidation allowBlank="false" errorStyle="stop" operator="between" showDropDown="false" showErrorMessage="false" showInputMessage="false" sqref="F2:F201" type="list">
      <formula1>Lookups!$D$2:$D$5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4.76"/>
    <col collapsed="false" customWidth="true" hidden="false" outlineLevel="0" max="2" min="2" style="1" width="11.92"/>
    <col collapsed="false" customWidth="true" hidden="false" outlineLevel="0" max="3" min="3" style="1" width="11.35"/>
    <col collapsed="false" customWidth="true" hidden="false" outlineLevel="0" max="4" min="4" style="1" width="14.33"/>
    <col collapsed="false" customWidth="true" hidden="false" outlineLevel="0" max="5" min="5" style="1" width="7.81"/>
    <col collapsed="false" customWidth="true" hidden="false" outlineLevel="0" max="6" min="6" style="1" width="8.23"/>
    <col collapsed="false" customWidth="true" hidden="false" outlineLevel="0" max="7" min="7" style="1" width="20.43"/>
    <col collapsed="false" customWidth="true" hidden="false" outlineLevel="0" max="8" min="8" style="1" width="16.32"/>
    <col collapsed="false" customWidth="true" hidden="false" outlineLevel="0" max="9" min="9" style="1" width="13.2"/>
    <col collapsed="false" customWidth="true" hidden="false" outlineLevel="0" max="10" min="10" style="1" width="10.65"/>
  </cols>
  <sheetData>
    <row r="1" customFormat="false" ht="28" hidden="false" customHeight="true" outlineLevel="0" collapsed="false">
      <c r="A1" s="3" t="s">
        <v>3910</v>
      </c>
      <c r="B1" s="3" t="s">
        <v>3911</v>
      </c>
      <c r="C1" s="3" t="s">
        <v>440</v>
      </c>
      <c r="D1" s="3" t="s">
        <v>2</v>
      </c>
      <c r="E1" s="3" t="s">
        <v>4</v>
      </c>
      <c r="F1" s="3" t="s">
        <v>3</v>
      </c>
      <c r="G1" s="3" t="s">
        <v>3912</v>
      </c>
      <c r="H1" s="3" t="s">
        <v>3913</v>
      </c>
      <c r="I1" s="3" t="s">
        <v>3914</v>
      </c>
      <c r="J1" s="3" t="s">
        <v>3915</v>
      </c>
    </row>
    <row r="2" customFormat="false" ht="15" hidden="false" customHeight="false" outlineLevel="0" collapsed="false">
      <c r="A2" s="4" t="s">
        <v>3916</v>
      </c>
      <c r="B2" s="6" t="n">
        <v>45899</v>
      </c>
      <c r="C2" s="4" t="s">
        <v>1343</v>
      </c>
      <c r="D2" s="4" t="s">
        <v>3917</v>
      </c>
      <c r="E2" s="4" t="s">
        <v>10</v>
      </c>
      <c r="F2" s="4" t="s">
        <v>3918</v>
      </c>
      <c r="G2" s="4" t="s">
        <v>3224</v>
      </c>
      <c r="H2" s="8" t="n">
        <v>2.3</v>
      </c>
      <c r="I2" s="8" t="n">
        <v>60.2</v>
      </c>
      <c r="J2" s="11" t="n">
        <v>5</v>
      </c>
    </row>
    <row r="3" customFormat="false" ht="15" hidden="false" customHeight="false" outlineLevel="0" collapsed="false">
      <c r="A3" s="4" t="s">
        <v>3919</v>
      </c>
      <c r="B3" s="6" t="n">
        <v>46146</v>
      </c>
      <c r="C3" s="4" t="s">
        <v>627</v>
      </c>
      <c r="D3" s="4" t="s">
        <v>3920</v>
      </c>
      <c r="E3" s="4" t="s">
        <v>22</v>
      </c>
      <c r="F3" s="4" t="s">
        <v>3921</v>
      </c>
      <c r="G3" s="4" t="s">
        <v>3052</v>
      </c>
      <c r="H3" s="8" t="n">
        <v>11.4</v>
      </c>
      <c r="I3" s="8" t="n">
        <v>165.5</v>
      </c>
      <c r="J3" s="11" t="n">
        <v>2</v>
      </c>
    </row>
    <row r="4" customFormat="false" ht="15" hidden="false" customHeight="false" outlineLevel="0" collapsed="false">
      <c r="A4" s="4" t="s">
        <v>3922</v>
      </c>
      <c r="B4" s="6" t="n">
        <v>46132</v>
      </c>
      <c r="C4" s="4" t="s">
        <v>1187</v>
      </c>
      <c r="D4" s="4" t="s">
        <v>3917</v>
      </c>
      <c r="E4" s="4" t="s">
        <v>28</v>
      </c>
      <c r="F4" s="4" t="s">
        <v>3923</v>
      </c>
      <c r="G4" s="4" t="s">
        <v>3392</v>
      </c>
      <c r="H4" s="8" t="n">
        <v>22</v>
      </c>
      <c r="I4" s="8" t="n">
        <v>94.2</v>
      </c>
      <c r="J4" s="11" t="n">
        <v>3</v>
      </c>
    </row>
    <row r="5" customFormat="false" ht="15" hidden="false" customHeight="false" outlineLevel="0" collapsed="false">
      <c r="A5" s="4" t="s">
        <v>3924</v>
      </c>
      <c r="B5" s="6" t="n">
        <v>45992</v>
      </c>
      <c r="C5" s="4" t="s">
        <v>1383</v>
      </c>
      <c r="D5" s="4" t="s">
        <v>3920</v>
      </c>
      <c r="E5" s="4" t="s">
        <v>16</v>
      </c>
      <c r="F5" s="4" t="s">
        <v>3923</v>
      </c>
      <c r="G5" s="4" t="s">
        <v>3420</v>
      </c>
      <c r="H5" s="8" t="n">
        <v>16.2</v>
      </c>
      <c r="I5" s="8" t="n">
        <v>209.7</v>
      </c>
      <c r="J5" s="11" t="n">
        <v>5</v>
      </c>
    </row>
    <row r="6" customFormat="false" ht="15" hidden="false" customHeight="false" outlineLevel="0" collapsed="false">
      <c r="A6" s="4" t="s">
        <v>3925</v>
      </c>
      <c r="B6" s="6" t="n">
        <v>46013</v>
      </c>
      <c r="C6" s="4" t="s">
        <v>965</v>
      </c>
      <c r="D6" s="4" t="s">
        <v>3926</v>
      </c>
      <c r="E6" s="4" t="s">
        <v>28</v>
      </c>
      <c r="F6" s="4" t="s">
        <v>3921</v>
      </c>
      <c r="G6" s="4" t="s">
        <v>3011</v>
      </c>
      <c r="H6" s="8" t="n">
        <v>5.4</v>
      </c>
      <c r="I6" s="8" t="n">
        <v>146.8</v>
      </c>
      <c r="J6" s="11" t="n">
        <v>2</v>
      </c>
    </row>
    <row r="7" customFormat="false" ht="15" hidden="false" customHeight="false" outlineLevel="0" collapsed="false">
      <c r="A7" s="4" t="s">
        <v>3927</v>
      </c>
      <c r="B7" s="6" t="n">
        <v>46006</v>
      </c>
      <c r="C7" s="4" t="s">
        <v>977</v>
      </c>
      <c r="D7" s="4" t="s">
        <v>3928</v>
      </c>
      <c r="E7" s="4" t="s">
        <v>22</v>
      </c>
      <c r="F7" s="4" t="s">
        <v>3929</v>
      </c>
      <c r="G7" s="4" t="s">
        <v>3314</v>
      </c>
      <c r="H7" s="8" t="n">
        <v>14.4</v>
      </c>
      <c r="I7" s="8" t="n">
        <v>96.8</v>
      </c>
      <c r="J7" s="11" t="n">
        <v>1</v>
      </c>
    </row>
    <row r="8" customFormat="false" ht="15" hidden="false" customHeight="false" outlineLevel="0" collapsed="false">
      <c r="A8" s="4" t="s">
        <v>3930</v>
      </c>
      <c r="B8" s="6" t="n">
        <v>46169</v>
      </c>
      <c r="C8" s="4" t="s">
        <v>657</v>
      </c>
      <c r="D8" s="4" t="s">
        <v>3928</v>
      </c>
      <c r="E8" s="4" t="s">
        <v>16</v>
      </c>
      <c r="F8" s="4" t="s">
        <v>3918</v>
      </c>
      <c r="G8" s="4" t="s">
        <v>3110</v>
      </c>
      <c r="H8" s="8" t="n">
        <v>7.3</v>
      </c>
      <c r="I8" s="8" t="n">
        <v>24.1</v>
      </c>
      <c r="J8" s="11" t="n">
        <v>4</v>
      </c>
    </row>
    <row r="9" customFormat="false" ht="15" hidden="false" customHeight="false" outlineLevel="0" collapsed="false">
      <c r="A9" s="4" t="s">
        <v>3931</v>
      </c>
      <c r="B9" s="6" t="n">
        <v>45812</v>
      </c>
      <c r="C9" s="4" t="s">
        <v>755</v>
      </c>
      <c r="D9" s="4" t="s">
        <v>3920</v>
      </c>
      <c r="E9" s="4" t="s">
        <v>16</v>
      </c>
      <c r="F9" s="4" t="s">
        <v>3923</v>
      </c>
      <c r="G9" s="4" t="s">
        <v>3200</v>
      </c>
      <c r="H9" s="8" t="n">
        <v>16.2</v>
      </c>
      <c r="I9" s="8" t="n">
        <v>116.4</v>
      </c>
      <c r="J9" s="11" t="n">
        <v>3</v>
      </c>
    </row>
    <row r="10" customFormat="false" ht="15" hidden="false" customHeight="false" outlineLevel="0" collapsed="false">
      <c r="A10" s="4" t="s">
        <v>3932</v>
      </c>
      <c r="B10" s="6" t="n">
        <v>45825</v>
      </c>
      <c r="C10" s="4" t="s">
        <v>871</v>
      </c>
      <c r="D10" s="4" t="s">
        <v>3926</v>
      </c>
      <c r="E10" s="4" t="s">
        <v>28</v>
      </c>
      <c r="F10" s="4" t="s">
        <v>3918</v>
      </c>
      <c r="G10" s="4" t="s">
        <v>3428</v>
      </c>
      <c r="H10" s="8" t="n">
        <v>2.6</v>
      </c>
      <c r="I10" s="8" t="n">
        <v>193.9</v>
      </c>
      <c r="J10" s="11" t="n">
        <v>3</v>
      </c>
    </row>
    <row r="11" customFormat="false" ht="15" hidden="false" customHeight="false" outlineLevel="0" collapsed="false">
      <c r="A11" s="4" t="s">
        <v>3933</v>
      </c>
      <c r="B11" s="6" t="n">
        <v>45670</v>
      </c>
      <c r="C11" s="4" t="s">
        <v>629</v>
      </c>
      <c r="D11" s="4" t="s">
        <v>3920</v>
      </c>
      <c r="E11" s="4" t="s">
        <v>10</v>
      </c>
      <c r="F11" s="4" t="s">
        <v>3923</v>
      </c>
      <c r="G11" s="4" t="s">
        <v>3066</v>
      </c>
      <c r="H11" s="8" t="n">
        <v>13.8</v>
      </c>
      <c r="I11" s="8" t="n">
        <v>93.4</v>
      </c>
      <c r="J11" s="11" t="n">
        <v>4</v>
      </c>
    </row>
    <row r="12" customFormat="false" ht="15" hidden="false" customHeight="false" outlineLevel="0" collapsed="false">
      <c r="A12" s="4" t="s">
        <v>3934</v>
      </c>
      <c r="B12" s="6" t="n">
        <v>46069</v>
      </c>
      <c r="C12" s="4" t="s">
        <v>897</v>
      </c>
      <c r="D12" s="4" t="s">
        <v>3928</v>
      </c>
      <c r="E12" s="4" t="s">
        <v>10</v>
      </c>
      <c r="F12" s="4" t="s">
        <v>3923</v>
      </c>
      <c r="G12" s="4" t="s">
        <v>3156</v>
      </c>
      <c r="H12" s="8" t="n">
        <v>10.3</v>
      </c>
      <c r="I12" s="8" t="n">
        <v>178.6</v>
      </c>
      <c r="J12" s="11" t="n">
        <v>1</v>
      </c>
    </row>
    <row r="13" customFormat="false" ht="15" hidden="false" customHeight="false" outlineLevel="0" collapsed="false">
      <c r="A13" s="4" t="s">
        <v>3935</v>
      </c>
      <c r="B13" s="6" t="n">
        <v>46142</v>
      </c>
      <c r="C13" s="4" t="s">
        <v>1193</v>
      </c>
      <c r="D13" s="4" t="s">
        <v>3920</v>
      </c>
      <c r="E13" s="4" t="s">
        <v>28</v>
      </c>
      <c r="F13" s="4" t="s">
        <v>3929</v>
      </c>
      <c r="G13" s="4" t="s">
        <v>3434</v>
      </c>
      <c r="H13" s="8" t="n">
        <v>12.9</v>
      </c>
      <c r="I13" s="8" t="n">
        <v>88.8</v>
      </c>
      <c r="J13" s="11" t="n">
        <v>2</v>
      </c>
    </row>
    <row r="14" customFormat="false" ht="15" hidden="false" customHeight="false" outlineLevel="0" collapsed="false">
      <c r="A14" s="4" t="s">
        <v>3936</v>
      </c>
      <c r="B14" s="6" t="n">
        <v>45739</v>
      </c>
      <c r="C14" s="4" t="s">
        <v>617</v>
      </c>
      <c r="D14" s="4" t="s">
        <v>3928</v>
      </c>
      <c r="E14" s="4" t="s">
        <v>28</v>
      </c>
      <c r="F14" s="4" t="s">
        <v>3923</v>
      </c>
      <c r="G14" s="4" t="s">
        <v>3174</v>
      </c>
      <c r="H14" s="8" t="n">
        <v>22.8</v>
      </c>
      <c r="I14" s="8" t="n">
        <v>170.4</v>
      </c>
      <c r="J14" s="11" t="n">
        <v>3</v>
      </c>
    </row>
    <row r="15" customFormat="false" ht="15" hidden="false" customHeight="false" outlineLevel="0" collapsed="false">
      <c r="A15" s="4" t="s">
        <v>3937</v>
      </c>
      <c r="B15" s="6" t="n">
        <v>46103</v>
      </c>
      <c r="C15" s="4" t="s">
        <v>510</v>
      </c>
      <c r="D15" s="4" t="s">
        <v>3938</v>
      </c>
      <c r="E15" s="4" t="s">
        <v>16</v>
      </c>
      <c r="F15" s="4" t="s">
        <v>3923</v>
      </c>
      <c r="G15" s="4" t="s">
        <v>3146</v>
      </c>
      <c r="H15" s="8" t="n">
        <v>1.1</v>
      </c>
      <c r="I15" s="8" t="n">
        <v>208.6</v>
      </c>
      <c r="J15" s="11" t="n">
        <v>4</v>
      </c>
    </row>
    <row r="16" customFormat="false" ht="15" hidden="false" customHeight="false" outlineLevel="0" collapsed="false">
      <c r="A16" s="4" t="s">
        <v>3939</v>
      </c>
      <c r="B16" s="6" t="n">
        <v>46036</v>
      </c>
      <c r="C16" s="4" t="s">
        <v>723</v>
      </c>
      <c r="D16" s="4" t="s">
        <v>3938</v>
      </c>
      <c r="E16" s="4" t="s">
        <v>22</v>
      </c>
      <c r="F16" s="4" t="s">
        <v>3921</v>
      </c>
      <c r="G16" s="4" t="s">
        <v>3174</v>
      </c>
      <c r="H16" s="8" t="n">
        <v>16.2</v>
      </c>
      <c r="I16" s="8" t="n">
        <v>184.5</v>
      </c>
      <c r="J16" s="11" t="n">
        <v>1</v>
      </c>
    </row>
    <row r="17" customFormat="false" ht="15" hidden="false" customHeight="false" outlineLevel="0" collapsed="false">
      <c r="A17" s="4" t="s">
        <v>3940</v>
      </c>
      <c r="B17" s="6" t="n">
        <v>45958</v>
      </c>
      <c r="C17" s="4" t="s">
        <v>829</v>
      </c>
      <c r="D17" s="4" t="s">
        <v>3938</v>
      </c>
      <c r="E17" s="4" t="s">
        <v>22</v>
      </c>
      <c r="F17" s="4" t="s">
        <v>3918</v>
      </c>
      <c r="G17" s="4" t="s">
        <v>3006</v>
      </c>
      <c r="H17" s="8" t="n">
        <v>10.8</v>
      </c>
      <c r="I17" s="8" t="n">
        <v>72.8</v>
      </c>
      <c r="J17" s="11" t="n">
        <v>1</v>
      </c>
    </row>
    <row r="18" customFormat="false" ht="15" hidden="false" customHeight="false" outlineLevel="0" collapsed="false">
      <c r="A18" s="4" t="s">
        <v>3941</v>
      </c>
      <c r="B18" s="6" t="n">
        <v>45695</v>
      </c>
      <c r="C18" s="4" t="s">
        <v>1009</v>
      </c>
      <c r="D18" s="4" t="s">
        <v>3938</v>
      </c>
      <c r="E18" s="4" t="s">
        <v>10</v>
      </c>
      <c r="F18" s="4" t="s">
        <v>3929</v>
      </c>
      <c r="G18" s="4" t="s">
        <v>3128</v>
      </c>
      <c r="H18" s="8" t="n">
        <v>4.3</v>
      </c>
      <c r="I18" s="8" t="n">
        <v>129.3</v>
      </c>
      <c r="J18" s="11" t="n">
        <v>2</v>
      </c>
    </row>
    <row r="19" customFormat="false" ht="15" hidden="false" customHeight="false" outlineLevel="0" collapsed="false">
      <c r="A19" s="4" t="s">
        <v>3942</v>
      </c>
      <c r="B19" s="6" t="n">
        <v>46099</v>
      </c>
      <c r="C19" s="4" t="s">
        <v>1379</v>
      </c>
      <c r="D19" s="4" t="s">
        <v>3920</v>
      </c>
      <c r="E19" s="4" t="s">
        <v>16</v>
      </c>
      <c r="F19" s="4" t="s">
        <v>3923</v>
      </c>
      <c r="G19" s="4" t="s">
        <v>3178</v>
      </c>
      <c r="H19" s="8" t="n">
        <v>23.3</v>
      </c>
      <c r="I19" s="8" t="n">
        <v>166</v>
      </c>
      <c r="J19" s="11" t="n">
        <v>2</v>
      </c>
    </row>
    <row r="20" customFormat="false" ht="15" hidden="false" customHeight="false" outlineLevel="0" collapsed="false">
      <c r="A20" s="4" t="s">
        <v>3943</v>
      </c>
      <c r="B20" s="6" t="n">
        <v>45736</v>
      </c>
      <c r="C20" s="4" t="s">
        <v>799</v>
      </c>
      <c r="D20" s="4" t="s">
        <v>3920</v>
      </c>
      <c r="E20" s="4" t="s">
        <v>28</v>
      </c>
      <c r="F20" s="4" t="s">
        <v>3921</v>
      </c>
      <c r="G20" s="4" t="s">
        <v>3020</v>
      </c>
      <c r="H20" s="8" t="n">
        <v>3.6</v>
      </c>
      <c r="I20" s="8" t="n">
        <v>234.5</v>
      </c>
      <c r="J20" s="11" t="n">
        <v>1</v>
      </c>
    </row>
    <row r="21" customFormat="false" ht="15" hidden="false" customHeight="false" outlineLevel="0" collapsed="false">
      <c r="A21" s="4" t="s">
        <v>3944</v>
      </c>
      <c r="B21" s="6" t="n">
        <v>46003</v>
      </c>
      <c r="C21" s="4" t="s">
        <v>1413</v>
      </c>
      <c r="D21" s="4" t="s">
        <v>3920</v>
      </c>
      <c r="E21" s="4" t="s">
        <v>28</v>
      </c>
      <c r="F21" s="4" t="s">
        <v>3921</v>
      </c>
      <c r="G21" s="4" t="s">
        <v>3218</v>
      </c>
      <c r="H21" s="8" t="n">
        <v>9.7</v>
      </c>
      <c r="I21" s="8" t="n">
        <v>45.8</v>
      </c>
      <c r="J21" s="11" t="n">
        <v>3</v>
      </c>
    </row>
    <row r="22" customFormat="false" ht="15" hidden="false" customHeight="false" outlineLevel="0" collapsed="false">
      <c r="A22" s="4" t="s">
        <v>3945</v>
      </c>
      <c r="B22" s="6" t="n">
        <v>45777</v>
      </c>
      <c r="C22" s="4" t="s">
        <v>1277</v>
      </c>
      <c r="D22" s="4" t="s">
        <v>3917</v>
      </c>
      <c r="E22" s="4" t="s">
        <v>10</v>
      </c>
      <c r="F22" s="4" t="s">
        <v>3923</v>
      </c>
      <c r="G22" s="4" t="s">
        <v>3294</v>
      </c>
      <c r="H22" s="8" t="n">
        <v>6.3</v>
      </c>
      <c r="I22" s="8" t="n">
        <v>74.2</v>
      </c>
      <c r="J22" s="11" t="n">
        <v>5</v>
      </c>
    </row>
    <row r="23" customFormat="false" ht="15" hidden="false" customHeight="false" outlineLevel="0" collapsed="false">
      <c r="A23" s="4" t="s">
        <v>3946</v>
      </c>
      <c r="B23" s="6" t="n">
        <v>46041</v>
      </c>
      <c r="C23" s="4" t="s">
        <v>1051</v>
      </c>
      <c r="D23" s="4" t="s">
        <v>3938</v>
      </c>
      <c r="E23" s="4" t="s">
        <v>16</v>
      </c>
      <c r="F23" s="4" t="s">
        <v>3921</v>
      </c>
      <c r="G23" s="4" t="s">
        <v>3112</v>
      </c>
      <c r="H23" s="8" t="n">
        <v>18.3</v>
      </c>
      <c r="I23" s="8" t="n">
        <v>106</v>
      </c>
      <c r="J23" s="11" t="n">
        <v>2</v>
      </c>
    </row>
    <row r="24" customFormat="false" ht="15" hidden="false" customHeight="false" outlineLevel="0" collapsed="false">
      <c r="A24" s="4" t="s">
        <v>3947</v>
      </c>
      <c r="B24" s="6" t="n">
        <v>46066</v>
      </c>
      <c r="C24" s="4" t="s">
        <v>1395</v>
      </c>
      <c r="D24" s="4" t="s">
        <v>3917</v>
      </c>
      <c r="E24" s="4" t="s">
        <v>22</v>
      </c>
      <c r="F24" s="4" t="s">
        <v>3921</v>
      </c>
      <c r="G24" s="4" t="s">
        <v>3348</v>
      </c>
      <c r="H24" s="8" t="n">
        <v>6.9</v>
      </c>
      <c r="I24" s="8" t="n">
        <v>3.2</v>
      </c>
      <c r="J24" s="11" t="n">
        <v>2</v>
      </c>
    </row>
    <row r="25" customFormat="false" ht="15" hidden="false" customHeight="false" outlineLevel="0" collapsed="false">
      <c r="A25" s="4" t="s">
        <v>3948</v>
      </c>
      <c r="B25" s="6" t="n">
        <v>45790</v>
      </c>
      <c r="C25" s="4" t="s">
        <v>745</v>
      </c>
      <c r="D25" s="4" t="s">
        <v>3920</v>
      </c>
      <c r="E25" s="4" t="s">
        <v>10</v>
      </c>
      <c r="F25" s="4" t="s">
        <v>3923</v>
      </c>
      <c r="G25" s="4" t="s">
        <v>3238</v>
      </c>
      <c r="H25" s="8" t="n">
        <v>14.4</v>
      </c>
      <c r="I25" s="8" t="n">
        <v>234.3</v>
      </c>
      <c r="J25" s="11" t="n">
        <v>3</v>
      </c>
    </row>
    <row r="26" customFormat="false" ht="15" hidden="false" customHeight="false" outlineLevel="0" collapsed="false">
      <c r="A26" s="4" t="s">
        <v>3949</v>
      </c>
      <c r="B26" s="6" t="n">
        <v>45888</v>
      </c>
      <c r="C26" s="4" t="s">
        <v>476</v>
      </c>
      <c r="D26" s="4" t="s">
        <v>3920</v>
      </c>
      <c r="E26" s="4" t="s">
        <v>10</v>
      </c>
      <c r="F26" s="4" t="s">
        <v>3918</v>
      </c>
      <c r="G26" s="4" t="s">
        <v>3114</v>
      </c>
      <c r="H26" s="8" t="n">
        <v>1.6</v>
      </c>
      <c r="I26" s="8" t="n">
        <v>70.5</v>
      </c>
      <c r="J26" s="11" t="n">
        <v>5</v>
      </c>
    </row>
    <row r="27" customFormat="false" ht="15" hidden="false" customHeight="false" outlineLevel="0" collapsed="false">
      <c r="A27" s="4" t="s">
        <v>3950</v>
      </c>
      <c r="B27" s="6" t="n">
        <v>45994</v>
      </c>
      <c r="C27" s="4" t="s">
        <v>1019</v>
      </c>
      <c r="D27" s="4" t="s">
        <v>3938</v>
      </c>
      <c r="E27" s="4" t="s">
        <v>28</v>
      </c>
      <c r="F27" s="4" t="s">
        <v>3923</v>
      </c>
      <c r="G27" s="4" t="s">
        <v>3244</v>
      </c>
      <c r="H27" s="8" t="n">
        <v>22.3</v>
      </c>
      <c r="I27" s="8" t="n">
        <v>5</v>
      </c>
      <c r="J27" s="11" t="n">
        <v>3</v>
      </c>
    </row>
    <row r="28" customFormat="false" ht="15" hidden="false" customHeight="false" outlineLevel="0" collapsed="false">
      <c r="A28" s="4" t="s">
        <v>3951</v>
      </c>
      <c r="B28" s="6" t="n">
        <v>46113</v>
      </c>
      <c r="C28" s="4" t="s">
        <v>619</v>
      </c>
      <c r="D28" s="4" t="s">
        <v>3938</v>
      </c>
      <c r="E28" s="4" t="s">
        <v>22</v>
      </c>
      <c r="F28" s="4" t="s">
        <v>3929</v>
      </c>
      <c r="G28" s="4" t="s">
        <v>3438</v>
      </c>
      <c r="H28" s="8" t="n">
        <v>17.8</v>
      </c>
      <c r="I28" s="8" t="n">
        <v>52.1</v>
      </c>
      <c r="J28" s="11" t="n">
        <v>2</v>
      </c>
    </row>
    <row r="29" customFormat="false" ht="15" hidden="false" customHeight="false" outlineLevel="0" collapsed="false">
      <c r="A29" s="4" t="s">
        <v>3952</v>
      </c>
      <c r="B29" s="6" t="n">
        <v>46070</v>
      </c>
      <c r="C29" s="4" t="s">
        <v>493</v>
      </c>
      <c r="D29" s="4" t="s">
        <v>3926</v>
      </c>
      <c r="E29" s="4" t="s">
        <v>28</v>
      </c>
      <c r="F29" s="4" t="s">
        <v>3929</v>
      </c>
      <c r="G29" s="4" t="s">
        <v>3496</v>
      </c>
      <c r="H29" s="8" t="n">
        <v>2</v>
      </c>
      <c r="I29" s="8" t="n">
        <v>117.8</v>
      </c>
      <c r="J29" s="11" t="n">
        <v>3</v>
      </c>
    </row>
    <row r="30" customFormat="false" ht="15" hidden="false" customHeight="false" outlineLevel="0" collapsed="false">
      <c r="A30" s="4" t="s">
        <v>3953</v>
      </c>
      <c r="B30" s="6" t="n">
        <v>46200</v>
      </c>
      <c r="C30" s="4" t="s">
        <v>843</v>
      </c>
      <c r="D30" s="4" t="s">
        <v>3920</v>
      </c>
      <c r="E30" s="4" t="s">
        <v>10</v>
      </c>
      <c r="F30" s="4" t="s">
        <v>3918</v>
      </c>
      <c r="G30" s="4" t="s">
        <v>3150</v>
      </c>
      <c r="H30" s="8" t="n">
        <v>18</v>
      </c>
      <c r="I30" s="8" t="n">
        <v>109.5</v>
      </c>
      <c r="J30" s="11" t="n">
        <v>4</v>
      </c>
    </row>
    <row r="31" customFormat="false" ht="15" hidden="false" customHeight="false" outlineLevel="0" collapsed="false">
      <c r="A31" s="4" t="s">
        <v>3954</v>
      </c>
      <c r="B31" s="6" t="n">
        <v>45828</v>
      </c>
      <c r="C31" s="4" t="s">
        <v>1103</v>
      </c>
      <c r="D31" s="4" t="s">
        <v>3920</v>
      </c>
      <c r="E31" s="4" t="s">
        <v>10</v>
      </c>
      <c r="F31" s="4" t="s">
        <v>3918</v>
      </c>
      <c r="G31" s="4" t="s">
        <v>3290</v>
      </c>
      <c r="H31" s="8" t="n">
        <v>10.4</v>
      </c>
      <c r="I31" s="8" t="n">
        <v>239</v>
      </c>
      <c r="J31" s="11" t="n">
        <v>1</v>
      </c>
    </row>
    <row r="32" customFormat="false" ht="15" hidden="false" customHeight="false" outlineLevel="0" collapsed="false">
      <c r="A32" s="4" t="s">
        <v>3955</v>
      </c>
      <c r="B32" s="6" t="n">
        <v>45898</v>
      </c>
      <c r="C32" s="4" t="s">
        <v>849</v>
      </c>
      <c r="D32" s="4" t="s">
        <v>3926</v>
      </c>
      <c r="E32" s="4" t="s">
        <v>22</v>
      </c>
      <c r="F32" s="4" t="s">
        <v>3923</v>
      </c>
      <c r="G32" s="4" t="s">
        <v>3068</v>
      </c>
      <c r="H32" s="8" t="n">
        <v>9.1</v>
      </c>
      <c r="I32" s="8" t="n">
        <v>227.8</v>
      </c>
      <c r="J32" s="11" t="n">
        <v>1</v>
      </c>
    </row>
    <row r="33" customFormat="false" ht="15" hidden="false" customHeight="false" outlineLevel="0" collapsed="false">
      <c r="A33" s="4" t="s">
        <v>3956</v>
      </c>
      <c r="B33" s="6" t="n">
        <v>45881</v>
      </c>
      <c r="C33" s="4" t="s">
        <v>681</v>
      </c>
      <c r="D33" s="4" t="s">
        <v>3928</v>
      </c>
      <c r="E33" s="4" t="s">
        <v>10</v>
      </c>
      <c r="F33" s="4" t="s">
        <v>3923</v>
      </c>
      <c r="G33" s="4" t="s">
        <v>3294</v>
      </c>
      <c r="H33" s="8" t="n">
        <v>7</v>
      </c>
      <c r="I33" s="8" t="n">
        <v>207.8</v>
      </c>
      <c r="J33" s="11" t="n">
        <v>4</v>
      </c>
    </row>
    <row r="34" customFormat="false" ht="15" hidden="false" customHeight="false" outlineLevel="0" collapsed="false">
      <c r="A34" s="4" t="s">
        <v>3957</v>
      </c>
      <c r="B34" s="6" t="n">
        <v>45880</v>
      </c>
      <c r="C34" s="4" t="s">
        <v>893</v>
      </c>
      <c r="D34" s="4" t="s">
        <v>3926</v>
      </c>
      <c r="E34" s="4" t="s">
        <v>28</v>
      </c>
      <c r="F34" s="4" t="s">
        <v>3929</v>
      </c>
      <c r="G34" s="4" t="s">
        <v>3144</v>
      </c>
      <c r="H34" s="8" t="n">
        <v>7.7</v>
      </c>
      <c r="I34" s="8" t="n">
        <v>88.4</v>
      </c>
      <c r="J34" s="11" t="n">
        <v>1</v>
      </c>
    </row>
    <row r="35" customFormat="false" ht="15" hidden="false" customHeight="false" outlineLevel="0" collapsed="false">
      <c r="A35" s="4" t="s">
        <v>3958</v>
      </c>
      <c r="B35" s="6" t="n">
        <v>45888</v>
      </c>
      <c r="C35" s="4" t="s">
        <v>1343</v>
      </c>
      <c r="D35" s="4" t="s">
        <v>3938</v>
      </c>
      <c r="E35" s="4" t="s">
        <v>22</v>
      </c>
      <c r="F35" s="4" t="s">
        <v>3923</v>
      </c>
      <c r="G35" s="4" t="s">
        <v>3254</v>
      </c>
      <c r="H35" s="8" t="n">
        <v>18.2</v>
      </c>
      <c r="I35" s="8" t="n">
        <v>70.1</v>
      </c>
      <c r="J35" s="11" t="n">
        <v>4</v>
      </c>
    </row>
    <row r="36" customFormat="false" ht="15" hidden="false" customHeight="false" outlineLevel="0" collapsed="false">
      <c r="A36" s="4" t="s">
        <v>3959</v>
      </c>
      <c r="B36" s="6" t="n">
        <v>46067</v>
      </c>
      <c r="C36" s="4" t="s">
        <v>759</v>
      </c>
      <c r="D36" s="4" t="s">
        <v>3928</v>
      </c>
      <c r="E36" s="4" t="s">
        <v>16</v>
      </c>
      <c r="F36" s="4" t="s">
        <v>3918</v>
      </c>
      <c r="G36" s="4" t="s">
        <v>3274</v>
      </c>
      <c r="H36" s="8" t="n">
        <v>19.9</v>
      </c>
      <c r="I36" s="8" t="n">
        <v>183.6</v>
      </c>
      <c r="J36" s="11" t="n">
        <v>2</v>
      </c>
    </row>
    <row r="37" customFormat="false" ht="15" hidden="false" customHeight="false" outlineLevel="0" collapsed="false">
      <c r="A37" s="4" t="s">
        <v>3960</v>
      </c>
      <c r="B37" s="6" t="n">
        <v>46086</v>
      </c>
      <c r="C37" s="4" t="s">
        <v>1461</v>
      </c>
      <c r="D37" s="4" t="s">
        <v>3938</v>
      </c>
      <c r="E37" s="4" t="s">
        <v>10</v>
      </c>
      <c r="F37" s="4" t="s">
        <v>3923</v>
      </c>
      <c r="G37" s="4" t="s">
        <v>3212</v>
      </c>
      <c r="H37" s="8" t="n">
        <v>4.6</v>
      </c>
      <c r="I37" s="8" t="n">
        <v>8.9</v>
      </c>
      <c r="J37" s="11" t="n">
        <v>2</v>
      </c>
    </row>
    <row r="38" customFormat="false" ht="15" hidden="false" customHeight="false" outlineLevel="0" collapsed="false">
      <c r="A38" s="4" t="s">
        <v>3961</v>
      </c>
      <c r="B38" s="6" t="n">
        <v>46076</v>
      </c>
      <c r="C38" s="4" t="s">
        <v>1433</v>
      </c>
      <c r="D38" s="4" t="s">
        <v>3928</v>
      </c>
      <c r="E38" s="4" t="s">
        <v>16</v>
      </c>
      <c r="F38" s="4" t="s">
        <v>3921</v>
      </c>
      <c r="G38" s="4" t="s">
        <v>3168</v>
      </c>
      <c r="H38" s="8" t="n">
        <v>14.7</v>
      </c>
      <c r="I38" s="8" t="n">
        <v>41.6</v>
      </c>
      <c r="J38" s="11" t="n">
        <v>4</v>
      </c>
    </row>
    <row r="39" customFormat="false" ht="15" hidden="false" customHeight="false" outlineLevel="0" collapsed="false">
      <c r="A39" s="4" t="s">
        <v>3962</v>
      </c>
      <c r="B39" s="6" t="n">
        <v>45681</v>
      </c>
      <c r="C39" s="4" t="s">
        <v>1225</v>
      </c>
      <c r="D39" s="4" t="s">
        <v>3926</v>
      </c>
      <c r="E39" s="4" t="s">
        <v>10</v>
      </c>
      <c r="F39" s="4" t="s">
        <v>3929</v>
      </c>
      <c r="G39" s="4" t="s">
        <v>3454</v>
      </c>
      <c r="H39" s="8" t="n">
        <v>19</v>
      </c>
      <c r="I39" s="8" t="n">
        <v>94.7</v>
      </c>
      <c r="J39" s="11" t="n">
        <v>5</v>
      </c>
    </row>
    <row r="40" customFormat="false" ht="15" hidden="false" customHeight="false" outlineLevel="0" collapsed="false">
      <c r="A40" s="4" t="s">
        <v>3963</v>
      </c>
      <c r="B40" s="6" t="n">
        <v>46126</v>
      </c>
      <c r="C40" s="4" t="s">
        <v>841</v>
      </c>
      <c r="D40" s="4" t="s">
        <v>3917</v>
      </c>
      <c r="E40" s="4" t="s">
        <v>16</v>
      </c>
      <c r="F40" s="4" t="s">
        <v>3918</v>
      </c>
      <c r="G40" s="4" t="s">
        <v>3090</v>
      </c>
      <c r="H40" s="8" t="n">
        <v>11.4</v>
      </c>
      <c r="I40" s="8" t="n">
        <v>171.6</v>
      </c>
      <c r="J40" s="11" t="n">
        <v>2</v>
      </c>
    </row>
    <row r="41" customFormat="false" ht="15" hidden="false" customHeight="false" outlineLevel="0" collapsed="false">
      <c r="A41" s="4" t="s">
        <v>3964</v>
      </c>
      <c r="B41" s="6" t="n">
        <v>45958</v>
      </c>
      <c r="C41" s="4" t="s">
        <v>529</v>
      </c>
      <c r="D41" s="4" t="s">
        <v>3928</v>
      </c>
      <c r="E41" s="4" t="s">
        <v>22</v>
      </c>
      <c r="F41" s="4" t="s">
        <v>3918</v>
      </c>
      <c r="G41" s="4" t="s">
        <v>3106</v>
      </c>
      <c r="H41" s="8" t="n">
        <v>13.9</v>
      </c>
      <c r="I41" s="8" t="n">
        <v>111.3</v>
      </c>
      <c r="J41" s="11" t="n">
        <v>5</v>
      </c>
    </row>
    <row r="42" customFormat="false" ht="15" hidden="false" customHeight="false" outlineLevel="0" collapsed="false">
      <c r="A42" s="4" t="s">
        <v>3965</v>
      </c>
      <c r="B42" s="6" t="n">
        <v>45839</v>
      </c>
      <c r="C42" s="4" t="s">
        <v>1461</v>
      </c>
      <c r="D42" s="4" t="s">
        <v>3938</v>
      </c>
      <c r="E42" s="4" t="s">
        <v>28</v>
      </c>
      <c r="F42" s="4" t="s">
        <v>3918</v>
      </c>
      <c r="G42" s="4" t="s">
        <v>3258</v>
      </c>
      <c r="H42" s="8" t="n">
        <v>15.4</v>
      </c>
      <c r="I42" s="8" t="n">
        <v>193.3</v>
      </c>
      <c r="J42" s="11" t="n">
        <v>3</v>
      </c>
    </row>
    <row r="43" customFormat="false" ht="15" hidden="false" customHeight="false" outlineLevel="0" collapsed="false">
      <c r="A43" s="4" t="s">
        <v>3966</v>
      </c>
      <c r="B43" s="6" t="n">
        <v>46131</v>
      </c>
      <c r="C43" s="4" t="s">
        <v>1203</v>
      </c>
      <c r="D43" s="4" t="s">
        <v>3928</v>
      </c>
      <c r="E43" s="4" t="s">
        <v>16</v>
      </c>
      <c r="F43" s="4" t="s">
        <v>3918</v>
      </c>
      <c r="G43" s="4" t="s">
        <v>2996</v>
      </c>
      <c r="H43" s="8" t="n">
        <v>18</v>
      </c>
      <c r="I43" s="8" t="n">
        <v>164.3</v>
      </c>
      <c r="J43" s="11" t="n">
        <v>4</v>
      </c>
    </row>
    <row r="44" customFormat="false" ht="15" hidden="false" customHeight="false" outlineLevel="0" collapsed="false">
      <c r="A44" s="4" t="s">
        <v>3967</v>
      </c>
      <c r="B44" s="6" t="n">
        <v>45730</v>
      </c>
      <c r="C44" s="4" t="s">
        <v>1265</v>
      </c>
      <c r="D44" s="4" t="s">
        <v>3938</v>
      </c>
      <c r="E44" s="4" t="s">
        <v>28</v>
      </c>
      <c r="F44" s="4" t="s">
        <v>3923</v>
      </c>
      <c r="G44" s="4" t="s">
        <v>3492</v>
      </c>
      <c r="H44" s="8" t="n">
        <v>6.3</v>
      </c>
      <c r="I44" s="8" t="n">
        <v>172.4</v>
      </c>
      <c r="J44" s="11" t="n">
        <v>1</v>
      </c>
    </row>
    <row r="45" customFormat="false" ht="15" hidden="false" customHeight="false" outlineLevel="0" collapsed="false">
      <c r="A45" s="4" t="s">
        <v>3968</v>
      </c>
      <c r="B45" s="6" t="n">
        <v>46150</v>
      </c>
      <c r="C45" s="4" t="s">
        <v>1311</v>
      </c>
      <c r="D45" s="4" t="s">
        <v>3928</v>
      </c>
      <c r="E45" s="4" t="s">
        <v>10</v>
      </c>
      <c r="F45" s="4" t="s">
        <v>3923</v>
      </c>
      <c r="G45" s="4" t="s">
        <v>3150</v>
      </c>
      <c r="H45" s="8" t="n">
        <v>19.5</v>
      </c>
      <c r="I45" s="8" t="n">
        <v>199.1</v>
      </c>
      <c r="J45" s="11" t="n">
        <v>1</v>
      </c>
    </row>
    <row r="46" customFormat="false" ht="15" hidden="false" customHeight="false" outlineLevel="0" collapsed="false">
      <c r="A46" s="4" t="s">
        <v>3969</v>
      </c>
      <c r="B46" s="6" t="n">
        <v>46181</v>
      </c>
      <c r="C46" s="4" t="s">
        <v>1109</v>
      </c>
      <c r="D46" s="4" t="s">
        <v>3938</v>
      </c>
      <c r="E46" s="4" t="s">
        <v>22</v>
      </c>
      <c r="F46" s="4" t="s">
        <v>3923</v>
      </c>
      <c r="G46" s="4" t="s">
        <v>3220</v>
      </c>
      <c r="H46" s="8" t="n">
        <v>18.9</v>
      </c>
      <c r="I46" s="8" t="n">
        <v>26.7</v>
      </c>
      <c r="J46" s="11" t="n">
        <v>3</v>
      </c>
    </row>
    <row r="47" customFormat="false" ht="15" hidden="false" customHeight="false" outlineLevel="0" collapsed="false">
      <c r="A47" s="4" t="s">
        <v>3970</v>
      </c>
      <c r="B47" s="6" t="n">
        <v>46033</v>
      </c>
      <c r="C47" s="4" t="s">
        <v>887</v>
      </c>
      <c r="D47" s="4" t="s">
        <v>3920</v>
      </c>
      <c r="E47" s="4" t="s">
        <v>10</v>
      </c>
      <c r="F47" s="4" t="s">
        <v>3918</v>
      </c>
      <c r="G47" s="4" t="s">
        <v>3074</v>
      </c>
      <c r="H47" s="8" t="n">
        <v>21.9</v>
      </c>
      <c r="I47" s="8" t="n">
        <v>191.3</v>
      </c>
      <c r="J47" s="11" t="n">
        <v>2</v>
      </c>
    </row>
    <row r="48" customFormat="false" ht="15" hidden="false" customHeight="false" outlineLevel="0" collapsed="false">
      <c r="A48" s="4" t="s">
        <v>3971</v>
      </c>
      <c r="B48" s="6" t="n">
        <v>45995</v>
      </c>
      <c r="C48" s="4" t="s">
        <v>1121</v>
      </c>
      <c r="D48" s="4" t="s">
        <v>3928</v>
      </c>
      <c r="E48" s="4" t="s">
        <v>22</v>
      </c>
      <c r="F48" s="4" t="s">
        <v>3921</v>
      </c>
      <c r="G48" s="4" t="s">
        <v>3236</v>
      </c>
      <c r="H48" s="8" t="n">
        <v>21.6</v>
      </c>
      <c r="I48" s="8" t="n">
        <v>119</v>
      </c>
      <c r="J48" s="11" t="n">
        <v>2</v>
      </c>
    </row>
    <row r="49" customFormat="false" ht="15" hidden="false" customHeight="false" outlineLevel="0" collapsed="false">
      <c r="A49" s="4" t="s">
        <v>3972</v>
      </c>
      <c r="B49" s="6" t="n">
        <v>45960</v>
      </c>
      <c r="C49" s="4" t="s">
        <v>1169</v>
      </c>
      <c r="D49" s="4" t="s">
        <v>3938</v>
      </c>
      <c r="E49" s="4" t="s">
        <v>22</v>
      </c>
      <c r="F49" s="4" t="s">
        <v>3929</v>
      </c>
      <c r="G49" s="4" t="s">
        <v>3170</v>
      </c>
      <c r="H49" s="8" t="n">
        <v>18.9</v>
      </c>
      <c r="I49" s="8" t="n">
        <v>168.5</v>
      </c>
      <c r="J49" s="11" t="n">
        <v>5</v>
      </c>
    </row>
    <row r="50" customFormat="false" ht="15" hidden="false" customHeight="false" outlineLevel="0" collapsed="false">
      <c r="A50" s="4" t="s">
        <v>3973</v>
      </c>
      <c r="B50" s="6" t="n">
        <v>45801</v>
      </c>
      <c r="C50" s="4" t="s">
        <v>615</v>
      </c>
      <c r="D50" s="4" t="s">
        <v>3926</v>
      </c>
      <c r="E50" s="4" t="s">
        <v>22</v>
      </c>
      <c r="F50" s="4" t="s">
        <v>3921</v>
      </c>
      <c r="G50" s="4" t="s">
        <v>3148</v>
      </c>
      <c r="H50" s="8" t="n">
        <v>0.7</v>
      </c>
      <c r="I50" s="8" t="n">
        <v>211.5</v>
      </c>
      <c r="J50" s="11" t="n">
        <v>5</v>
      </c>
    </row>
    <row r="51" customFormat="false" ht="15" hidden="false" customHeight="false" outlineLevel="0" collapsed="false">
      <c r="A51" s="4" t="s">
        <v>3974</v>
      </c>
      <c r="B51" s="6" t="n">
        <v>45972</v>
      </c>
      <c r="C51" s="4" t="s">
        <v>1431</v>
      </c>
      <c r="D51" s="4" t="s">
        <v>3917</v>
      </c>
      <c r="E51" s="4" t="s">
        <v>22</v>
      </c>
      <c r="F51" s="4" t="s">
        <v>3929</v>
      </c>
      <c r="G51" s="4" t="s">
        <v>3292</v>
      </c>
      <c r="H51" s="8" t="n">
        <v>15.3</v>
      </c>
      <c r="I51" s="8" t="n">
        <v>115.1</v>
      </c>
      <c r="J51" s="11" t="n">
        <v>4</v>
      </c>
    </row>
    <row r="52" customFormat="false" ht="15" hidden="false" customHeight="false" outlineLevel="0" collapsed="false">
      <c r="A52" s="4" t="s">
        <v>3975</v>
      </c>
      <c r="B52" s="6" t="n">
        <v>45789</v>
      </c>
      <c r="C52" s="4" t="s">
        <v>615</v>
      </c>
      <c r="D52" s="4" t="s">
        <v>3926</v>
      </c>
      <c r="E52" s="4" t="s">
        <v>22</v>
      </c>
      <c r="F52" s="4" t="s">
        <v>3918</v>
      </c>
      <c r="G52" s="4" t="s">
        <v>3150</v>
      </c>
      <c r="H52" s="8" t="n">
        <v>20.6</v>
      </c>
      <c r="I52" s="8" t="n">
        <v>63.2</v>
      </c>
      <c r="J52" s="11" t="n">
        <v>2</v>
      </c>
    </row>
    <row r="53" customFormat="false" ht="15" hidden="false" customHeight="false" outlineLevel="0" collapsed="false">
      <c r="A53" s="4" t="s">
        <v>3976</v>
      </c>
      <c r="B53" s="6" t="n">
        <v>45968</v>
      </c>
      <c r="C53" s="4" t="s">
        <v>615</v>
      </c>
      <c r="D53" s="4" t="s">
        <v>3926</v>
      </c>
      <c r="E53" s="4" t="s">
        <v>10</v>
      </c>
      <c r="F53" s="4" t="s">
        <v>3918</v>
      </c>
      <c r="G53" s="4" t="s">
        <v>3003</v>
      </c>
      <c r="H53" s="8" t="n">
        <v>6.3</v>
      </c>
      <c r="I53" s="8" t="n">
        <v>173.6</v>
      </c>
      <c r="J53" s="11" t="n">
        <v>5</v>
      </c>
    </row>
    <row r="54" customFormat="false" ht="15" hidden="false" customHeight="false" outlineLevel="0" collapsed="false">
      <c r="A54" s="4" t="s">
        <v>3977</v>
      </c>
      <c r="B54" s="6" t="n">
        <v>45832</v>
      </c>
      <c r="C54" s="4" t="s">
        <v>1459</v>
      </c>
      <c r="D54" s="4" t="s">
        <v>3920</v>
      </c>
      <c r="E54" s="4" t="s">
        <v>28</v>
      </c>
      <c r="F54" s="4" t="s">
        <v>3923</v>
      </c>
      <c r="G54" s="4" t="s">
        <v>3330</v>
      </c>
      <c r="H54" s="8" t="n">
        <v>3.8</v>
      </c>
      <c r="I54" s="8" t="n">
        <v>204.9</v>
      </c>
      <c r="J54" s="11" t="n">
        <v>3</v>
      </c>
    </row>
    <row r="55" customFormat="false" ht="15" hidden="false" customHeight="false" outlineLevel="0" collapsed="false">
      <c r="A55" s="4" t="s">
        <v>3978</v>
      </c>
      <c r="B55" s="6" t="n">
        <v>46154</v>
      </c>
      <c r="C55" s="4" t="s">
        <v>1127</v>
      </c>
      <c r="D55" s="4" t="s">
        <v>3917</v>
      </c>
      <c r="E55" s="4" t="s">
        <v>22</v>
      </c>
      <c r="F55" s="4" t="s">
        <v>3923</v>
      </c>
      <c r="G55" s="4" t="s">
        <v>3446</v>
      </c>
      <c r="H55" s="8" t="n">
        <v>12.7</v>
      </c>
      <c r="I55" s="8" t="n">
        <v>43.7</v>
      </c>
      <c r="J55" s="11" t="n">
        <v>4</v>
      </c>
    </row>
    <row r="56" customFormat="false" ht="15" hidden="false" customHeight="false" outlineLevel="0" collapsed="false">
      <c r="A56" s="4" t="s">
        <v>3979</v>
      </c>
      <c r="B56" s="6" t="n">
        <v>46008</v>
      </c>
      <c r="C56" s="4" t="s">
        <v>695</v>
      </c>
      <c r="D56" s="4" t="s">
        <v>3920</v>
      </c>
      <c r="E56" s="4" t="s">
        <v>10</v>
      </c>
      <c r="F56" s="4" t="s">
        <v>3921</v>
      </c>
      <c r="G56" s="4" t="s">
        <v>3106</v>
      </c>
      <c r="H56" s="8" t="n">
        <v>5.5</v>
      </c>
      <c r="I56" s="8" t="n">
        <v>68.2</v>
      </c>
      <c r="J56" s="11" t="n">
        <v>1</v>
      </c>
    </row>
    <row r="57" customFormat="false" ht="15" hidden="false" customHeight="false" outlineLevel="0" collapsed="false">
      <c r="A57" s="4" t="s">
        <v>3980</v>
      </c>
      <c r="B57" s="6" t="n">
        <v>46168</v>
      </c>
      <c r="C57" s="4" t="s">
        <v>935</v>
      </c>
      <c r="D57" s="4" t="s">
        <v>3926</v>
      </c>
      <c r="E57" s="4" t="s">
        <v>16</v>
      </c>
      <c r="F57" s="4" t="s">
        <v>3929</v>
      </c>
      <c r="G57" s="4" t="s">
        <v>3468</v>
      </c>
      <c r="H57" s="8" t="n">
        <v>15.4</v>
      </c>
      <c r="I57" s="8" t="n">
        <v>4.9</v>
      </c>
      <c r="J57" s="11" t="n">
        <v>5</v>
      </c>
    </row>
    <row r="58" customFormat="false" ht="15" hidden="false" customHeight="false" outlineLevel="0" collapsed="false">
      <c r="A58" s="4" t="s">
        <v>3981</v>
      </c>
      <c r="B58" s="6" t="n">
        <v>46030</v>
      </c>
      <c r="C58" s="4" t="s">
        <v>1145</v>
      </c>
      <c r="D58" s="4" t="s">
        <v>3928</v>
      </c>
      <c r="E58" s="4" t="s">
        <v>16</v>
      </c>
      <c r="F58" s="4" t="s">
        <v>3918</v>
      </c>
      <c r="G58" s="4" t="s">
        <v>3206</v>
      </c>
      <c r="H58" s="8" t="n">
        <v>15.1</v>
      </c>
      <c r="I58" s="8" t="n">
        <v>228.6</v>
      </c>
      <c r="J58" s="11" t="n">
        <v>5</v>
      </c>
    </row>
    <row r="59" customFormat="false" ht="15" hidden="false" customHeight="false" outlineLevel="0" collapsed="false">
      <c r="A59" s="4" t="s">
        <v>3982</v>
      </c>
      <c r="B59" s="6" t="n">
        <v>46205</v>
      </c>
      <c r="C59" s="4" t="s">
        <v>1331</v>
      </c>
      <c r="D59" s="4" t="s">
        <v>3926</v>
      </c>
      <c r="E59" s="4" t="s">
        <v>10</v>
      </c>
      <c r="F59" s="4" t="s">
        <v>3929</v>
      </c>
      <c r="G59" s="4" t="s">
        <v>3448</v>
      </c>
      <c r="H59" s="8" t="n">
        <v>2</v>
      </c>
      <c r="I59" s="8" t="n">
        <v>191.9</v>
      </c>
      <c r="J59" s="11" t="n">
        <v>4</v>
      </c>
    </row>
    <row r="60" customFormat="false" ht="15" hidden="false" customHeight="false" outlineLevel="0" collapsed="false">
      <c r="A60" s="4" t="s">
        <v>3983</v>
      </c>
      <c r="B60" s="6" t="n">
        <v>45920</v>
      </c>
      <c r="C60" s="4" t="s">
        <v>1281</v>
      </c>
      <c r="D60" s="4" t="s">
        <v>3917</v>
      </c>
      <c r="E60" s="4" t="s">
        <v>16</v>
      </c>
      <c r="F60" s="4" t="s">
        <v>3918</v>
      </c>
      <c r="G60" s="4" t="s">
        <v>3354</v>
      </c>
      <c r="H60" s="8" t="n">
        <v>22.5</v>
      </c>
      <c r="I60" s="8" t="n">
        <v>206.1</v>
      </c>
      <c r="J60" s="11" t="n">
        <v>2</v>
      </c>
    </row>
    <row r="61" customFormat="false" ht="15" hidden="false" customHeight="false" outlineLevel="0" collapsed="false">
      <c r="A61" s="4" t="s">
        <v>3984</v>
      </c>
      <c r="B61" s="6" t="n">
        <v>45699</v>
      </c>
      <c r="C61" s="4" t="s">
        <v>1087</v>
      </c>
      <c r="D61" s="4" t="s">
        <v>3920</v>
      </c>
      <c r="E61" s="4" t="s">
        <v>28</v>
      </c>
      <c r="F61" s="4" t="s">
        <v>3918</v>
      </c>
      <c r="G61" s="4" t="s">
        <v>3284</v>
      </c>
      <c r="H61" s="8" t="n">
        <v>6.7</v>
      </c>
      <c r="I61" s="8" t="n">
        <v>178.9</v>
      </c>
      <c r="J61" s="11" t="n">
        <v>1</v>
      </c>
    </row>
    <row r="62" customFormat="false" ht="15" hidden="false" customHeight="false" outlineLevel="0" collapsed="false">
      <c r="A62" s="4" t="s">
        <v>3985</v>
      </c>
      <c r="B62" s="6" t="n">
        <v>45720</v>
      </c>
      <c r="C62" s="4" t="s">
        <v>677</v>
      </c>
      <c r="D62" s="4" t="s">
        <v>3917</v>
      </c>
      <c r="E62" s="4" t="s">
        <v>16</v>
      </c>
      <c r="F62" s="4" t="s">
        <v>3929</v>
      </c>
      <c r="G62" s="4" t="s">
        <v>3126</v>
      </c>
      <c r="H62" s="8" t="n">
        <v>14.1</v>
      </c>
      <c r="I62" s="8" t="n">
        <v>140.3</v>
      </c>
      <c r="J62" s="11" t="n">
        <v>4</v>
      </c>
    </row>
    <row r="63" customFormat="false" ht="15" hidden="false" customHeight="false" outlineLevel="0" collapsed="false">
      <c r="A63" s="4" t="s">
        <v>3986</v>
      </c>
      <c r="B63" s="6" t="n">
        <v>45984</v>
      </c>
      <c r="C63" s="4" t="s">
        <v>1273</v>
      </c>
      <c r="D63" s="4" t="s">
        <v>3928</v>
      </c>
      <c r="E63" s="4" t="s">
        <v>10</v>
      </c>
      <c r="F63" s="4" t="s">
        <v>3921</v>
      </c>
      <c r="G63" s="4" t="s">
        <v>3102</v>
      </c>
      <c r="H63" s="8" t="n">
        <v>11.5</v>
      </c>
      <c r="I63" s="8" t="n">
        <v>107.2</v>
      </c>
      <c r="J63" s="11" t="n">
        <v>4</v>
      </c>
    </row>
    <row r="64" customFormat="false" ht="15" hidden="false" customHeight="false" outlineLevel="0" collapsed="false">
      <c r="A64" s="4" t="s">
        <v>3987</v>
      </c>
      <c r="B64" s="6" t="n">
        <v>45878</v>
      </c>
      <c r="C64" s="4" t="s">
        <v>1077</v>
      </c>
      <c r="D64" s="4" t="s">
        <v>3938</v>
      </c>
      <c r="E64" s="4" t="s">
        <v>16</v>
      </c>
      <c r="F64" s="4" t="s">
        <v>3921</v>
      </c>
      <c r="G64" s="4" t="s">
        <v>3154</v>
      </c>
      <c r="H64" s="8" t="n">
        <v>13.7</v>
      </c>
      <c r="I64" s="8" t="n">
        <v>140.4</v>
      </c>
      <c r="J64" s="11" t="n">
        <v>1</v>
      </c>
    </row>
    <row r="65" customFormat="false" ht="15" hidden="false" customHeight="false" outlineLevel="0" collapsed="false">
      <c r="A65" s="4" t="s">
        <v>3988</v>
      </c>
      <c r="B65" s="6" t="n">
        <v>46125</v>
      </c>
      <c r="C65" s="4" t="s">
        <v>446</v>
      </c>
      <c r="D65" s="4" t="s">
        <v>3920</v>
      </c>
      <c r="E65" s="4" t="s">
        <v>28</v>
      </c>
      <c r="F65" s="4" t="s">
        <v>3918</v>
      </c>
      <c r="G65" s="4" t="s">
        <v>3388</v>
      </c>
      <c r="H65" s="8" t="n">
        <v>9.8</v>
      </c>
      <c r="I65" s="8" t="n">
        <v>66.4</v>
      </c>
      <c r="J65" s="11" t="n">
        <v>2</v>
      </c>
    </row>
    <row r="66" customFormat="false" ht="15" hidden="false" customHeight="false" outlineLevel="0" collapsed="false">
      <c r="A66" s="4" t="s">
        <v>3989</v>
      </c>
      <c r="B66" s="6" t="n">
        <v>46184</v>
      </c>
      <c r="C66" s="4" t="s">
        <v>755</v>
      </c>
      <c r="D66" s="4" t="s">
        <v>3920</v>
      </c>
      <c r="E66" s="4" t="s">
        <v>22</v>
      </c>
      <c r="F66" s="4" t="s">
        <v>3923</v>
      </c>
      <c r="G66" s="4" t="s">
        <v>3136</v>
      </c>
      <c r="H66" s="8" t="n">
        <v>20.8</v>
      </c>
      <c r="I66" s="8" t="n">
        <v>61.3</v>
      </c>
      <c r="J66" s="11" t="n">
        <v>3</v>
      </c>
    </row>
    <row r="67" customFormat="false" ht="15" hidden="false" customHeight="false" outlineLevel="0" collapsed="false">
      <c r="A67" s="4" t="s">
        <v>3990</v>
      </c>
      <c r="B67" s="6" t="n">
        <v>45772</v>
      </c>
      <c r="C67" s="4" t="s">
        <v>1239</v>
      </c>
      <c r="D67" s="4" t="s">
        <v>3917</v>
      </c>
      <c r="E67" s="4" t="s">
        <v>22</v>
      </c>
      <c r="F67" s="4" t="s">
        <v>3923</v>
      </c>
      <c r="G67" s="4" t="s">
        <v>3250</v>
      </c>
      <c r="H67" s="8" t="n">
        <v>0.3</v>
      </c>
      <c r="I67" s="8" t="n">
        <v>214.6</v>
      </c>
      <c r="J67" s="11" t="n">
        <v>5</v>
      </c>
    </row>
    <row r="68" customFormat="false" ht="15" hidden="false" customHeight="false" outlineLevel="0" collapsed="false">
      <c r="A68" s="4" t="s">
        <v>3991</v>
      </c>
      <c r="B68" s="6" t="n">
        <v>45825</v>
      </c>
      <c r="C68" s="4" t="s">
        <v>647</v>
      </c>
      <c r="D68" s="4" t="s">
        <v>3928</v>
      </c>
      <c r="E68" s="4" t="s">
        <v>28</v>
      </c>
      <c r="F68" s="4" t="s">
        <v>3923</v>
      </c>
      <c r="G68" s="4" t="s">
        <v>3390</v>
      </c>
      <c r="H68" s="8" t="n">
        <v>10.4</v>
      </c>
      <c r="I68" s="8" t="n">
        <v>74.5</v>
      </c>
      <c r="J68" s="11" t="n">
        <v>4</v>
      </c>
    </row>
    <row r="69" customFormat="false" ht="15" hidden="false" customHeight="false" outlineLevel="0" collapsed="false">
      <c r="A69" s="4" t="s">
        <v>3992</v>
      </c>
      <c r="B69" s="6" t="n">
        <v>45856</v>
      </c>
      <c r="C69" s="4" t="s">
        <v>1261</v>
      </c>
      <c r="D69" s="4" t="s">
        <v>3928</v>
      </c>
      <c r="E69" s="4" t="s">
        <v>22</v>
      </c>
      <c r="F69" s="4" t="s">
        <v>3918</v>
      </c>
      <c r="G69" s="4" t="s">
        <v>3392</v>
      </c>
      <c r="H69" s="8" t="n">
        <v>5.6</v>
      </c>
      <c r="I69" s="8" t="n">
        <v>75.1</v>
      </c>
      <c r="J69" s="11" t="n">
        <v>3</v>
      </c>
    </row>
    <row r="70" customFormat="false" ht="15" hidden="false" customHeight="false" outlineLevel="0" collapsed="false">
      <c r="A70" s="4" t="s">
        <v>3993</v>
      </c>
      <c r="B70" s="6" t="n">
        <v>45763</v>
      </c>
      <c r="C70" s="4" t="s">
        <v>1165</v>
      </c>
      <c r="D70" s="4" t="s">
        <v>3920</v>
      </c>
      <c r="E70" s="4" t="s">
        <v>22</v>
      </c>
      <c r="F70" s="4" t="s">
        <v>3923</v>
      </c>
      <c r="G70" s="4" t="s">
        <v>3476</v>
      </c>
      <c r="H70" s="8" t="n">
        <v>14.7</v>
      </c>
      <c r="I70" s="8" t="n">
        <v>137.9</v>
      </c>
      <c r="J70" s="11" t="n">
        <v>2</v>
      </c>
    </row>
    <row r="71" customFormat="false" ht="15" hidden="false" customHeight="false" outlineLevel="0" collapsed="false">
      <c r="A71" s="4" t="s">
        <v>3994</v>
      </c>
      <c r="B71" s="6" t="n">
        <v>45854</v>
      </c>
      <c r="C71" s="4" t="s">
        <v>1249</v>
      </c>
      <c r="D71" s="4" t="s">
        <v>3938</v>
      </c>
      <c r="E71" s="4" t="s">
        <v>22</v>
      </c>
      <c r="F71" s="4" t="s">
        <v>3918</v>
      </c>
      <c r="G71" s="4" t="s">
        <v>3404</v>
      </c>
      <c r="H71" s="8" t="n">
        <v>4.2</v>
      </c>
      <c r="I71" s="8" t="n">
        <v>39.6</v>
      </c>
      <c r="J71" s="11" t="n">
        <v>2</v>
      </c>
    </row>
    <row r="72" customFormat="false" ht="15" hidden="false" customHeight="false" outlineLevel="0" collapsed="false">
      <c r="A72" s="4" t="s">
        <v>3995</v>
      </c>
      <c r="B72" s="6" t="n">
        <v>46084</v>
      </c>
      <c r="C72" s="4" t="s">
        <v>1263</v>
      </c>
      <c r="D72" s="4" t="s">
        <v>3920</v>
      </c>
      <c r="E72" s="4" t="s">
        <v>22</v>
      </c>
      <c r="F72" s="4" t="s">
        <v>3923</v>
      </c>
      <c r="G72" s="4" t="s">
        <v>3118</v>
      </c>
      <c r="H72" s="8" t="n">
        <v>22.4</v>
      </c>
      <c r="I72" s="8" t="n">
        <v>114.3</v>
      </c>
      <c r="J72" s="11" t="n">
        <v>3</v>
      </c>
    </row>
    <row r="73" customFormat="false" ht="15" hidden="false" customHeight="false" outlineLevel="0" collapsed="false">
      <c r="A73" s="4" t="s">
        <v>3996</v>
      </c>
      <c r="B73" s="6" t="n">
        <v>45971</v>
      </c>
      <c r="C73" s="4" t="s">
        <v>805</v>
      </c>
      <c r="D73" s="4" t="s">
        <v>3920</v>
      </c>
      <c r="E73" s="4" t="s">
        <v>22</v>
      </c>
      <c r="F73" s="4" t="s">
        <v>3918</v>
      </c>
      <c r="G73" s="4" t="s">
        <v>3426</v>
      </c>
      <c r="H73" s="8" t="n">
        <v>17.9</v>
      </c>
      <c r="I73" s="8" t="n">
        <v>109</v>
      </c>
      <c r="J73" s="11" t="n">
        <v>4</v>
      </c>
    </row>
    <row r="74" customFormat="false" ht="15" hidden="false" customHeight="false" outlineLevel="0" collapsed="false">
      <c r="A74" s="4" t="s">
        <v>3997</v>
      </c>
      <c r="B74" s="6" t="n">
        <v>45663</v>
      </c>
      <c r="C74" s="4" t="s">
        <v>1245</v>
      </c>
      <c r="D74" s="4" t="s">
        <v>3938</v>
      </c>
      <c r="E74" s="4" t="s">
        <v>28</v>
      </c>
      <c r="F74" s="4" t="s">
        <v>3923</v>
      </c>
      <c r="G74" s="4" t="s">
        <v>3030</v>
      </c>
      <c r="H74" s="8" t="n">
        <v>23.3</v>
      </c>
      <c r="I74" s="8" t="n">
        <v>86.2</v>
      </c>
      <c r="J74" s="11" t="n">
        <v>2</v>
      </c>
    </row>
    <row r="75" customFormat="false" ht="15" hidden="false" customHeight="false" outlineLevel="0" collapsed="false">
      <c r="A75" s="4" t="s">
        <v>3998</v>
      </c>
      <c r="B75" s="6" t="n">
        <v>45677</v>
      </c>
      <c r="C75" s="4" t="s">
        <v>1303</v>
      </c>
      <c r="D75" s="4" t="s">
        <v>3917</v>
      </c>
      <c r="E75" s="4" t="s">
        <v>28</v>
      </c>
      <c r="F75" s="4" t="s">
        <v>3929</v>
      </c>
      <c r="G75" s="4" t="s">
        <v>3108</v>
      </c>
      <c r="H75" s="8" t="n">
        <v>15.9</v>
      </c>
      <c r="I75" s="8" t="n">
        <v>62.9</v>
      </c>
      <c r="J75" s="11" t="n">
        <v>3</v>
      </c>
    </row>
    <row r="76" customFormat="false" ht="15" hidden="false" customHeight="false" outlineLevel="0" collapsed="false">
      <c r="A76" s="4" t="s">
        <v>3999</v>
      </c>
      <c r="B76" s="6" t="n">
        <v>46095</v>
      </c>
      <c r="C76" s="4" t="s">
        <v>1273</v>
      </c>
      <c r="D76" s="4" t="s">
        <v>3938</v>
      </c>
      <c r="E76" s="4" t="s">
        <v>10</v>
      </c>
      <c r="F76" s="4" t="s">
        <v>3929</v>
      </c>
      <c r="G76" s="4" t="s">
        <v>3168</v>
      </c>
      <c r="H76" s="8" t="n">
        <v>13.4</v>
      </c>
      <c r="I76" s="8" t="n">
        <v>177.9</v>
      </c>
      <c r="J76" s="11" t="n">
        <v>2</v>
      </c>
    </row>
    <row r="77" customFormat="false" ht="15" hidden="false" customHeight="false" outlineLevel="0" collapsed="false">
      <c r="A77" s="4" t="s">
        <v>4000</v>
      </c>
      <c r="B77" s="6" t="n">
        <v>45767</v>
      </c>
      <c r="C77" s="4" t="s">
        <v>539</v>
      </c>
      <c r="D77" s="4" t="s">
        <v>3917</v>
      </c>
      <c r="E77" s="4" t="s">
        <v>28</v>
      </c>
      <c r="F77" s="4" t="s">
        <v>3929</v>
      </c>
      <c r="G77" s="4" t="s">
        <v>3084</v>
      </c>
      <c r="H77" s="8" t="n">
        <v>7.9</v>
      </c>
      <c r="I77" s="8" t="n">
        <v>116.2</v>
      </c>
      <c r="J77" s="11" t="n">
        <v>5</v>
      </c>
    </row>
    <row r="78" customFormat="false" ht="15" hidden="false" customHeight="false" outlineLevel="0" collapsed="false">
      <c r="A78" s="4" t="s">
        <v>4001</v>
      </c>
      <c r="B78" s="6" t="n">
        <v>46057</v>
      </c>
      <c r="C78" s="4" t="s">
        <v>1169</v>
      </c>
      <c r="D78" s="4" t="s">
        <v>3938</v>
      </c>
      <c r="E78" s="4" t="s">
        <v>28</v>
      </c>
      <c r="F78" s="4" t="s">
        <v>3921</v>
      </c>
      <c r="G78" s="4" t="s">
        <v>3128</v>
      </c>
      <c r="H78" s="8" t="n">
        <v>6.8</v>
      </c>
      <c r="I78" s="8" t="n">
        <v>146.4</v>
      </c>
      <c r="J78" s="11" t="n">
        <v>4</v>
      </c>
    </row>
    <row r="79" customFormat="false" ht="15" hidden="false" customHeight="false" outlineLevel="0" collapsed="false">
      <c r="A79" s="4" t="s">
        <v>4002</v>
      </c>
      <c r="B79" s="6" t="n">
        <v>45715</v>
      </c>
      <c r="C79" s="4" t="s">
        <v>1119</v>
      </c>
      <c r="D79" s="4" t="s">
        <v>3920</v>
      </c>
      <c r="E79" s="4" t="s">
        <v>10</v>
      </c>
      <c r="F79" s="4" t="s">
        <v>3921</v>
      </c>
      <c r="G79" s="4" t="s">
        <v>3142</v>
      </c>
      <c r="H79" s="8" t="n">
        <v>13</v>
      </c>
      <c r="I79" s="8" t="n">
        <v>106.3</v>
      </c>
      <c r="J79" s="11" t="n">
        <v>3</v>
      </c>
    </row>
    <row r="80" customFormat="false" ht="15" hidden="false" customHeight="false" outlineLevel="0" collapsed="false">
      <c r="A80" s="4" t="s">
        <v>4003</v>
      </c>
      <c r="B80" s="6" t="n">
        <v>45795</v>
      </c>
      <c r="C80" s="4" t="s">
        <v>1365</v>
      </c>
      <c r="D80" s="4" t="s">
        <v>3928</v>
      </c>
      <c r="E80" s="4" t="s">
        <v>10</v>
      </c>
      <c r="F80" s="4" t="s">
        <v>3923</v>
      </c>
      <c r="G80" s="4" t="s">
        <v>3168</v>
      </c>
      <c r="H80" s="8" t="n">
        <v>23.5</v>
      </c>
      <c r="I80" s="8" t="n">
        <v>176.3</v>
      </c>
      <c r="J80" s="11" t="n">
        <v>2</v>
      </c>
    </row>
    <row r="81" customFormat="false" ht="15" hidden="false" customHeight="false" outlineLevel="0" collapsed="false">
      <c r="A81" s="4" t="s">
        <v>4004</v>
      </c>
      <c r="B81" s="6" t="n">
        <v>45862</v>
      </c>
      <c r="C81" s="4" t="s">
        <v>1039</v>
      </c>
      <c r="D81" s="4" t="s">
        <v>3928</v>
      </c>
      <c r="E81" s="4" t="s">
        <v>16</v>
      </c>
      <c r="F81" s="4" t="s">
        <v>3929</v>
      </c>
      <c r="G81" s="4" t="s">
        <v>3226</v>
      </c>
      <c r="H81" s="8" t="n">
        <v>6</v>
      </c>
      <c r="I81" s="8" t="n">
        <v>138.3</v>
      </c>
      <c r="J81" s="11" t="n">
        <v>3</v>
      </c>
    </row>
    <row r="82" customFormat="false" ht="15" hidden="false" customHeight="false" outlineLevel="0" collapsed="false">
      <c r="A82" s="4" t="s">
        <v>4005</v>
      </c>
      <c r="B82" s="6" t="n">
        <v>45801</v>
      </c>
      <c r="C82" s="4" t="s">
        <v>1255</v>
      </c>
      <c r="D82" s="4" t="s">
        <v>3928</v>
      </c>
      <c r="E82" s="4" t="s">
        <v>22</v>
      </c>
      <c r="F82" s="4" t="s">
        <v>3921</v>
      </c>
      <c r="G82" s="4" t="s">
        <v>3446</v>
      </c>
      <c r="H82" s="8" t="n">
        <v>18.9</v>
      </c>
      <c r="I82" s="8" t="n">
        <v>171.3</v>
      </c>
      <c r="J82" s="11" t="n">
        <v>3</v>
      </c>
    </row>
    <row r="83" customFormat="false" ht="15" hidden="false" customHeight="false" outlineLevel="0" collapsed="false">
      <c r="A83" s="4" t="s">
        <v>4006</v>
      </c>
      <c r="B83" s="6" t="n">
        <v>45877</v>
      </c>
      <c r="C83" s="4" t="s">
        <v>653</v>
      </c>
      <c r="D83" s="4" t="s">
        <v>3920</v>
      </c>
      <c r="E83" s="4" t="s">
        <v>22</v>
      </c>
      <c r="F83" s="4" t="s">
        <v>3923</v>
      </c>
      <c r="G83" s="4" t="s">
        <v>3240</v>
      </c>
      <c r="H83" s="8" t="n">
        <v>5.5</v>
      </c>
      <c r="I83" s="8" t="n">
        <v>88.2</v>
      </c>
      <c r="J83" s="11" t="n">
        <v>2</v>
      </c>
    </row>
    <row r="84" customFormat="false" ht="15" hidden="false" customHeight="false" outlineLevel="0" collapsed="false">
      <c r="A84" s="4" t="s">
        <v>4007</v>
      </c>
      <c r="B84" s="6" t="n">
        <v>45681</v>
      </c>
      <c r="C84" s="4" t="s">
        <v>607</v>
      </c>
      <c r="D84" s="4" t="s">
        <v>3928</v>
      </c>
      <c r="E84" s="4" t="s">
        <v>22</v>
      </c>
      <c r="F84" s="4" t="s">
        <v>3929</v>
      </c>
      <c r="G84" s="4" t="s">
        <v>3330</v>
      </c>
      <c r="H84" s="8" t="n">
        <v>9.9</v>
      </c>
      <c r="I84" s="8" t="n">
        <v>96.3</v>
      </c>
      <c r="J84" s="11" t="n">
        <v>4</v>
      </c>
    </row>
    <row r="85" customFormat="false" ht="15" hidden="false" customHeight="false" outlineLevel="0" collapsed="false">
      <c r="A85" s="4" t="s">
        <v>4008</v>
      </c>
      <c r="B85" s="6" t="n">
        <v>46182</v>
      </c>
      <c r="C85" s="4" t="s">
        <v>847</v>
      </c>
      <c r="D85" s="4" t="s">
        <v>3928</v>
      </c>
      <c r="E85" s="4" t="s">
        <v>10</v>
      </c>
      <c r="F85" s="4" t="s">
        <v>3921</v>
      </c>
      <c r="G85" s="4" t="s">
        <v>3290</v>
      </c>
      <c r="H85" s="8" t="n">
        <v>10.5</v>
      </c>
      <c r="I85" s="8" t="n">
        <v>9.6</v>
      </c>
      <c r="J85" s="11" t="n">
        <v>5</v>
      </c>
    </row>
    <row r="86" customFormat="false" ht="15" hidden="false" customHeight="false" outlineLevel="0" collapsed="false">
      <c r="A86" s="4" t="s">
        <v>4009</v>
      </c>
      <c r="B86" s="6" t="n">
        <v>45947</v>
      </c>
      <c r="C86" s="4" t="s">
        <v>1053</v>
      </c>
      <c r="D86" s="4" t="s">
        <v>3920</v>
      </c>
      <c r="E86" s="4" t="s">
        <v>22</v>
      </c>
      <c r="F86" s="4" t="s">
        <v>3923</v>
      </c>
      <c r="G86" s="4" t="s">
        <v>3326</v>
      </c>
      <c r="H86" s="8" t="n">
        <v>1.7</v>
      </c>
      <c r="I86" s="8" t="n">
        <v>20</v>
      </c>
      <c r="J86" s="11" t="n">
        <v>1</v>
      </c>
    </row>
    <row r="87" customFormat="false" ht="15" hidden="false" customHeight="false" outlineLevel="0" collapsed="false">
      <c r="A87" s="4" t="s">
        <v>4010</v>
      </c>
      <c r="B87" s="6" t="n">
        <v>46183</v>
      </c>
      <c r="C87" s="4" t="s">
        <v>1331</v>
      </c>
      <c r="D87" s="4" t="s">
        <v>3928</v>
      </c>
      <c r="E87" s="4" t="s">
        <v>10</v>
      </c>
      <c r="F87" s="4" t="s">
        <v>3918</v>
      </c>
      <c r="G87" s="4" t="s">
        <v>3294</v>
      </c>
      <c r="H87" s="8" t="n">
        <v>22.1</v>
      </c>
      <c r="I87" s="8" t="n">
        <v>147.2</v>
      </c>
      <c r="J87" s="11" t="n">
        <v>2</v>
      </c>
    </row>
    <row r="88" customFormat="false" ht="15" hidden="false" customHeight="false" outlineLevel="0" collapsed="false">
      <c r="A88" s="4" t="s">
        <v>4011</v>
      </c>
      <c r="B88" s="6" t="n">
        <v>45941</v>
      </c>
      <c r="C88" s="4" t="s">
        <v>941</v>
      </c>
      <c r="D88" s="4" t="s">
        <v>3938</v>
      </c>
      <c r="E88" s="4" t="s">
        <v>10</v>
      </c>
      <c r="F88" s="4" t="s">
        <v>3923</v>
      </c>
      <c r="G88" s="4" t="s">
        <v>3456</v>
      </c>
      <c r="H88" s="8" t="n">
        <v>21.1</v>
      </c>
      <c r="I88" s="8" t="n">
        <v>177.9</v>
      </c>
      <c r="J88" s="11" t="n">
        <v>3</v>
      </c>
    </row>
    <row r="89" customFormat="false" ht="15" hidden="false" customHeight="false" outlineLevel="0" collapsed="false">
      <c r="A89" s="4" t="s">
        <v>4012</v>
      </c>
      <c r="B89" s="6" t="n">
        <v>46005</v>
      </c>
      <c r="C89" s="4" t="s">
        <v>929</v>
      </c>
      <c r="D89" s="4" t="s">
        <v>3926</v>
      </c>
      <c r="E89" s="4" t="s">
        <v>10</v>
      </c>
      <c r="F89" s="4" t="s">
        <v>3918</v>
      </c>
      <c r="G89" s="4" t="s">
        <v>3400</v>
      </c>
      <c r="H89" s="8" t="n">
        <v>16.7</v>
      </c>
      <c r="I89" s="8" t="n">
        <v>197.2</v>
      </c>
      <c r="J89" s="11" t="n">
        <v>4</v>
      </c>
    </row>
    <row r="90" customFormat="false" ht="15" hidden="false" customHeight="false" outlineLevel="0" collapsed="false">
      <c r="A90" s="4" t="s">
        <v>4013</v>
      </c>
      <c r="B90" s="6" t="n">
        <v>45958</v>
      </c>
      <c r="C90" s="4" t="s">
        <v>456</v>
      </c>
      <c r="D90" s="4" t="s">
        <v>3926</v>
      </c>
      <c r="E90" s="4" t="s">
        <v>10</v>
      </c>
      <c r="F90" s="4" t="s">
        <v>3923</v>
      </c>
      <c r="G90" s="4" t="s">
        <v>3426</v>
      </c>
      <c r="H90" s="8" t="n">
        <v>9.4</v>
      </c>
      <c r="I90" s="8" t="n">
        <v>4</v>
      </c>
      <c r="J90" s="11" t="n">
        <v>3</v>
      </c>
    </row>
    <row r="91" customFormat="false" ht="15" hidden="false" customHeight="false" outlineLevel="0" collapsed="false">
      <c r="A91" s="4" t="s">
        <v>4014</v>
      </c>
      <c r="B91" s="6" t="n">
        <v>45923</v>
      </c>
      <c r="C91" s="4" t="s">
        <v>1341</v>
      </c>
      <c r="D91" s="4" t="s">
        <v>3917</v>
      </c>
      <c r="E91" s="4" t="s">
        <v>28</v>
      </c>
      <c r="F91" s="4" t="s">
        <v>3918</v>
      </c>
      <c r="G91" s="4" t="s">
        <v>3300</v>
      </c>
      <c r="H91" s="8" t="n">
        <v>16.2</v>
      </c>
      <c r="I91" s="8" t="n">
        <v>79.7</v>
      </c>
      <c r="J91" s="11" t="n">
        <v>4</v>
      </c>
    </row>
    <row r="92" customFormat="false" ht="15" hidden="false" customHeight="false" outlineLevel="0" collapsed="false">
      <c r="A92" s="4" t="s">
        <v>4015</v>
      </c>
      <c r="B92" s="6" t="n">
        <v>45814</v>
      </c>
      <c r="C92" s="4" t="s">
        <v>657</v>
      </c>
      <c r="D92" s="4" t="s">
        <v>3917</v>
      </c>
      <c r="E92" s="4" t="s">
        <v>16</v>
      </c>
      <c r="F92" s="4" t="s">
        <v>3929</v>
      </c>
      <c r="G92" s="4" t="s">
        <v>3106</v>
      </c>
      <c r="H92" s="8" t="n">
        <v>7.5</v>
      </c>
      <c r="I92" s="8" t="n">
        <v>26</v>
      </c>
      <c r="J92" s="11" t="n">
        <v>5</v>
      </c>
    </row>
    <row r="93" customFormat="false" ht="15" hidden="false" customHeight="false" outlineLevel="0" collapsed="false">
      <c r="A93" s="4" t="s">
        <v>4016</v>
      </c>
      <c r="B93" s="6" t="n">
        <v>46014</v>
      </c>
      <c r="C93" s="4" t="s">
        <v>1441</v>
      </c>
      <c r="D93" s="4" t="s">
        <v>3928</v>
      </c>
      <c r="E93" s="4" t="s">
        <v>10</v>
      </c>
      <c r="F93" s="4" t="s">
        <v>3918</v>
      </c>
      <c r="G93" s="4" t="s">
        <v>3168</v>
      </c>
      <c r="H93" s="8" t="n">
        <v>20.9</v>
      </c>
      <c r="I93" s="8" t="n">
        <v>223</v>
      </c>
      <c r="J93" s="11" t="n">
        <v>2</v>
      </c>
    </row>
    <row r="94" customFormat="false" ht="15" hidden="false" customHeight="false" outlineLevel="0" collapsed="false">
      <c r="A94" s="4" t="s">
        <v>4017</v>
      </c>
      <c r="B94" s="6" t="n">
        <v>45825</v>
      </c>
      <c r="C94" s="4" t="s">
        <v>899</v>
      </c>
      <c r="D94" s="4" t="s">
        <v>3920</v>
      </c>
      <c r="E94" s="4" t="s">
        <v>16</v>
      </c>
      <c r="F94" s="4" t="s">
        <v>3929</v>
      </c>
      <c r="G94" s="4" t="s">
        <v>3120</v>
      </c>
      <c r="H94" s="8" t="n">
        <v>22.5</v>
      </c>
      <c r="I94" s="8" t="n">
        <v>53.7</v>
      </c>
      <c r="J94" s="11" t="n">
        <v>3</v>
      </c>
    </row>
    <row r="95" customFormat="false" ht="15" hidden="false" customHeight="false" outlineLevel="0" collapsed="false">
      <c r="A95" s="4" t="s">
        <v>4018</v>
      </c>
      <c r="B95" s="6" t="n">
        <v>46108</v>
      </c>
      <c r="C95" s="4" t="s">
        <v>591</v>
      </c>
      <c r="D95" s="4" t="s">
        <v>3938</v>
      </c>
      <c r="E95" s="4" t="s">
        <v>10</v>
      </c>
      <c r="F95" s="4" t="s">
        <v>3918</v>
      </c>
      <c r="G95" s="4" t="s">
        <v>3011</v>
      </c>
      <c r="H95" s="8" t="n">
        <v>10.7</v>
      </c>
      <c r="I95" s="8" t="n">
        <v>179.1</v>
      </c>
      <c r="J95" s="11" t="n">
        <v>2</v>
      </c>
    </row>
    <row r="96" customFormat="false" ht="15" hidden="false" customHeight="false" outlineLevel="0" collapsed="false">
      <c r="A96" s="4" t="s">
        <v>4019</v>
      </c>
      <c r="B96" s="6" t="n">
        <v>46115</v>
      </c>
      <c r="C96" s="4" t="s">
        <v>913</v>
      </c>
      <c r="D96" s="4" t="s">
        <v>3938</v>
      </c>
      <c r="E96" s="4" t="s">
        <v>28</v>
      </c>
      <c r="F96" s="4" t="s">
        <v>3921</v>
      </c>
      <c r="G96" s="4" t="s">
        <v>3102</v>
      </c>
      <c r="H96" s="8" t="n">
        <v>5</v>
      </c>
      <c r="I96" s="8" t="n">
        <v>92.6</v>
      </c>
      <c r="J96" s="11" t="n">
        <v>1</v>
      </c>
    </row>
    <row r="97" customFormat="false" ht="15" hidden="false" customHeight="false" outlineLevel="0" collapsed="false">
      <c r="A97" s="4" t="s">
        <v>4020</v>
      </c>
      <c r="B97" s="6" t="n">
        <v>46176</v>
      </c>
      <c r="C97" s="4" t="s">
        <v>1399</v>
      </c>
      <c r="D97" s="4" t="s">
        <v>3926</v>
      </c>
      <c r="E97" s="4" t="s">
        <v>10</v>
      </c>
      <c r="F97" s="4" t="s">
        <v>3918</v>
      </c>
      <c r="G97" s="4" t="s">
        <v>3372</v>
      </c>
      <c r="H97" s="8" t="n">
        <v>12.4</v>
      </c>
      <c r="I97" s="8" t="n">
        <v>40.8</v>
      </c>
      <c r="J97" s="11" t="n">
        <v>2</v>
      </c>
    </row>
    <row r="98" customFormat="false" ht="15" hidden="false" customHeight="false" outlineLevel="0" collapsed="false">
      <c r="A98" s="4" t="s">
        <v>4021</v>
      </c>
      <c r="B98" s="6" t="n">
        <v>46024</v>
      </c>
      <c r="C98" s="4" t="s">
        <v>1231</v>
      </c>
      <c r="D98" s="4" t="s">
        <v>3920</v>
      </c>
      <c r="E98" s="4" t="s">
        <v>10</v>
      </c>
      <c r="F98" s="4" t="s">
        <v>3923</v>
      </c>
      <c r="G98" s="4" t="s">
        <v>3214</v>
      </c>
      <c r="H98" s="8" t="n">
        <v>4.7</v>
      </c>
      <c r="I98" s="8" t="n">
        <v>236.5</v>
      </c>
      <c r="J98" s="11" t="n">
        <v>5</v>
      </c>
    </row>
    <row r="99" customFormat="false" ht="15" hidden="false" customHeight="false" outlineLevel="0" collapsed="false">
      <c r="A99" s="4" t="s">
        <v>4022</v>
      </c>
      <c r="B99" s="6" t="n">
        <v>45919</v>
      </c>
      <c r="C99" s="4" t="s">
        <v>985</v>
      </c>
      <c r="D99" s="4" t="s">
        <v>3928</v>
      </c>
      <c r="E99" s="4" t="s">
        <v>22</v>
      </c>
      <c r="F99" s="4" t="s">
        <v>3923</v>
      </c>
      <c r="G99" s="4" t="s">
        <v>3484</v>
      </c>
      <c r="H99" s="8" t="n">
        <v>11</v>
      </c>
      <c r="I99" s="8" t="n">
        <v>3.7</v>
      </c>
      <c r="J99" s="11" t="n">
        <v>4</v>
      </c>
    </row>
    <row r="100" customFormat="false" ht="15" hidden="false" customHeight="false" outlineLevel="0" collapsed="false">
      <c r="A100" s="4" t="s">
        <v>4023</v>
      </c>
      <c r="B100" s="6" t="n">
        <v>46021</v>
      </c>
      <c r="C100" s="4" t="s">
        <v>833</v>
      </c>
      <c r="D100" s="4" t="s">
        <v>3920</v>
      </c>
      <c r="E100" s="4" t="s">
        <v>28</v>
      </c>
      <c r="F100" s="4" t="s">
        <v>3921</v>
      </c>
      <c r="G100" s="4" t="s">
        <v>3430</v>
      </c>
      <c r="H100" s="8" t="n">
        <v>1.7</v>
      </c>
      <c r="I100" s="8" t="n">
        <v>227.1</v>
      </c>
      <c r="J100" s="11" t="n">
        <v>3</v>
      </c>
    </row>
    <row r="101" customFormat="false" ht="15" hidden="false" customHeight="false" outlineLevel="0" collapsed="false">
      <c r="A101" s="4" t="s">
        <v>4024</v>
      </c>
      <c r="B101" s="6" t="n">
        <v>46057</v>
      </c>
      <c r="C101" s="4" t="s">
        <v>1361</v>
      </c>
      <c r="D101" s="4" t="s">
        <v>3938</v>
      </c>
      <c r="E101" s="4" t="s">
        <v>16</v>
      </c>
      <c r="F101" s="4" t="s">
        <v>3921</v>
      </c>
      <c r="G101" s="4" t="s">
        <v>3006</v>
      </c>
      <c r="H101" s="8" t="n">
        <v>22.8</v>
      </c>
      <c r="I101" s="8" t="n">
        <v>67.4</v>
      </c>
      <c r="J101" s="11" t="n">
        <v>3</v>
      </c>
    </row>
    <row r="102" customFormat="false" ht="15" hidden="false" customHeight="false" outlineLevel="0" collapsed="false">
      <c r="A102" s="4" t="s">
        <v>4025</v>
      </c>
      <c r="B102" s="6" t="n">
        <v>45912</v>
      </c>
      <c r="C102" s="4" t="s">
        <v>645</v>
      </c>
      <c r="D102" s="4" t="s">
        <v>3926</v>
      </c>
      <c r="E102" s="4" t="s">
        <v>10</v>
      </c>
      <c r="F102" s="4" t="s">
        <v>3918</v>
      </c>
      <c r="G102" s="4" t="s">
        <v>2999</v>
      </c>
      <c r="H102" s="8" t="n">
        <v>3.2</v>
      </c>
      <c r="I102" s="8" t="n">
        <v>39.1</v>
      </c>
      <c r="J102" s="11" t="n">
        <v>4</v>
      </c>
    </row>
    <row r="103" customFormat="false" ht="15" hidden="false" customHeight="false" outlineLevel="0" collapsed="false">
      <c r="A103" s="4" t="s">
        <v>4026</v>
      </c>
      <c r="B103" s="6" t="n">
        <v>45872</v>
      </c>
      <c r="C103" s="4" t="s">
        <v>1351</v>
      </c>
      <c r="D103" s="4" t="s">
        <v>3920</v>
      </c>
      <c r="E103" s="4" t="s">
        <v>10</v>
      </c>
      <c r="F103" s="4" t="s">
        <v>3921</v>
      </c>
      <c r="G103" s="4" t="s">
        <v>3192</v>
      </c>
      <c r="H103" s="8" t="n">
        <v>14.9</v>
      </c>
      <c r="I103" s="8" t="n">
        <v>197.9</v>
      </c>
      <c r="J103" s="11" t="n">
        <v>4</v>
      </c>
    </row>
    <row r="104" customFormat="false" ht="15" hidden="false" customHeight="false" outlineLevel="0" collapsed="false">
      <c r="A104" s="4" t="s">
        <v>4027</v>
      </c>
      <c r="B104" s="6" t="n">
        <v>46189</v>
      </c>
      <c r="C104" s="4" t="s">
        <v>1453</v>
      </c>
      <c r="D104" s="4" t="s">
        <v>3917</v>
      </c>
      <c r="E104" s="4" t="s">
        <v>16</v>
      </c>
      <c r="F104" s="4" t="s">
        <v>3918</v>
      </c>
      <c r="G104" s="4" t="s">
        <v>3380</v>
      </c>
      <c r="H104" s="8" t="n">
        <v>19.4</v>
      </c>
      <c r="I104" s="8" t="n">
        <v>161.1</v>
      </c>
      <c r="J104" s="11" t="n">
        <v>3</v>
      </c>
    </row>
    <row r="105" customFormat="false" ht="15" hidden="false" customHeight="false" outlineLevel="0" collapsed="false">
      <c r="A105" s="4" t="s">
        <v>4028</v>
      </c>
      <c r="B105" s="6" t="n">
        <v>45688</v>
      </c>
      <c r="C105" s="4" t="s">
        <v>973</v>
      </c>
      <c r="D105" s="4" t="s">
        <v>3917</v>
      </c>
      <c r="E105" s="4" t="s">
        <v>10</v>
      </c>
      <c r="F105" s="4" t="s">
        <v>3918</v>
      </c>
      <c r="G105" s="4" t="s">
        <v>3158</v>
      </c>
      <c r="H105" s="8" t="n">
        <v>9.7</v>
      </c>
      <c r="I105" s="8" t="n">
        <v>90.8</v>
      </c>
      <c r="J105" s="11" t="n">
        <v>3</v>
      </c>
    </row>
    <row r="106" customFormat="false" ht="15" hidden="false" customHeight="false" outlineLevel="0" collapsed="false">
      <c r="A106" s="4" t="s">
        <v>4029</v>
      </c>
      <c r="B106" s="6" t="n">
        <v>45684</v>
      </c>
      <c r="C106" s="4" t="s">
        <v>803</v>
      </c>
      <c r="D106" s="4" t="s">
        <v>3928</v>
      </c>
      <c r="E106" s="4" t="s">
        <v>22</v>
      </c>
      <c r="F106" s="4" t="s">
        <v>3921</v>
      </c>
      <c r="G106" s="4" t="s">
        <v>3456</v>
      </c>
      <c r="H106" s="8" t="n">
        <v>11.3</v>
      </c>
      <c r="I106" s="8" t="n">
        <v>176.9</v>
      </c>
      <c r="J106" s="11" t="n">
        <v>2</v>
      </c>
    </row>
    <row r="107" customFormat="false" ht="15" hidden="false" customHeight="false" outlineLevel="0" collapsed="false">
      <c r="A107" s="4" t="s">
        <v>4030</v>
      </c>
      <c r="B107" s="6" t="n">
        <v>46044</v>
      </c>
      <c r="C107" s="4" t="s">
        <v>1245</v>
      </c>
      <c r="D107" s="4" t="s">
        <v>3926</v>
      </c>
      <c r="E107" s="4" t="s">
        <v>28</v>
      </c>
      <c r="F107" s="4" t="s">
        <v>3921</v>
      </c>
      <c r="G107" s="4" t="s">
        <v>3370</v>
      </c>
      <c r="H107" s="8" t="n">
        <v>12.7</v>
      </c>
      <c r="I107" s="8" t="n">
        <v>39.6</v>
      </c>
      <c r="J107" s="11" t="n">
        <v>1</v>
      </c>
    </row>
    <row r="108" customFormat="false" ht="15" hidden="false" customHeight="false" outlineLevel="0" collapsed="false">
      <c r="A108" s="4" t="s">
        <v>4031</v>
      </c>
      <c r="B108" s="6" t="n">
        <v>45752</v>
      </c>
      <c r="C108" s="4" t="s">
        <v>893</v>
      </c>
      <c r="D108" s="4" t="s">
        <v>3928</v>
      </c>
      <c r="E108" s="4" t="s">
        <v>22</v>
      </c>
      <c r="F108" s="4" t="s">
        <v>3918</v>
      </c>
      <c r="G108" s="4" t="s">
        <v>3058</v>
      </c>
      <c r="H108" s="8" t="n">
        <v>23.3</v>
      </c>
      <c r="I108" s="8" t="n">
        <v>112.5</v>
      </c>
      <c r="J108" s="11" t="n">
        <v>4</v>
      </c>
    </row>
    <row r="109" customFormat="false" ht="15" hidden="false" customHeight="false" outlineLevel="0" collapsed="false">
      <c r="A109" s="4" t="s">
        <v>4032</v>
      </c>
      <c r="B109" s="6" t="n">
        <v>45658</v>
      </c>
      <c r="C109" s="4" t="s">
        <v>783</v>
      </c>
      <c r="D109" s="4" t="s">
        <v>3938</v>
      </c>
      <c r="E109" s="4" t="s">
        <v>28</v>
      </c>
      <c r="F109" s="4" t="s">
        <v>3918</v>
      </c>
      <c r="G109" s="4" t="s">
        <v>3242</v>
      </c>
      <c r="H109" s="8" t="n">
        <v>21.6</v>
      </c>
      <c r="I109" s="8" t="n">
        <v>63.1</v>
      </c>
      <c r="J109" s="11" t="n">
        <v>3</v>
      </c>
    </row>
    <row r="110" customFormat="false" ht="15" hidden="false" customHeight="false" outlineLevel="0" collapsed="false">
      <c r="A110" s="4" t="s">
        <v>4033</v>
      </c>
      <c r="B110" s="6" t="n">
        <v>46147</v>
      </c>
      <c r="C110" s="4" t="s">
        <v>969</v>
      </c>
      <c r="D110" s="4" t="s">
        <v>3926</v>
      </c>
      <c r="E110" s="4" t="s">
        <v>22</v>
      </c>
      <c r="F110" s="4" t="s">
        <v>3921</v>
      </c>
      <c r="G110" s="4" t="s">
        <v>3102</v>
      </c>
      <c r="H110" s="8" t="n">
        <v>3.1</v>
      </c>
      <c r="I110" s="8" t="n">
        <v>124.5</v>
      </c>
      <c r="J110" s="11" t="n">
        <v>2</v>
      </c>
    </row>
    <row r="111" customFormat="false" ht="15" hidden="false" customHeight="false" outlineLevel="0" collapsed="false">
      <c r="A111" s="4" t="s">
        <v>4034</v>
      </c>
      <c r="B111" s="6" t="n">
        <v>45755</v>
      </c>
      <c r="C111" s="4" t="s">
        <v>1199</v>
      </c>
      <c r="D111" s="4" t="s">
        <v>3938</v>
      </c>
      <c r="E111" s="4" t="s">
        <v>16</v>
      </c>
      <c r="F111" s="4" t="s">
        <v>3921</v>
      </c>
      <c r="G111" s="4" t="s">
        <v>3146</v>
      </c>
      <c r="H111" s="8" t="n">
        <v>21.3</v>
      </c>
      <c r="I111" s="8" t="n">
        <v>27</v>
      </c>
      <c r="J111" s="11" t="n">
        <v>2</v>
      </c>
    </row>
    <row r="112" customFormat="false" ht="15" hidden="false" customHeight="false" outlineLevel="0" collapsed="false">
      <c r="A112" s="4" t="s">
        <v>4035</v>
      </c>
      <c r="B112" s="6" t="n">
        <v>45966</v>
      </c>
      <c r="C112" s="4" t="s">
        <v>801</v>
      </c>
      <c r="D112" s="4" t="s">
        <v>3938</v>
      </c>
      <c r="E112" s="4" t="s">
        <v>22</v>
      </c>
      <c r="F112" s="4" t="s">
        <v>3918</v>
      </c>
      <c r="G112" s="4" t="s">
        <v>3344</v>
      </c>
      <c r="H112" s="8" t="n">
        <v>14.2</v>
      </c>
      <c r="I112" s="8" t="n">
        <v>125</v>
      </c>
      <c r="J112" s="11" t="n">
        <v>3</v>
      </c>
    </row>
    <row r="113" customFormat="false" ht="15" hidden="false" customHeight="false" outlineLevel="0" collapsed="false">
      <c r="A113" s="4" t="s">
        <v>4036</v>
      </c>
      <c r="B113" s="6" t="n">
        <v>46090</v>
      </c>
      <c r="C113" s="4" t="s">
        <v>847</v>
      </c>
      <c r="D113" s="4" t="s">
        <v>3917</v>
      </c>
      <c r="E113" s="4" t="s">
        <v>16</v>
      </c>
      <c r="F113" s="4" t="s">
        <v>3929</v>
      </c>
      <c r="G113" s="4" t="s">
        <v>3298</v>
      </c>
      <c r="H113" s="8" t="n">
        <v>17.7</v>
      </c>
      <c r="I113" s="8" t="n">
        <v>204.5</v>
      </c>
      <c r="J113" s="11" t="n">
        <v>4</v>
      </c>
    </row>
    <row r="114" customFormat="false" ht="15" hidden="false" customHeight="false" outlineLevel="0" collapsed="false">
      <c r="A114" s="4" t="s">
        <v>4037</v>
      </c>
      <c r="B114" s="6" t="n">
        <v>45844</v>
      </c>
      <c r="C114" s="4" t="s">
        <v>470</v>
      </c>
      <c r="D114" s="4" t="s">
        <v>3917</v>
      </c>
      <c r="E114" s="4" t="s">
        <v>10</v>
      </c>
      <c r="F114" s="4" t="s">
        <v>3918</v>
      </c>
      <c r="G114" s="4" t="s">
        <v>3326</v>
      </c>
      <c r="H114" s="8" t="n">
        <v>0.9</v>
      </c>
      <c r="I114" s="8" t="n">
        <v>191.2</v>
      </c>
      <c r="J114" s="11" t="n">
        <v>2</v>
      </c>
    </row>
    <row r="115" customFormat="false" ht="15" hidden="false" customHeight="false" outlineLevel="0" collapsed="false">
      <c r="A115" s="4" t="s">
        <v>4038</v>
      </c>
      <c r="B115" s="6" t="n">
        <v>45669</v>
      </c>
      <c r="C115" s="4" t="s">
        <v>1049</v>
      </c>
      <c r="D115" s="4" t="s">
        <v>3938</v>
      </c>
      <c r="E115" s="4" t="s">
        <v>28</v>
      </c>
      <c r="F115" s="4" t="s">
        <v>3929</v>
      </c>
      <c r="G115" s="4" t="s">
        <v>3248</v>
      </c>
      <c r="H115" s="8" t="n">
        <v>20.6</v>
      </c>
      <c r="I115" s="8" t="n">
        <v>46.7</v>
      </c>
      <c r="J115" s="11" t="n">
        <v>5</v>
      </c>
    </row>
    <row r="116" customFormat="false" ht="15" hidden="false" customHeight="false" outlineLevel="0" collapsed="false">
      <c r="A116" s="4" t="s">
        <v>4039</v>
      </c>
      <c r="B116" s="6" t="n">
        <v>45877</v>
      </c>
      <c r="C116" s="4" t="s">
        <v>929</v>
      </c>
      <c r="D116" s="4" t="s">
        <v>3926</v>
      </c>
      <c r="E116" s="4" t="s">
        <v>28</v>
      </c>
      <c r="F116" s="4" t="s">
        <v>3923</v>
      </c>
      <c r="G116" s="4" t="s">
        <v>3136</v>
      </c>
      <c r="H116" s="8" t="n">
        <v>13.1</v>
      </c>
      <c r="I116" s="8" t="n">
        <v>30</v>
      </c>
      <c r="J116" s="11" t="n">
        <v>3</v>
      </c>
    </row>
    <row r="117" customFormat="false" ht="15" hidden="false" customHeight="false" outlineLevel="0" collapsed="false">
      <c r="A117" s="4" t="s">
        <v>4040</v>
      </c>
      <c r="B117" s="6" t="n">
        <v>45848</v>
      </c>
      <c r="C117" s="4" t="s">
        <v>725</v>
      </c>
      <c r="D117" s="4" t="s">
        <v>3920</v>
      </c>
      <c r="E117" s="4" t="s">
        <v>22</v>
      </c>
      <c r="F117" s="4" t="s">
        <v>3929</v>
      </c>
      <c r="G117" s="4" t="s">
        <v>3414</v>
      </c>
      <c r="H117" s="8" t="n">
        <v>20.9</v>
      </c>
      <c r="I117" s="8" t="n">
        <v>185.7</v>
      </c>
      <c r="J117" s="11" t="n">
        <v>4</v>
      </c>
    </row>
    <row r="118" customFormat="false" ht="15" hidden="false" customHeight="false" outlineLevel="0" collapsed="false">
      <c r="A118" s="4" t="s">
        <v>4041</v>
      </c>
      <c r="B118" s="6" t="n">
        <v>46189</v>
      </c>
      <c r="C118" s="4" t="s">
        <v>733</v>
      </c>
      <c r="D118" s="4" t="s">
        <v>3928</v>
      </c>
      <c r="E118" s="4" t="s">
        <v>10</v>
      </c>
      <c r="F118" s="4" t="s">
        <v>3929</v>
      </c>
      <c r="G118" s="4" t="s">
        <v>3402</v>
      </c>
      <c r="H118" s="8" t="n">
        <v>8.8</v>
      </c>
      <c r="I118" s="8" t="n">
        <v>154.9</v>
      </c>
      <c r="J118" s="11" t="n">
        <v>5</v>
      </c>
    </row>
    <row r="119" customFormat="false" ht="15" hidden="false" customHeight="false" outlineLevel="0" collapsed="false">
      <c r="A119" s="4" t="s">
        <v>4042</v>
      </c>
      <c r="B119" s="6" t="n">
        <v>45890</v>
      </c>
      <c r="C119" s="4" t="s">
        <v>1463</v>
      </c>
      <c r="D119" s="4" t="s">
        <v>3938</v>
      </c>
      <c r="E119" s="4" t="s">
        <v>16</v>
      </c>
      <c r="F119" s="4" t="s">
        <v>3921</v>
      </c>
      <c r="G119" s="4" t="s">
        <v>3426</v>
      </c>
      <c r="H119" s="8" t="n">
        <v>2.8</v>
      </c>
      <c r="I119" s="8" t="n">
        <v>133</v>
      </c>
      <c r="J119" s="11" t="n">
        <v>3</v>
      </c>
    </row>
    <row r="120" customFormat="false" ht="15" hidden="false" customHeight="false" outlineLevel="0" collapsed="false">
      <c r="A120" s="4" t="s">
        <v>4043</v>
      </c>
      <c r="B120" s="6" t="n">
        <v>45972</v>
      </c>
      <c r="C120" s="4" t="s">
        <v>927</v>
      </c>
      <c r="D120" s="4" t="s">
        <v>3938</v>
      </c>
      <c r="E120" s="4" t="s">
        <v>16</v>
      </c>
      <c r="F120" s="4" t="s">
        <v>3929</v>
      </c>
      <c r="G120" s="4" t="s">
        <v>3284</v>
      </c>
      <c r="H120" s="8" t="n">
        <v>23.6</v>
      </c>
      <c r="I120" s="8" t="n">
        <v>21.7</v>
      </c>
      <c r="J120" s="11" t="n">
        <v>5</v>
      </c>
    </row>
    <row r="121" customFormat="false" ht="15" hidden="false" customHeight="false" outlineLevel="0" collapsed="false">
      <c r="A121" s="4" t="s">
        <v>4044</v>
      </c>
      <c r="B121" s="6" t="n">
        <v>46181</v>
      </c>
      <c r="C121" s="4" t="s">
        <v>663</v>
      </c>
      <c r="D121" s="4" t="s">
        <v>3917</v>
      </c>
      <c r="E121" s="4" t="s">
        <v>16</v>
      </c>
      <c r="F121" s="4" t="s">
        <v>3923</v>
      </c>
      <c r="G121" s="4" t="s">
        <v>3432</v>
      </c>
      <c r="H121" s="8" t="n">
        <v>16.4</v>
      </c>
      <c r="I121" s="8" t="n">
        <v>186.7</v>
      </c>
      <c r="J121" s="11" t="n">
        <v>2</v>
      </c>
    </row>
    <row r="122" customFormat="false" ht="15" hidden="false" customHeight="false" outlineLevel="0" collapsed="false">
      <c r="A122" s="4" t="s">
        <v>4045</v>
      </c>
      <c r="B122" s="6" t="n">
        <v>46201</v>
      </c>
      <c r="C122" s="4" t="s">
        <v>1001</v>
      </c>
      <c r="D122" s="4" t="s">
        <v>3928</v>
      </c>
      <c r="E122" s="4" t="s">
        <v>22</v>
      </c>
      <c r="F122" s="4" t="s">
        <v>3918</v>
      </c>
      <c r="G122" s="4" t="s">
        <v>3410</v>
      </c>
      <c r="H122" s="8" t="n">
        <v>12.8</v>
      </c>
      <c r="I122" s="8" t="n">
        <v>130.4</v>
      </c>
      <c r="J122" s="11" t="n">
        <v>5</v>
      </c>
    </row>
    <row r="123" customFormat="false" ht="15" hidden="false" customHeight="false" outlineLevel="0" collapsed="false">
      <c r="A123" s="4" t="s">
        <v>4046</v>
      </c>
      <c r="B123" s="6" t="n">
        <v>45820</v>
      </c>
      <c r="C123" s="4" t="s">
        <v>567</v>
      </c>
      <c r="D123" s="4" t="s">
        <v>3917</v>
      </c>
      <c r="E123" s="4" t="s">
        <v>16</v>
      </c>
      <c r="F123" s="4" t="s">
        <v>3929</v>
      </c>
      <c r="G123" s="4" t="s">
        <v>3326</v>
      </c>
      <c r="H123" s="8" t="n">
        <v>15.3</v>
      </c>
      <c r="I123" s="8" t="n">
        <v>149.1</v>
      </c>
      <c r="J123" s="11" t="n">
        <v>2</v>
      </c>
    </row>
    <row r="124" customFormat="false" ht="15" hidden="false" customHeight="false" outlineLevel="0" collapsed="false">
      <c r="A124" s="4" t="s">
        <v>4047</v>
      </c>
      <c r="B124" s="6" t="n">
        <v>45943</v>
      </c>
      <c r="C124" s="4" t="s">
        <v>512</v>
      </c>
      <c r="D124" s="4" t="s">
        <v>3938</v>
      </c>
      <c r="E124" s="4" t="s">
        <v>28</v>
      </c>
      <c r="F124" s="4" t="s">
        <v>3918</v>
      </c>
      <c r="G124" s="4" t="s">
        <v>3152</v>
      </c>
      <c r="H124" s="8" t="n">
        <v>9.4</v>
      </c>
      <c r="I124" s="8" t="n">
        <v>126.2</v>
      </c>
      <c r="J124" s="11" t="n">
        <v>4</v>
      </c>
    </row>
    <row r="125" customFormat="false" ht="15" hidden="false" customHeight="false" outlineLevel="0" collapsed="false">
      <c r="A125" s="4" t="s">
        <v>4048</v>
      </c>
      <c r="B125" s="6" t="n">
        <v>45987</v>
      </c>
      <c r="C125" s="4" t="s">
        <v>603</v>
      </c>
      <c r="D125" s="4" t="s">
        <v>3920</v>
      </c>
      <c r="E125" s="4" t="s">
        <v>28</v>
      </c>
      <c r="F125" s="4" t="s">
        <v>3923</v>
      </c>
      <c r="G125" s="4" t="s">
        <v>2992</v>
      </c>
      <c r="H125" s="8" t="n">
        <v>1.9</v>
      </c>
      <c r="I125" s="8" t="n">
        <v>170.6</v>
      </c>
      <c r="J125" s="11" t="n">
        <v>3</v>
      </c>
    </row>
    <row r="126" customFormat="false" ht="15" hidden="false" customHeight="false" outlineLevel="0" collapsed="false">
      <c r="A126" s="4" t="s">
        <v>4049</v>
      </c>
      <c r="B126" s="6" t="n">
        <v>45718</v>
      </c>
      <c r="C126" s="4" t="s">
        <v>1237</v>
      </c>
      <c r="D126" s="4" t="s">
        <v>3938</v>
      </c>
      <c r="E126" s="4" t="s">
        <v>16</v>
      </c>
      <c r="F126" s="4" t="s">
        <v>3921</v>
      </c>
      <c r="G126" s="4" t="s">
        <v>3072</v>
      </c>
      <c r="H126" s="8" t="n">
        <v>3.5</v>
      </c>
      <c r="I126" s="8" t="n">
        <v>197.7</v>
      </c>
      <c r="J126" s="11" t="n">
        <v>2</v>
      </c>
    </row>
    <row r="127" customFormat="false" ht="15" hidden="false" customHeight="false" outlineLevel="0" collapsed="false">
      <c r="A127" s="4" t="s">
        <v>4050</v>
      </c>
      <c r="B127" s="6" t="n">
        <v>46087</v>
      </c>
      <c r="C127" s="4" t="s">
        <v>865</v>
      </c>
      <c r="D127" s="4" t="s">
        <v>3926</v>
      </c>
      <c r="E127" s="4" t="s">
        <v>28</v>
      </c>
      <c r="F127" s="4" t="s">
        <v>3918</v>
      </c>
      <c r="G127" s="4" t="s">
        <v>3100</v>
      </c>
      <c r="H127" s="8" t="n">
        <v>6</v>
      </c>
      <c r="I127" s="8" t="n">
        <v>85.4</v>
      </c>
      <c r="J127" s="11" t="n">
        <v>2</v>
      </c>
    </row>
    <row r="128" customFormat="false" ht="15" hidden="false" customHeight="false" outlineLevel="0" collapsed="false">
      <c r="A128" s="4" t="s">
        <v>4051</v>
      </c>
      <c r="B128" s="6" t="n">
        <v>46069</v>
      </c>
      <c r="C128" s="4" t="s">
        <v>591</v>
      </c>
      <c r="D128" s="4" t="s">
        <v>3926</v>
      </c>
      <c r="E128" s="4" t="s">
        <v>22</v>
      </c>
      <c r="F128" s="4" t="s">
        <v>3918</v>
      </c>
      <c r="G128" s="4" t="s">
        <v>3484</v>
      </c>
      <c r="H128" s="8" t="n">
        <v>16.2</v>
      </c>
      <c r="I128" s="8" t="n">
        <v>51</v>
      </c>
      <c r="J128" s="11" t="n">
        <v>2</v>
      </c>
    </row>
    <row r="129" customFormat="false" ht="15" hidden="false" customHeight="false" outlineLevel="0" collapsed="false">
      <c r="A129" s="4" t="s">
        <v>4052</v>
      </c>
      <c r="B129" s="6" t="n">
        <v>45669</v>
      </c>
      <c r="C129" s="4" t="s">
        <v>1117</v>
      </c>
      <c r="D129" s="4" t="s">
        <v>3928</v>
      </c>
      <c r="E129" s="4" t="s">
        <v>22</v>
      </c>
      <c r="F129" s="4" t="s">
        <v>3929</v>
      </c>
      <c r="G129" s="4" t="s">
        <v>3268</v>
      </c>
      <c r="H129" s="8" t="n">
        <v>7.5</v>
      </c>
      <c r="I129" s="8" t="n">
        <v>26.4</v>
      </c>
      <c r="J129" s="11" t="n">
        <v>5</v>
      </c>
    </row>
    <row r="130" customFormat="false" ht="15" hidden="false" customHeight="false" outlineLevel="0" collapsed="false">
      <c r="A130" s="4" t="s">
        <v>4053</v>
      </c>
      <c r="B130" s="6" t="n">
        <v>46106</v>
      </c>
      <c r="C130" s="4" t="s">
        <v>769</v>
      </c>
      <c r="D130" s="4" t="s">
        <v>3928</v>
      </c>
      <c r="E130" s="4" t="s">
        <v>28</v>
      </c>
      <c r="F130" s="4" t="s">
        <v>3918</v>
      </c>
      <c r="G130" s="4" t="s">
        <v>3278</v>
      </c>
      <c r="H130" s="8" t="n">
        <v>17.9</v>
      </c>
      <c r="I130" s="8" t="n">
        <v>110.1</v>
      </c>
      <c r="J130" s="11" t="n">
        <v>1</v>
      </c>
    </row>
    <row r="131" customFormat="false" ht="15" hidden="false" customHeight="false" outlineLevel="0" collapsed="false">
      <c r="A131" s="4" t="s">
        <v>4054</v>
      </c>
      <c r="B131" s="6" t="n">
        <v>45699</v>
      </c>
      <c r="C131" s="4" t="s">
        <v>855</v>
      </c>
      <c r="D131" s="4" t="s">
        <v>3920</v>
      </c>
      <c r="E131" s="4" t="s">
        <v>22</v>
      </c>
      <c r="F131" s="4" t="s">
        <v>3929</v>
      </c>
      <c r="G131" s="4" t="s">
        <v>3058</v>
      </c>
      <c r="H131" s="8" t="n">
        <v>15.1</v>
      </c>
      <c r="I131" s="8" t="n">
        <v>103.4</v>
      </c>
      <c r="J131" s="11" t="n">
        <v>2</v>
      </c>
    </row>
    <row r="132" customFormat="false" ht="15" hidden="false" customHeight="false" outlineLevel="0" collapsed="false">
      <c r="A132" s="4" t="s">
        <v>4055</v>
      </c>
      <c r="B132" s="6" t="n">
        <v>45888</v>
      </c>
      <c r="C132" s="4" t="s">
        <v>999</v>
      </c>
      <c r="D132" s="4" t="s">
        <v>3928</v>
      </c>
      <c r="E132" s="4" t="s">
        <v>28</v>
      </c>
      <c r="F132" s="4" t="s">
        <v>3929</v>
      </c>
      <c r="G132" s="4" t="s">
        <v>3046</v>
      </c>
      <c r="H132" s="8" t="n">
        <v>23.9</v>
      </c>
      <c r="I132" s="8" t="n">
        <v>145.6</v>
      </c>
      <c r="J132" s="11" t="n">
        <v>5</v>
      </c>
    </row>
    <row r="133" customFormat="false" ht="15" hidden="false" customHeight="false" outlineLevel="0" collapsed="false">
      <c r="A133" s="4" t="s">
        <v>4056</v>
      </c>
      <c r="B133" s="6" t="n">
        <v>46164</v>
      </c>
      <c r="C133" s="4" t="s">
        <v>1321</v>
      </c>
      <c r="D133" s="4" t="s">
        <v>3938</v>
      </c>
      <c r="E133" s="4" t="s">
        <v>22</v>
      </c>
      <c r="F133" s="4" t="s">
        <v>3918</v>
      </c>
      <c r="G133" s="4" t="s">
        <v>3216</v>
      </c>
      <c r="H133" s="8" t="n">
        <v>1.5</v>
      </c>
      <c r="I133" s="8" t="n">
        <v>27</v>
      </c>
      <c r="J133" s="11" t="n">
        <v>3</v>
      </c>
    </row>
    <row r="134" customFormat="false" ht="15" hidden="false" customHeight="false" outlineLevel="0" collapsed="false">
      <c r="A134" s="4" t="s">
        <v>4057</v>
      </c>
      <c r="B134" s="6" t="n">
        <v>46178</v>
      </c>
      <c r="C134" s="4" t="s">
        <v>801</v>
      </c>
      <c r="D134" s="4" t="s">
        <v>3938</v>
      </c>
      <c r="E134" s="4" t="s">
        <v>22</v>
      </c>
      <c r="F134" s="4" t="s">
        <v>3929</v>
      </c>
      <c r="G134" s="4" t="s">
        <v>3342</v>
      </c>
      <c r="H134" s="8" t="n">
        <v>20.1</v>
      </c>
      <c r="I134" s="8" t="n">
        <v>236</v>
      </c>
      <c r="J134" s="11" t="n">
        <v>1</v>
      </c>
    </row>
    <row r="135" customFormat="false" ht="15" hidden="false" customHeight="false" outlineLevel="0" collapsed="false">
      <c r="A135" s="4" t="s">
        <v>4058</v>
      </c>
      <c r="B135" s="6" t="n">
        <v>46155</v>
      </c>
      <c r="C135" s="4" t="s">
        <v>713</v>
      </c>
      <c r="D135" s="4" t="s">
        <v>3926</v>
      </c>
      <c r="E135" s="4" t="s">
        <v>10</v>
      </c>
      <c r="F135" s="4" t="s">
        <v>3921</v>
      </c>
      <c r="G135" s="4" t="s">
        <v>3254</v>
      </c>
      <c r="H135" s="8" t="n">
        <v>5.4</v>
      </c>
      <c r="I135" s="8" t="n">
        <v>105.2</v>
      </c>
      <c r="J135" s="11" t="n">
        <v>3</v>
      </c>
    </row>
    <row r="136" customFormat="false" ht="15" hidden="false" customHeight="false" outlineLevel="0" collapsed="false">
      <c r="A136" s="4" t="s">
        <v>4059</v>
      </c>
      <c r="B136" s="6" t="n">
        <v>46042</v>
      </c>
      <c r="C136" s="4" t="s">
        <v>1085</v>
      </c>
      <c r="D136" s="4" t="s">
        <v>3926</v>
      </c>
      <c r="E136" s="4" t="s">
        <v>10</v>
      </c>
      <c r="F136" s="4" t="s">
        <v>3923</v>
      </c>
      <c r="G136" s="4" t="s">
        <v>3446</v>
      </c>
      <c r="H136" s="8" t="n">
        <v>22.2</v>
      </c>
      <c r="I136" s="8" t="n">
        <v>93.1</v>
      </c>
      <c r="J136" s="11" t="n">
        <v>5</v>
      </c>
    </row>
    <row r="137" customFormat="false" ht="15" hidden="false" customHeight="false" outlineLevel="0" collapsed="false">
      <c r="A137" s="4" t="s">
        <v>4060</v>
      </c>
      <c r="B137" s="6" t="n">
        <v>45755</v>
      </c>
      <c r="C137" s="4" t="s">
        <v>585</v>
      </c>
      <c r="D137" s="4" t="s">
        <v>3917</v>
      </c>
      <c r="E137" s="4" t="s">
        <v>10</v>
      </c>
      <c r="F137" s="4" t="s">
        <v>3921</v>
      </c>
      <c r="G137" s="4" t="s">
        <v>3186</v>
      </c>
      <c r="H137" s="8" t="n">
        <v>14</v>
      </c>
      <c r="I137" s="8" t="n">
        <v>170.8</v>
      </c>
      <c r="J137" s="11" t="n">
        <v>5</v>
      </c>
    </row>
    <row r="138" customFormat="false" ht="15" hidden="false" customHeight="false" outlineLevel="0" collapsed="false">
      <c r="A138" s="4" t="s">
        <v>4061</v>
      </c>
      <c r="B138" s="6" t="n">
        <v>45698</v>
      </c>
      <c r="C138" s="4" t="s">
        <v>819</v>
      </c>
      <c r="D138" s="4" t="s">
        <v>3938</v>
      </c>
      <c r="E138" s="4" t="s">
        <v>28</v>
      </c>
      <c r="F138" s="4" t="s">
        <v>3923</v>
      </c>
      <c r="G138" s="4" t="s">
        <v>3438</v>
      </c>
      <c r="H138" s="8" t="n">
        <v>11.1</v>
      </c>
      <c r="I138" s="8" t="n">
        <v>207.5</v>
      </c>
      <c r="J138" s="11" t="n">
        <v>1</v>
      </c>
    </row>
    <row r="139" customFormat="false" ht="15" hidden="false" customHeight="false" outlineLevel="0" collapsed="false">
      <c r="A139" s="4" t="s">
        <v>4062</v>
      </c>
      <c r="B139" s="6" t="n">
        <v>45684</v>
      </c>
      <c r="C139" s="4" t="s">
        <v>685</v>
      </c>
      <c r="D139" s="4" t="s">
        <v>3926</v>
      </c>
      <c r="E139" s="4" t="s">
        <v>28</v>
      </c>
      <c r="F139" s="4" t="s">
        <v>3923</v>
      </c>
      <c r="G139" s="4" t="s">
        <v>3094</v>
      </c>
      <c r="H139" s="8" t="n">
        <v>0.7</v>
      </c>
      <c r="I139" s="8" t="n">
        <v>227.1</v>
      </c>
      <c r="J139" s="11" t="n">
        <v>1</v>
      </c>
    </row>
    <row r="140" customFormat="false" ht="15" hidden="false" customHeight="false" outlineLevel="0" collapsed="false">
      <c r="A140" s="4" t="s">
        <v>4063</v>
      </c>
      <c r="B140" s="6" t="n">
        <v>45687</v>
      </c>
      <c r="C140" s="4" t="s">
        <v>1211</v>
      </c>
      <c r="D140" s="4" t="s">
        <v>3938</v>
      </c>
      <c r="E140" s="4" t="s">
        <v>22</v>
      </c>
      <c r="F140" s="4" t="s">
        <v>3923</v>
      </c>
      <c r="G140" s="4" t="s">
        <v>3436</v>
      </c>
      <c r="H140" s="8" t="n">
        <v>21.4</v>
      </c>
      <c r="I140" s="8" t="n">
        <v>87.3</v>
      </c>
      <c r="J140" s="11" t="n">
        <v>3</v>
      </c>
    </row>
    <row r="141" customFormat="false" ht="15" hidden="false" customHeight="false" outlineLevel="0" collapsed="false">
      <c r="A141" s="4" t="s">
        <v>4064</v>
      </c>
      <c r="B141" s="6" t="n">
        <v>45941</v>
      </c>
      <c r="C141" s="4" t="s">
        <v>921</v>
      </c>
      <c r="D141" s="4" t="s">
        <v>3928</v>
      </c>
      <c r="E141" s="4" t="s">
        <v>22</v>
      </c>
      <c r="F141" s="4" t="s">
        <v>3918</v>
      </c>
      <c r="G141" s="4" t="s">
        <v>3168</v>
      </c>
      <c r="H141" s="8" t="n">
        <v>11.1</v>
      </c>
      <c r="I141" s="8" t="n">
        <v>237.9</v>
      </c>
      <c r="J141" s="11" t="n">
        <v>3</v>
      </c>
    </row>
    <row r="142" customFormat="false" ht="15" hidden="false" customHeight="false" outlineLevel="0" collapsed="false">
      <c r="A142" s="4" t="s">
        <v>4065</v>
      </c>
      <c r="B142" s="6" t="n">
        <v>45987</v>
      </c>
      <c r="C142" s="4" t="s">
        <v>1223</v>
      </c>
      <c r="D142" s="4" t="s">
        <v>3938</v>
      </c>
      <c r="E142" s="4" t="s">
        <v>16</v>
      </c>
      <c r="F142" s="4" t="s">
        <v>3918</v>
      </c>
      <c r="G142" s="4" t="s">
        <v>3386</v>
      </c>
      <c r="H142" s="8" t="n">
        <v>8.4</v>
      </c>
      <c r="I142" s="8" t="n">
        <v>196.1</v>
      </c>
      <c r="J142" s="11" t="n">
        <v>4</v>
      </c>
    </row>
    <row r="143" customFormat="false" ht="15" hidden="false" customHeight="false" outlineLevel="0" collapsed="false">
      <c r="A143" s="4" t="s">
        <v>4066</v>
      </c>
      <c r="B143" s="6" t="n">
        <v>46018</v>
      </c>
      <c r="C143" s="4" t="s">
        <v>1095</v>
      </c>
      <c r="D143" s="4" t="s">
        <v>3926</v>
      </c>
      <c r="E143" s="4" t="s">
        <v>10</v>
      </c>
      <c r="F143" s="4" t="s">
        <v>3929</v>
      </c>
      <c r="G143" s="4" t="s">
        <v>3380</v>
      </c>
      <c r="H143" s="8" t="n">
        <v>19.3</v>
      </c>
      <c r="I143" s="8" t="n">
        <v>231.9</v>
      </c>
      <c r="J143" s="11" t="n">
        <v>3</v>
      </c>
    </row>
    <row r="144" customFormat="false" ht="15" hidden="false" customHeight="false" outlineLevel="0" collapsed="false">
      <c r="A144" s="4" t="s">
        <v>4067</v>
      </c>
      <c r="B144" s="6" t="n">
        <v>45750</v>
      </c>
      <c r="C144" s="4" t="s">
        <v>1119</v>
      </c>
      <c r="D144" s="4" t="s">
        <v>3938</v>
      </c>
      <c r="E144" s="4" t="s">
        <v>22</v>
      </c>
      <c r="F144" s="4" t="s">
        <v>3921</v>
      </c>
      <c r="G144" s="4" t="s">
        <v>3162</v>
      </c>
      <c r="H144" s="8" t="n">
        <v>15</v>
      </c>
      <c r="I144" s="8" t="n">
        <v>154.2</v>
      </c>
      <c r="J144" s="11" t="n">
        <v>4</v>
      </c>
    </row>
    <row r="145" customFormat="false" ht="15" hidden="false" customHeight="false" outlineLevel="0" collapsed="false">
      <c r="A145" s="4" t="s">
        <v>4068</v>
      </c>
      <c r="B145" s="6" t="n">
        <v>46155</v>
      </c>
      <c r="C145" s="4" t="s">
        <v>823</v>
      </c>
      <c r="D145" s="4" t="s">
        <v>3920</v>
      </c>
      <c r="E145" s="4" t="s">
        <v>16</v>
      </c>
      <c r="F145" s="4" t="s">
        <v>3929</v>
      </c>
      <c r="G145" s="4" t="s">
        <v>3414</v>
      </c>
      <c r="H145" s="8" t="n">
        <v>10.6</v>
      </c>
      <c r="I145" s="8" t="n">
        <v>88</v>
      </c>
      <c r="J145" s="11" t="n">
        <v>2</v>
      </c>
    </row>
    <row r="146" customFormat="false" ht="15" hidden="false" customHeight="false" outlineLevel="0" collapsed="false">
      <c r="A146" s="4" t="s">
        <v>4069</v>
      </c>
      <c r="B146" s="6" t="n">
        <v>45674</v>
      </c>
      <c r="C146" s="4" t="s">
        <v>579</v>
      </c>
      <c r="D146" s="4" t="s">
        <v>3917</v>
      </c>
      <c r="E146" s="4" t="s">
        <v>16</v>
      </c>
      <c r="F146" s="4" t="s">
        <v>3929</v>
      </c>
      <c r="G146" s="4" t="s">
        <v>3298</v>
      </c>
      <c r="H146" s="8" t="n">
        <v>7.5</v>
      </c>
      <c r="I146" s="8" t="n">
        <v>122.5</v>
      </c>
      <c r="J146" s="11" t="n">
        <v>5</v>
      </c>
    </row>
    <row r="147" customFormat="false" ht="15" hidden="false" customHeight="false" outlineLevel="0" collapsed="false">
      <c r="A147" s="4" t="s">
        <v>4070</v>
      </c>
      <c r="B147" s="6" t="n">
        <v>46065</v>
      </c>
      <c r="C147" s="4" t="s">
        <v>1097</v>
      </c>
      <c r="D147" s="4" t="s">
        <v>3928</v>
      </c>
      <c r="E147" s="4" t="s">
        <v>22</v>
      </c>
      <c r="F147" s="4" t="s">
        <v>3918</v>
      </c>
      <c r="G147" s="4" t="s">
        <v>3102</v>
      </c>
      <c r="H147" s="8" t="n">
        <v>2.3</v>
      </c>
      <c r="I147" s="8" t="n">
        <v>171.4</v>
      </c>
      <c r="J147" s="11" t="n">
        <v>4</v>
      </c>
    </row>
    <row r="148" customFormat="false" ht="15" hidden="false" customHeight="false" outlineLevel="0" collapsed="false">
      <c r="A148" s="4" t="s">
        <v>4071</v>
      </c>
      <c r="B148" s="6" t="n">
        <v>46006</v>
      </c>
      <c r="C148" s="4" t="s">
        <v>1009</v>
      </c>
      <c r="D148" s="4" t="s">
        <v>3920</v>
      </c>
      <c r="E148" s="4" t="s">
        <v>22</v>
      </c>
      <c r="F148" s="4" t="s">
        <v>3918</v>
      </c>
      <c r="G148" s="4" t="s">
        <v>3204</v>
      </c>
      <c r="H148" s="8" t="n">
        <v>3.3</v>
      </c>
      <c r="I148" s="8" t="n">
        <v>93.7</v>
      </c>
      <c r="J148" s="11" t="n">
        <v>3</v>
      </c>
    </row>
    <row r="149" customFormat="false" ht="15" hidden="false" customHeight="false" outlineLevel="0" collapsed="false">
      <c r="A149" s="4" t="s">
        <v>4072</v>
      </c>
      <c r="B149" s="6" t="n">
        <v>45888</v>
      </c>
      <c r="C149" s="4" t="s">
        <v>917</v>
      </c>
      <c r="D149" s="4" t="s">
        <v>3928</v>
      </c>
      <c r="E149" s="4" t="s">
        <v>10</v>
      </c>
      <c r="F149" s="4" t="s">
        <v>3929</v>
      </c>
      <c r="G149" s="4" t="s">
        <v>3126</v>
      </c>
      <c r="H149" s="8" t="n">
        <v>13.2</v>
      </c>
      <c r="I149" s="8" t="n">
        <v>160.9</v>
      </c>
      <c r="J149" s="11" t="n">
        <v>3</v>
      </c>
    </row>
    <row r="150" customFormat="false" ht="15" hidden="false" customHeight="false" outlineLevel="0" collapsed="false">
      <c r="A150" s="4" t="s">
        <v>4073</v>
      </c>
      <c r="B150" s="6" t="n">
        <v>45887</v>
      </c>
      <c r="C150" s="4" t="s">
        <v>1317</v>
      </c>
      <c r="D150" s="4" t="s">
        <v>3917</v>
      </c>
      <c r="E150" s="4" t="s">
        <v>10</v>
      </c>
      <c r="F150" s="4" t="s">
        <v>3923</v>
      </c>
      <c r="G150" s="4" t="s">
        <v>3126</v>
      </c>
      <c r="H150" s="8" t="n">
        <v>21</v>
      </c>
      <c r="I150" s="8" t="n">
        <v>106.8</v>
      </c>
      <c r="J150" s="11" t="n">
        <v>2</v>
      </c>
    </row>
    <row r="151" customFormat="false" ht="15" hidden="false" customHeight="false" outlineLevel="0" collapsed="false">
      <c r="A151" s="4" t="s">
        <v>4074</v>
      </c>
      <c r="B151" s="6" t="n">
        <v>45961</v>
      </c>
      <c r="C151" s="4" t="s">
        <v>713</v>
      </c>
      <c r="D151" s="4" t="s">
        <v>3928</v>
      </c>
      <c r="E151" s="4" t="s">
        <v>16</v>
      </c>
      <c r="F151" s="4" t="s">
        <v>3921</v>
      </c>
      <c r="G151" s="4" t="s">
        <v>3440</v>
      </c>
      <c r="H151" s="8" t="n">
        <v>14.7</v>
      </c>
      <c r="I151" s="8" t="n">
        <v>201.4</v>
      </c>
      <c r="J151" s="11" t="n">
        <v>4</v>
      </c>
    </row>
    <row r="152" customFormat="false" ht="15" hidden="false" customHeight="false" outlineLevel="0" collapsed="false">
      <c r="A152" s="4" t="s">
        <v>4075</v>
      </c>
      <c r="B152" s="6" t="n">
        <v>45848</v>
      </c>
      <c r="C152" s="4" t="s">
        <v>1333</v>
      </c>
      <c r="D152" s="4" t="s">
        <v>3926</v>
      </c>
      <c r="E152" s="4" t="s">
        <v>16</v>
      </c>
      <c r="F152" s="4" t="s">
        <v>3923</v>
      </c>
      <c r="G152" s="4" t="s">
        <v>3298</v>
      </c>
      <c r="H152" s="8" t="n">
        <v>9.7</v>
      </c>
      <c r="I152" s="8" t="n">
        <v>139</v>
      </c>
      <c r="J152" s="11" t="n">
        <v>4</v>
      </c>
    </row>
    <row r="153" customFormat="false" ht="15" hidden="false" customHeight="false" outlineLevel="0" collapsed="false">
      <c r="A153" s="4" t="s">
        <v>4076</v>
      </c>
      <c r="B153" s="6" t="n">
        <v>45927</v>
      </c>
      <c r="C153" s="4" t="s">
        <v>905</v>
      </c>
      <c r="D153" s="4" t="s">
        <v>3920</v>
      </c>
      <c r="E153" s="4" t="s">
        <v>22</v>
      </c>
      <c r="F153" s="4" t="s">
        <v>3929</v>
      </c>
      <c r="G153" s="4" t="s">
        <v>3188</v>
      </c>
      <c r="H153" s="8" t="n">
        <v>21.6</v>
      </c>
      <c r="I153" s="8" t="n">
        <v>225</v>
      </c>
      <c r="J153" s="11" t="n">
        <v>3</v>
      </c>
    </row>
    <row r="154" customFormat="false" ht="15" hidden="false" customHeight="false" outlineLevel="0" collapsed="false">
      <c r="A154" s="4" t="s">
        <v>4077</v>
      </c>
      <c r="B154" s="6" t="n">
        <v>45795</v>
      </c>
      <c r="C154" s="4" t="s">
        <v>793</v>
      </c>
      <c r="D154" s="4" t="s">
        <v>3917</v>
      </c>
      <c r="E154" s="4" t="s">
        <v>22</v>
      </c>
      <c r="F154" s="4" t="s">
        <v>3921</v>
      </c>
      <c r="G154" s="4" t="s">
        <v>3408</v>
      </c>
      <c r="H154" s="8" t="n">
        <v>13</v>
      </c>
      <c r="I154" s="8" t="n">
        <v>32.6</v>
      </c>
      <c r="J154" s="11" t="n">
        <v>5</v>
      </c>
    </row>
    <row r="155" customFormat="false" ht="15" hidden="false" customHeight="false" outlineLevel="0" collapsed="false">
      <c r="A155" s="4" t="s">
        <v>4078</v>
      </c>
      <c r="B155" s="6" t="n">
        <v>45765</v>
      </c>
      <c r="C155" s="4" t="s">
        <v>1291</v>
      </c>
      <c r="D155" s="4" t="s">
        <v>3926</v>
      </c>
      <c r="E155" s="4" t="s">
        <v>28</v>
      </c>
      <c r="F155" s="4" t="s">
        <v>3929</v>
      </c>
      <c r="G155" s="4" t="s">
        <v>3118</v>
      </c>
      <c r="H155" s="8" t="n">
        <v>17.3</v>
      </c>
      <c r="I155" s="8" t="n">
        <v>172.8</v>
      </c>
      <c r="J155" s="11" t="n">
        <v>5</v>
      </c>
    </row>
    <row r="156" customFormat="false" ht="15" hidden="false" customHeight="false" outlineLevel="0" collapsed="false">
      <c r="A156" s="4" t="s">
        <v>4079</v>
      </c>
      <c r="B156" s="6" t="n">
        <v>45933</v>
      </c>
      <c r="C156" s="4" t="s">
        <v>1053</v>
      </c>
      <c r="D156" s="4" t="s">
        <v>3928</v>
      </c>
      <c r="E156" s="4" t="s">
        <v>16</v>
      </c>
      <c r="F156" s="4" t="s">
        <v>3923</v>
      </c>
      <c r="G156" s="4" t="s">
        <v>3236</v>
      </c>
      <c r="H156" s="8" t="n">
        <v>14.9</v>
      </c>
      <c r="I156" s="8" t="n">
        <v>120.3</v>
      </c>
      <c r="J156" s="11" t="n">
        <v>4</v>
      </c>
    </row>
    <row r="157" customFormat="false" ht="15" hidden="false" customHeight="false" outlineLevel="0" collapsed="false">
      <c r="A157" s="4" t="s">
        <v>4080</v>
      </c>
      <c r="B157" s="6" t="n">
        <v>45680</v>
      </c>
      <c r="C157" s="4" t="s">
        <v>1037</v>
      </c>
      <c r="D157" s="4" t="s">
        <v>3938</v>
      </c>
      <c r="E157" s="4" t="s">
        <v>10</v>
      </c>
      <c r="F157" s="4" t="s">
        <v>3918</v>
      </c>
      <c r="G157" s="4" t="s">
        <v>3288</v>
      </c>
      <c r="H157" s="8" t="n">
        <v>15.6</v>
      </c>
      <c r="I157" s="8" t="n">
        <v>215.2</v>
      </c>
      <c r="J157" s="11" t="n">
        <v>4</v>
      </c>
    </row>
    <row r="158" customFormat="false" ht="15" hidden="false" customHeight="false" outlineLevel="0" collapsed="false">
      <c r="A158" s="4" t="s">
        <v>4081</v>
      </c>
      <c r="B158" s="6" t="n">
        <v>46020</v>
      </c>
      <c r="C158" s="4" t="s">
        <v>529</v>
      </c>
      <c r="D158" s="4" t="s">
        <v>3920</v>
      </c>
      <c r="E158" s="4" t="s">
        <v>16</v>
      </c>
      <c r="F158" s="4" t="s">
        <v>3921</v>
      </c>
      <c r="G158" s="4" t="s">
        <v>3292</v>
      </c>
      <c r="H158" s="8" t="n">
        <v>6.1</v>
      </c>
      <c r="I158" s="8" t="n">
        <v>215.4</v>
      </c>
      <c r="J158" s="11" t="n">
        <v>1</v>
      </c>
    </row>
    <row r="159" customFormat="false" ht="15" hidden="false" customHeight="false" outlineLevel="0" collapsed="false">
      <c r="A159" s="4" t="s">
        <v>4082</v>
      </c>
      <c r="B159" s="6" t="n">
        <v>45794</v>
      </c>
      <c r="C159" s="4" t="s">
        <v>869</v>
      </c>
      <c r="D159" s="4" t="s">
        <v>3917</v>
      </c>
      <c r="E159" s="4" t="s">
        <v>28</v>
      </c>
      <c r="F159" s="4" t="s">
        <v>3923</v>
      </c>
      <c r="G159" s="4" t="s">
        <v>3340</v>
      </c>
      <c r="H159" s="8" t="n">
        <v>10.9</v>
      </c>
      <c r="I159" s="8" t="n">
        <v>130.1</v>
      </c>
      <c r="J159" s="11" t="n">
        <v>3</v>
      </c>
    </row>
    <row r="160" customFormat="false" ht="15" hidden="false" customHeight="false" outlineLevel="0" collapsed="false">
      <c r="A160" s="4" t="s">
        <v>4083</v>
      </c>
      <c r="B160" s="6" t="n">
        <v>46178</v>
      </c>
      <c r="C160" s="4" t="s">
        <v>1433</v>
      </c>
      <c r="D160" s="4" t="s">
        <v>3938</v>
      </c>
      <c r="E160" s="4" t="s">
        <v>22</v>
      </c>
      <c r="F160" s="4" t="s">
        <v>3918</v>
      </c>
      <c r="G160" s="4" t="s">
        <v>3074</v>
      </c>
      <c r="H160" s="8" t="n">
        <v>18.4</v>
      </c>
      <c r="I160" s="8" t="n">
        <v>235.3</v>
      </c>
      <c r="J160" s="11" t="n">
        <v>5</v>
      </c>
    </row>
    <row r="161" customFormat="false" ht="15" hidden="false" customHeight="false" outlineLevel="0" collapsed="false">
      <c r="A161" s="4" t="s">
        <v>4084</v>
      </c>
      <c r="B161" s="6" t="n">
        <v>45712</v>
      </c>
      <c r="C161" s="4" t="s">
        <v>1193</v>
      </c>
      <c r="D161" s="4" t="s">
        <v>3920</v>
      </c>
      <c r="E161" s="4" t="s">
        <v>22</v>
      </c>
      <c r="F161" s="4" t="s">
        <v>3921</v>
      </c>
      <c r="G161" s="4" t="s">
        <v>3302</v>
      </c>
      <c r="H161" s="8" t="n">
        <v>3</v>
      </c>
      <c r="I161" s="8" t="n">
        <v>234.6</v>
      </c>
      <c r="J161" s="11" t="n">
        <v>5</v>
      </c>
    </row>
    <row r="162" customFormat="false" ht="15" hidden="false" customHeight="false" outlineLevel="0" collapsed="false">
      <c r="A162" s="4" t="s">
        <v>4085</v>
      </c>
      <c r="B162" s="6" t="n">
        <v>45823</v>
      </c>
      <c r="C162" s="4" t="s">
        <v>1215</v>
      </c>
      <c r="D162" s="4" t="s">
        <v>3917</v>
      </c>
      <c r="E162" s="4" t="s">
        <v>10</v>
      </c>
      <c r="F162" s="4" t="s">
        <v>3923</v>
      </c>
      <c r="G162" s="4" t="s">
        <v>3128</v>
      </c>
      <c r="H162" s="8" t="n">
        <v>23.5</v>
      </c>
      <c r="I162" s="8" t="n">
        <v>186.1</v>
      </c>
      <c r="J162" s="11" t="n">
        <v>2</v>
      </c>
    </row>
    <row r="163" customFormat="false" ht="15" hidden="false" customHeight="false" outlineLevel="0" collapsed="false">
      <c r="A163" s="4" t="s">
        <v>4086</v>
      </c>
      <c r="B163" s="6" t="n">
        <v>46164</v>
      </c>
      <c r="C163" s="4" t="s">
        <v>1211</v>
      </c>
      <c r="D163" s="4" t="s">
        <v>3928</v>
      </c>
      <c r="E163" s="4" t="s">
        <v>16</v>
      </c>
      <c r="F163" s="4" t="s">
        <v>3921</v>
      </c>
      <c r="G163" s="4" t="s">
        <v>3170</v>
      </c>
      <c r="H163" s="8" t="n">
        <v>2.2</v>
      </c>
      <c r="I163" s="8" t="n">
        <v>227.2</v>
      </c>
      <c r="J163" s="11" t="n">
        <v>5</v>
      </c>
    </row>
    <row r="164" customFormat="false" ht="15" hidden="false" customHeight="false" outlineLevel="0" collapsed="false">
      <c r="A164" s="4" t="s">
        <v>4087</v>
      </c>
      <c r="B164" s="6" t="n">
        <v>46048</v>
      </c>
      <c r="C164" s="4" t="s">
        <v>1177</v>
      </c>
      <c r="D164" s="4" t="s">
        <v>3938</v>
      </c>
      <c r="E164" s="4" t="s">
        <v>28</v>
      </c>
      <c r="F164" s="4" t="s">
        <v>3923</v>
      </c>
      <c r="G164" s="4" t="s">
        <v>3072</v>
      </c>
      <c r="H164" s="8" t="n">
        <v>20.3</v>
      </c>
      <c r="I164" s="8" t="n">
        <v>45.6</v>
      </c>
      <c r="J164" s="11" t="n">
        <v>3</v>
      </c>
    </row>
    <row r="165" customFormat="false" ht="15" hidden="false" customHeight="false" outlineLevel="0" collapsed="false">
      <c r="A165" s="4" t="s">
        <v>4088</v>
      </c>
      <c r="B165" s="6" t="n">
        <v>46098</v>
      </c>
      <c r="C165" s="4" t="s">
        <v>1365</v>
      </c>
      <c r="D165" s="4" t="s">
        <v>3920</v>
      </c>
      <c r="E165" s="4" t="s">
        <v>22</v>
      </c>
      <c r="F165" s="4" t="s">
        <v>3918</v>
      </c>
      <c r="G165" s="4" t="s">
        <v>3256</v>
      </c>
      <c r="H165" s="8" t="n">
        <v>2.3</v>
      </c>
      <c r="I165" s="8" t="n">
        <v>64</v>
      </c>
      <c r="J165" s="11" t="n">
        <v>2</v>
      </c>
    </row>
    <row r="166" customFormat="false" ht="15" hidden="false" customHeight="false" outlineLevel="0" collapsed="false">
      <c r="A166" s="4" t="s">
        <v>4089</v>
      </c>
      <c r="B166" s="6" t="n">
        <v>45741</v>
      </c>
      <c r="C166" s="4" t="s">
        <v>811</v>
      </c>
      <c r="D166" s="4" t="s">
        <v>3938</v>
      </c>
      <c r="E166" s="4" t="s">
        <v>16</v>
      </c>
      <c r="F166" s="4" t="s">
        <v>3929</v>
      </c>
      <c r="G166" s="4" t="s">
        <v>3386</v>
      </c>
      <c r="H166" s="8" t="n">
        <v>2.3</v>
      </c>
      <c r="I166" s="8" t="n">
        <v>63.3</v>
      </c>
      <c r="J166" s="11" t="n">
        <v>5</v>
      </c>
    </row>
    <row r="167" customFormat="false" ht="15" hidden="false" customHeight="false" outlineLevel="0" collapsed="false">
      <c r="A167" s="4" t="s">
        <v>4090</v>
      </c>
      <c r="B167" s="6" t="n">
        <v>46040</v>
      </c>
      <c r="C167" s="4" t="s">
        <v>561</v>
      </c>
      <c r="D167" s="4" t="s">
        <v>3917</v>
      </c>
      <c r="E167" s="4" t="s">
        <v>10</v>
      </c>
      <c r="F167" s="4" t="s">
        <v>3921</v>
      </c>
      <c r="G167" s="4" t="s">
        <v>2992</v>
      </c>
      <c r="H167" s="8" t="n">
        <v>23.1</v>
      </c>
      <c r="I167" s="8" t="n">
        <v>127.9</v>
      </c>
      <c r="J167" s="11" t="n">
        <v>1</v>
      </c>
    </row>
    <row r="168" customFormat="false" ht="15" hidden="false" customHeight="false" outlineLevel="0" collapsed="false">
      <c r="A168" s="4" t="s">
        <v>4091</v>
      </c>
      <c r="B168" s="6" t="n">
        <v>45971</v>
      </c>
      <c r="C168" s="4" t="s">
        <v>487</v>
      </c>
      <c r="D168" s="4" t="s">
        <v>3926</v>
      </c>
      <c r="E168" s="4" t="s">
        <v>22</v>
      </c>
      <c r="F168" s="4" t="s">
        <v>3923</v>
      </c>
      <c r="G168" s="4" t="s">
        <v>3290</v>
      </c>
      <c r="H168" s="8" t="n">
        <v>9.1</v>
      </c>
      <c r="I168" s="8" t="n">
        <v>18.5</v>
      </c>
      <c r="J168" s="11" t="n">
        <v>2</v>
      </c>
    </row>
    <row r="169" customFormat="false" ht="15" hidden="false" customHeight="false" outlineLevel="0" collapsed="false">
      <c r="A169" s="4" t="s">
        <v>4092</v>
      </c>
      <c r="B169" s="6" t="n">
        <v>45844</v>
      </c>
      <c r="C169" s="4" t="s">
        <v>1013</v>
      </c>
      <c r="D169" s="4" t="s">
        <v>3917</v>
      </c>
      <c r="E169" s="4" t="s">
        <v>16</v>
      </c>
      <c r="F169" s="4" t="s">
        <v>3923</v>
      </c>
      <c r="G169" s="4" t="s">
        <v>3500</v>
      </c>
      <c r="H169" s="8" t="n">
        <v>8.4</v>
      </c>
      <c r="I169" s="8" t="n">
        <v>209.6</v>
      </c>
      <c r="J169" s="11" t="n">
        <v>2</v>
      </c>
    </row>
    <row r="170" customFormat="false" ht="15" hidden="false" customHeight="false" outlineLevel="0" collapsed="false">
      <c r="A170" s="4" t="s">
        <v>4093</v>
      </c>
      <c r="B170" s="6" t="n">
        <v>46109</v>
      </c>
      <c r="C170" s="4" t="s">
        <v>1187</v>
      </c>
      <c r="D170" s="4" t="s">
        <v>3917</v>
      </c>
      <c r="E170" s="4" t="s">
        <v>22</v>
      </c>
      <c r="F170" s="4" t="s">
        <v>3918</v>
      </c>
      <c r="G170" s="4" t="s">
        <v>3260</v>
      </c>
      <c r="H170" s="8" t="n">
        <v>3.7</v>
      </c>
      <c r="I170" s="8" t="n">
        <v>196.9</v>
      </c>
      <c r="J170" s="11" t="n">
        <v>1</v>
      </c>
    </row>
    <row r="171" customFormat="false" ht="15" hidden="false" customHeight="false" outlineLevel="0" collapsed="false">
      <c r="A171" s="4" t="s">
        <v>4094</v>
      </c>
      <c r="B171" s="6" t="n">
        <v>45977</v>
      </c>
      <c r="C171" s="4" t="s">
        <v>1421</v>
      </c>
      <c r="D171" s="4" t="s">
        <v>3920</v>
      </c>
      <c r="E171" s="4" t="s">
        <v>10</v>
      </c>
      <c r="F171" s="4" t="s">
        <v>3921</v>
      </c>
      <c r="G171" s="4" t="s">
        <v>3056</v>
      </c>
      <c r="H171" s="8" t="n">
        <v>8.4</v>
      </c>
      <c r="I171" s="8" t="n">
        <v>44.9</v>
      </c>
      <c r="J171" s="11" t="n">
        <v>5</v>
      </c>
    </row>
    <row r="172" customFormat="false" ht="15" hidden="false" customHeight="false" outlineLevel="0" collapsed="false">
      <c r="A172" s="4" t="s">
        <v>4095</v>
      </c>
      <c r="B172" s="6" t="n">
        <v>46167</v>
      </c>
      <c r="C172" s="4" t="s">
        <v>661</v>
      </c>
      <c r="D172" s="4" t="s">
        <v>3926</v>
      </c>
      <c r="E172" s="4" t="s">
        <v>16</v>
      </c>
      <c r="F172" s="4" t="s">
        <v>3921</v>
      </c>
      <c r="G172" s="4" t="s">
        <v>3080</v>
      </c>
      <c r="H172" s="8" t="n">
        <v>23.9</v>
      </c>
      <c r="I172" s="8" t="n">
        <v>221</v>
      </c>
      <c r="J172" s="11" t="n">
        <v>4</v>
      </c>
    </row>
    <row r="173" customFormat="false" ht="15" hidden="false" customHeight="false" outlineLevel="0" collapsed="false">
      <c r="A173" s="4" t="s">
        <v>4096</v>
      </c>
      <c r="B173" s="6" t="n">
        <v>45777</v>
      </c>
      <c r="C173" s="4" t="s">
        <v>1149</v>
      </c>
      <c r="D173" s="4" t="s">
        <v>3926</v>
      </c>
      <c r="E173" s="4" t="s">
        <v>28</v>
      </c>
      <c r="F173" s="4" t="s">
        <v>3923</v>
      </c>
      <c r="G173" s="4" t="s">
        <v>3034</v>
      </c>
      <c r="H173" s="8" t="n">
        <v>8.2</v>
      </c>
      <c r="I173" s="8" t="n">
        <v>89</v>
      </c>
      <c r="J173" s="11" t="n">
        <v>2</v>
      </c>
    </row>
    <row r="174" customFormat="false" ht="15" hidden="false" customHeight="false" outlineLevel="0" collapsed="false">
      <c r="A174" s="4" t="s">
        <v>4097</v>
      </c>
      <c r="B174" s="6" t="n">
        <v>46071</v>
      </c>
      <c r="C174" s="4" t="s">
        <v>504</v>
      </c>
      <c r="D174" s="4" t="s">
        <v>3920</v>
      </c>
      <c r="E174" s="4" t="s">
        <v>28</v>
      </c>
      <c r="F174" s="4" t="s">
        <v>3918</v>
      </c>
      <c r="G174" s="4" t="s">
        <v>3032</v>
      </c>
      <c r="H174" s="8" t="n">
        <v>22</v>
      </c>
      <c r="I174" s="8" t="n">
        <v>221.2</v>
      </c>
      <c r="J174" s="11" t="n">
        <v>5</v>
      </c>
    </row>
    <row r="175" customFormat="false" ht="15" hidden="false" customHeight="false" outlineLevel="0" collapsed="false">
      <c r="A175" s="4" t="s">
        <v>4098</v>
      </c>
      <c r="B175" s="6" t="n">
        <v>45986</v>
      </c>
      <c r="C175" s="4" t="s">
        <v>1397</v>
      </c>
      <c r="D175" s="4" t="s">
        <v>3926</v>
      </c>
      <c r="E175" s="4" t="s">
        <v>10</v>
      </c>
      <c r="F175" s="4" t="s">
        <v>3921</v>
      </c>
      <c r="G175" s="4" t="s">
        <v>3290</v>
      </c>
      <c r="H175" s="8" t="n">
        <v>13.8</v>
      </c>
      <c r="I175" s="8" t="n">
        <v>128.6</v>
      </c>
      <c r="J175" s="11" t="n">
        <v>4</v>
      </c>
    </row>
    <row r="176" customFormat="false" ht="15" hidden="false" customHeight="false" outlineLevel="0" collapsed="false">
      <c r="A176" s="4" t="s">
        <v>4099</v>
      </c>
      <c r="B176" s="6" t="n">
        <v>45986</v>
      </c>
      <c r="C176" s="4" t="s">
        <v>603</v>
      </c>
      <c r="D176" s="4" t="s">
        <v>3938</v>
      </c>
      <c r="E176" s="4" t="s">
        <v>16</v>
      </c>
      <c r="F176" s="4" t="s">
        <v>3929</v>
      </c>
      <c r="G176" s="4" t="s">
        <v>3392</v>
      </c>
      <c r="H176" s="8" t="n">
        <v>4.8</v>
      </c>
      <c r="I176" s="8" t="n">
        <v>226.7</v>
      </c>
      <c r="J176" s="11" t="n">
        <v>4</v>
      </c>
    </row>
    <row r="177" customFormat="false" ht="15" hidden="false" customHeight="false" outlineLevel="0" collapsed="false">
      <c r="A177" s="4" t="s">
        <v>4100</v>
      </c>
      <c r="B177" s="6" t="n">
        <v>46044</v>
      </c>
      <c r="C177" s="4" t="s">
        <v>548</v>
      </c>
      <c r="D177" s="4" t="s">
        <v>3938</v>
      </c>
      <c r="E177" s="4" t="s">
        <v>28</v>
      </c>
      <c r="F177" s="4" t="s">
        <v>3923</v>
      </c>
      <c r="G177" s="4" t="s">
        <v>3011</v>
      </c>
      <c r="H177" s="8" t="n">
        <v>11.8</v>
      </c>
      <c r="I177" s="8" t="n">
        <v>78.5</v>
      </c>
      <c r="J177" s="11" t="n">
        <v>4</v>
      </c>
    </row>
    <row r="178" customFormat="false" ht="15" hidden="false" customHeight="false" outlineLevel="0" collapsed="false">
      <c r="A178" s="4" t="s">
        <v>4101</v>
      </c>
      <c r="B178" s="6" t="n">
        <v>46167</v>
      </c>
      <c r="C178" s="4" t="s">
        <v>1269</v>
      </c>
      <c r="D178" s="4" t="s">
        <v>3920</v>
      </c>
      <c r="E178" s="4" t="s">
        <v>28</v>
      </c>
      <c r="F178" s="4" t="s">
        <v>3929</v>
      </c>
      <c r="G178" s="4" t="s">
        <v>3396</v>
      </c>
      <c r="H178" s="8" t="n">
        <v>16.4</v>
      </c>
      <c r="I178" s="8" t="n">
        <v>15.1</v>
      </c>
      <c r="J178" s="11" t="n">
        <v>1</v>
      </c>
    </row>
    <row r="179" customFormat="false" ht="15" hidden="false" customHeight="false" outlineLevel="0" collapsed="false">
      <c r="A179" s="4" t="s">
        <v>4102</v>
      </c>
      <c r="B179" s="6" t="n">
        <v>45972</v>
      </c>
      <c r="C179" s="4" t="s">
        <v>1377</v>
      </c>
      <c r="D179" s="4" t="s">
        <v>3926</v>
      </c>
      <c r="E179" s="4" t="s">
        <v>16</v>
      </c>
      <c r="F179" s="4" t="s">
        <v>3921</v>
      </c>
      <c r="G179" s="4" t="s">
        <v>3384</v>
      </c>
      <c r="H179" s="8" t="n">
        <v>21.6</v>
      </c>
      <c r="I179" s="8" t="n">
        <v>131.2</v>
      </c>
      <c r="J179" s="11" t="n">
        <v>3</v>
      </c>
    </row>
    <row r="180" customFormat="false" ht="15" hidden="false" customHeight="false" outlineLevel="0" collapsed="false">
      <c r="A180" s="4" t="s">
        <v>4103</v>
      </c>
      <c r="B180" s="6" t="n">
        <v>45706</v>
      </c>
      <c r="C180" s="4" t="s">
        <v>1453</v>
      </c>
      <c r="D180" s="4" t="s">
        <v>3920</v>
      </c>
      <c r="E180" s="4" t="s">
        <v>10</v>
      </c>
      <c r="F180" s="4" t="s">
        <v>3921</v>
      </c>
      <c r="G180" s="4" t="s">
        <v>3198</v>
      </c>
      <c r="H180" s="8" t="n">
        <v>4.6</v>
      </c>
      <c r="I180" s="8" t="n">
        <v>231.5</v>
      </c>
      <c r="J180" s="11" t="n">
        <v>1</v>
      </c>
    </row>
    <row r="181" customFormat="false" ht="15" hidden="false" customHeight="false" outlineLevel="0" collapsed="false">
      <c r="A181" s="4" t="s">
        <v>4104</v>
      </c>
      <c r="B181" s="6" t="n">
        <v>46178</v>
      </c>
      <c r="C181" s="4" t="s">
        <v>843</v>
      </c>
      <c r="D181" s="4" t="s">
        <v>3928</v>
      </c>
      <c r="E181" s="4" t="s">
        <v>28</v>
      </c>
      <c r="F181" s="4" t="s">
        <v>3918</v>
      </c>
      <c r="G181" s="4" t="s">
        <v>3468</v>
      </c>
      <c r="H181" s="8" t="n">
        <v>5.2</v>
      </c>
      <c r="I181" s="8" t="n">
        <v>110.8</v>
      </c>
      <c r="J181" s="11" t="n">
        <v>2</v>
      </c>
    </row>
    <row r="182" customFormat="false" ht="15" hidden="false" customHeight="false" outlineLevel="0" collapsed="false">
      <c r="A182" s="4" t="s">
        <v>4105</v>
      </c>
      <c r="B182" s="6" t="n">
        <v>45732</v>
      </c>
      <c r="C182" s="4" t="s">
        <v>1195</v>
      </c>
      <c r="D182" s="4" t="s">
        <v>3917</v>
      </c>
      <c r="E182" s="4" t="s">
        <v>16</v>
      </c>
      <c r="F182" s="4" t="s">
        <v>3929</v>
      </c>
      <c r="G182" s="4" t="s">
        <v>3254</v>
      </c>
      <c r="H182" s="8" t="n">
        <v>5</v>
      </c>
      <c r="I182" s="8" t="n">
        <v>154.4</v>
      </c>
      <c r="J182" s="11" t="n">
        <v>1</v>
      </c>
    </row>
    <row r="183" customFormat="false" ht="15" hidden="false" customHeight="false" outlineLevel="0" collapsed="false">
      <c r="A183" s="4" t="s">
        <v>4106</v>
      </c>
      <c r="B183" s="6" t="n">
        <v>45868</v>
      </c>
      <c r="C183" s="4" t="s">
        <v>1385</v>
      </c>
      <c r="D183" s="4" t="s">
        <v>3928</v>
      </c>
      <c r="E183" s="4" t="s">
        <v>10</v>
      </c>
      <c r="F183" s="4" t="s">
        <v>3923</v>
      </c>
      <c r="G183" s="4" t="s">
        <v>3474</v>
      </c>
      <c r="H183" s="8" t="n">
        <v>7</v>
      </c>
      <c r="I183" s="8" t="n">
        <v>217.2</v>
      </c>
      <c r="J183" s="11" t="n">
        <v>3</v>
      </c>
    </row>
    <row r="184" customFormat="false" ht="15" hidden="false" customHeight="false" outlineLevel="0" collapsed="false">
      <c r="A184" s="4" t="s">
        <v>4107</v>
      </c>
      <c r="B184" s="6" t="n">
        <v>45891</v>
      </c>
      <c r="C184" s="4" t="s">
        <v>845</v>
      </c>
      <c r="D184" s="4" t="s">
        <v>3938</v>
      </c>
      <c r="E184" s="4" t="s">
        <v>16</v>
      </c>
      <c r="F184" s="4" t="s">
        <v>3923</v>
      </c>
      <c r="G184" s="4" t="s">
        <v>3024</v>
      </c>
      <c r="H184" s="8" t="n">
        <v>3.8</v>
      </c>
      <c r="I184" s="8" t="n">
        <v>144.5</v>
      </c>
      <c r="J184" s="11" t="n">
        <v>5</v>
      </c>
    </row>
    <row r="185" customFormat="false" ht="15" hidden="false" customHeight="false" outlineLevel="0" collapsed="false">
      <c r="A185" s="4" t="s">
        <v>4108</v>
      </c>
      <c r="B185" s="6" t="n">
        <v>45975</v>
      </c>
      <c r="C185" s="4" t="s">
        <v>673</v>
      </c>
      <c r="D185" s="4" t="s">
        <v>3920</v>
      </c>
      <c r="E185" s="4" t="s">
        <v>22</v>
      </c>
      <c r="F185" s="4" t="s">
        <v>3923</v>
      </c>
      <c r="G185" s="4" t="s">
        <v>3210</v>
      </c>
      <c r="H185" s="8" t="n">
        <v>16.6</v>
      </c>
      <c r="I185" s="8" t="n">
        <v>101</v>
      </c>
      <c r="J185" s="11" t="n">
        <v>4</v>
      </c>
    </row>
    <row r="186" customFormat="false" ht="15" hidden="false" customHeight="false" outlineLevel="0" collapsed="false">
      <c r="A186" s="4" t="s">
        <v>4109</v>
      </c>
      <c r="B186" s="6" t="n">
        <v>45852</v>
      </c>
      <c r="C186" s="4" t="s">
        <v>1301</v>
      </c>
      <c r="D186" s="4" t="s">
        <v>3938</v>
      </c>
      <c r="E186" s="4" t="s">
        <v>28</v>
      </c>
      <c r="F186" s="4" t="s">
        <v>3929</v>
      </c>
      <c r="G186" s="4" t="s">
        <v>3130</v>
      </c>
      <c r="H186" s="8" t="n">
        <v>14.4</v>
      </c>
      <c r="I186" s="8" t="n">
        <v>151.1</v>
      </c>
      <c r="J186" s="11" t="n">
        <v>4</v>
      </c>
    </row>
    <row r="187" customFormat="false" ht="15" hidden="false" customHeight="false" outlineLevel="0" collapsed="false">
      <c r="A187" s="4" t="s">
        <v>4110</v>
      </c>
      <c r="B187" s="6" t="n">
        <v>45789</v>
      </c>
      <c r="C187" s="4" t="s">
        <v>1143</v>
      </c>
      <c r="D187" s="4" t="s">
        <v>3917</v>
      </c>
      <c r="E187" s="4" t="s">
        <v>10</v>
      </c>
      <c r="F187" s="4" t="s">
        <v>3923</v>
      </c>
      <c r="G187" s="4" t="s">
        <v>3038</v>
      </c>
      <c r="H187" s="8" t="n">
        <v>15.3</v>
      </c>
      <c r="I187" s="8" t="n">
        <v>29.4</v>
      </c>
      <c r="J187" s="11" t="n">
        <v>4</v>
      </c>
    </row>
    <row r="188" customFormat="false" ht="15" hidden="false" customHeight="false" outlineLevel="0" collapsed="false">
      <c r="A188" s="4" t="s">
        <v>4111</v>
      </c>
      <c r="B188" s="6" t="n">
        <v>45993</v>
      </c>
      <c r="C188" s="4" t="s">
        <v>635</v>
      </c>
      <c r="D188" s="4" t="s">
        <v>3920</v>
      </c>
      <c r="E188" s="4" t="s">
        <v>10</v>
      </c>
      <c r="F188" s="4" t="s">
        <v>3918</v>
      </c>
      <c r="G188" s="4" t="s">
        <v>3490</v>
      </c>
      <c r="H188" s="8" t="n">
        <v>16.4</v>
      </c>
      <c r="I188" s="8" t="n">
        <v>223.5</v>
      </c>
      <c r="J188" s="11" t="n">
        <v>4</v>
      </c>
    </row>
    <row r="189" customFormat="false" ht="15" hidden="false" customHeight="false" outlineLevel="0" collapsed="false">
      <c r="A189" s="4" t="s">
        <v>4112</v>
      </c>
      <c r="B189" s="6" t="n">
        <v>45949</v>
      </c>
      <c r="C189" s="4" t="s">
        <v>1341</v>
      </c>
      <c r="D189" s="4" t="s">
        <v>3926</v>
      </c>
      <c r="E189" s="4" t="s">
        <v>22</v>
      </c>
      <c r="F189" s="4" t="s">
        <v>3929</v>
      </c>
      <c r="G189" s="4" t="s">
        <v>3134</v>
      </c>
      <c r="H189" s="8" t="n">
        <v>2.7</v>
      </c>
      <c r="I189" s="8" t="n">
        <v>30.4</v>
      </c>
      <c r="J189" s="11" t="n">
        <v>2</v>
      </c>
    </row>
    <row r="190" customFormat="false" ht="15" hidden="false" customHeight="false" outlineLevel="0" collapsed="false">
      <c r="A190" s="4" t="s">
        <v>4113</v>
      </c>
      <c r="B190" s="6" t="n">
        <v>45863</v>
      </c>
      <c r="C190" s="4" t="s">
        <v>595</v>
      </c>
      <c r="D190" s="4" t="s">
        <v>3926</v>
      </c>
      <c r="E190" s="4" t="s">
        <v>10</v>
      </c>
      <c r="F190" s="4" t="s">
        <v>3923</v>
      </c>
      <c r="G190" s="4" t="s">
        <v>3020</v>
      </c>
      <c r="H190" s="8" t="n">
        <v>11.3</v>
      </c>
      <c r="I190" s="8" t="n">
        <v>28</v>
      </c>
      <c r="J190" s="11" t="n">
        <v>2</v>
      </c>
    </row>
    <row r="191" customFormat="false" ht="15" hidden="false" customHeight="false" outlineLevel="0" collapsed="false">
      <c r="A191" s="4" t="s">
        <v>4114</v>
      </c>
      <c r="B191" s="6" t="n">
        <v>45846</v>
      </c>
      <c r="C191" s="4" t="s">
        <v>548</v>
      </c>
      <c r="D191" s="4" t="s">
        <v>3928</v>
      </c>
      <c r="E191" s="4" t="s">
        <v>10</v>
      </c>
      <c r="F191" s="4" t="s">
        <v>3923</v>
      </c>
      <c r="G191" s="4" t="s">
        <v>3124</v>
      </c>
      <c r="H191" s="8" t="n">
        <v>10.5</v>
      </c>
      <c r="I191" s="8" t="n">
        <v>90.3</v>
      </c>
      <c r="J191" s="11" t="n">
        <v>2</v>
      </c>
    </row>
    <row r="192" customFormat="false" ht="15" hidden="false" customHeight="false" outlineLevel="0" collapsed="false">
      <c r="A192" s="4" t="s">
        <v>4115</v>
      </c>
      <c r="B192" s="6" t="n">
        <v>46173</v>
      </c>
      <c r="C192" s="4" t="s">
        <v>1249</v>
      </c>
      <c r="D192" s="4" t="s">
        <v>3917</v>
      </c>
      <c r="E192" s="4" t="s">
        <v>28</v>
      </c>
      <c r="F192" s="4" t="s">
        <v>3921</v>
      </c>
      <c r="G192" s="4" t="s">
        <v>3394</v>
      </c>
      <c r="H192" s="8" t="n">
        <v>5.1</v>
      </c>
      <c r="I192" s="8" t="n">
        <v>77.7</v>
      </c>
      <c r="J192" s="11" t="n">
        <v>5</v>
      </c>
    </row>
    <row r="193" customFormat="false" ht="15" hidden="false" customHeight="false" outlineLevel="0" collapsed="false">
      <c r="A193" s="4" t="s">
        <v>4116</v>
      </c>
      <c r="B193" s="6" t="n">
        <v>46007</v>
      </c>
      <c r="C193" s="4" t="s">
        <v>1345</v>
      </c>
      <c r="D193" s="4" t="s">
        <v>3920</v>
      </c>
      <c r="E193" s="4" t="s">
        <v>10</v>
      </c>
      <c r="F193" s="4" t="s">
        <v>3918</v>
      </c>
      <c r="G193" s="4" t="s">
        <v>3472</v>
      </c>
      <c r="H193" s="8" t="n">
        <v>4.3</v>
      </c>
      <c r="I193" s="8" t="n">
        <v>112</v>
      </c>
      <c r="J193" s="11" t="n">
        <v>1</v>
      </c>
    </row>
    <row r="194" customFormat="false" ht="15" hidden="false" customHeight="false" outlineLevel="0" collapsed="false">
      <c r="A194" s="4" t="s">
        <v>4117</v>
      </c>
      <c r="B194" s="6" t="n">
        <v>45814</v>
      </c>
      <c r="C194" s="4" t="s">
        <v>1433</v>
      </c>
      <c r="D194" s="4" t="s">
        <v>3920</v>
      </c>
      <c r="E194" s="4" t="s">
        <v>28</v>
      </c>
      <c r="F194" s="4" t="s">
        <v>3923</v>
      </c>
      <c r="G194" s="4" t="s">
        <v>3260</v>
      </c>
      <c r="H194" s="8" t="n">
        <v>1.6</v>
      </c>
      <c r="I194" s="8" t="n">
        <v>45.8</v>
      </c>
      <c r="J194" s="11" t="n">
        <v>2</v>
      </c>
    </row>
    <row r="195" customFormat="false" ht="15" hidden="false" customHeight="false" outlineLevel="0" collapsed="false">
      <c r="A195" s="4" t="s">
        <v>4118</v>
      </c>
      <c r="B195" s="6" t="n">
        <v>45683</v>
      </c>
      <c r="C195" s="4" t="s">
        <v>1357</v>
      </c>
      <c r="D195" s="4" t="s">
        <v>3938</v>
      </c>
      <c r="E195" s="4" t="s">
        <v>22</v>
      </c>
      <c r="F195" s="4" t="s">
        <v>3923</v>
      </c>
      <c r="G195" s="4" t="s">
        <v>3036</v>
      </c>
      <c r="H195" s="8" t="n">
        <v>20.3</v>
      </c>
      <c r="I195" s="8" t="n">
        <v>145.2</v>
      </c>
      <c r="J195" s="11" t="n">
        <v>3</v>
      </c>
    </row>
    <row r="196" customFormat="false" ht="15" hidden="false" customHeight="false" outlineLevel="0" collapsed="false">
      <c r="A196" s="4" t="s">
        <v>4119</v>
      </c>
      <c r="B196" s="6" t="n">
        <v>45983</v>
      </c>
      <c r="C196" s="4" t="s">
        <v>520</v>
      </c>
      <c r="D196" s="4" t="s">
        <v>3928</v>
      </c>
      <c r="E196" s="4" t="s">
        <v>16</v>
      </c>
      <c r="F196" s="4" t="s">
        <v>3918</v>
      </c>
      <c r="G196" s="4" t="s">
        <v>3352</v>
      </c>
      <c r="H196" s="8" t="n">
        <v>1.7</v>
      </c>
      <c r="I196" s="8" t="n">
        <v>125.3</v>
      </c>
      <c r="J196" s="11" t="n">
        <v>1</v>
      </c>
    </row>
    <row r="197" customFormat="false" ht="15" hidden="false" customHeight="false" outlineLevel="0" collapsed="false">
      <c r="A197" s="4" t="s">
        <v>4120</v>
      </c>
      <c r="B197" s="6" t="n">
        <v>46037</v>
      </c>
      <c r="C197" s="4" t="s">
        <v>500</v>
      </c>
      <c r="D197" s="4" t="s">
        <v>3917</v>
      </c>
      <c r="E197" s="4" t="s">
        <v>16</v>
      </c>
      <c r="F197" s="4" t="s">
        <v>3929</v>
      </c>
      <c r="G197" s="4" t="s">
        <v>3462</v>
      </c>
      <c r="H197" s="8" t="n">
        <v>2.6</v>
      </c>
      <c r="I197" s="8" t="n">
        <v>57.6</v>
      </c>
      <c r="J197" s="11" t="n">
        <v>4</v>
      </c>
    </row>
    <row r="198" customFormat="false" ht="15" hidden="false" customHeight="false" outlineLevel="0" collapsed="false">
      <c r="A198" s="4" t="s">
        <v>4121</v>
      </c>
      <c r="B198" s="6" t="n">
        <v>46054</v>
      </c>
      <c r="C198" s="4" t="s">
        <v>1251</v>
      </c>
      <c r="D198" s="4" t="s">
        <v>3926</v>
      </c>
      <c r="E198" s="4" t="s">
        <v>10</v>
      </c>
      <c r="F198" s="4" t="s">
        <v>3921</v>
      </c>
      <c r="G198" s="4" t="s">
        <v>3062</v>
      </c>
      <c r="H198" s="8" t="n">
        <v>20.6</v>
      </c>
      <c r="I198" s="8" t="n">
        <v>183.4</v>
      </c>
      <c r="J198" s="11" t="n">
        <v>1</v>
      </c>
    </row>
    <row r="199" customFormat="false" ht="15" hidden="false" customHeight="false" outlineLevel="0" collapsed="false">
      <c r="A199" s="4" t="s">
        <v>4122</v>
      </c>
      <c r="B199" s="6" t="n">
        <v>46145</v>
      </c>
      <c r="C199" s="4" t="s">
        <v>1423</v>
      </c>
      <c r="D199" s="4" t="s">
        <v>3926</v>
      </c>
      <c r="E199" s="4" t="s">
        <v>10</v>
      </c>
      <c r="F199" s="4" t="s">
        <v>3921</v>
      </c>
      <c r="G199" s="4" t="s">
        <v>3332</v>
      </c>
      <c r="H199" s="8" t="n">
        <v>9.3</v>
      </c>
      <c r="I199" s="8" t="n">
        <v>165.2</v>
      </c>
      <c r="J199" s="11" t="n">
        <v>4</v>
      </c>
    </row>
    <row r="200" customFormat="false" ht="15" hidden="false" customHeight="false" outlineLevel="0" collapsed="false">
      <c r="A200" s="4" t="s">
        <v>4123</v>
      </c>
      <c r="B200" s="6" t="n">
        <v>46160</v>
      </c>
      <c r="C200" s="4" t="s">
        <v>1091</v>
      </c>
      <c r="D200" s="4" t="s">
        <v>3920</v>
      </c>
      <c r="E200" s="4" t="s">
        <v>28</v>
      </c>
      <c r="F200" s="4" t="s">
        <v>3918</v>
      </c>
      <c r="G200" s="4" t="s">
        <v>3178</v>
      </c>
      <c r="H200" s="8" t="n">
        <v>23.5</v>
      </c>
      <c r="I200" s="8" t="n">
        <v>153.5</v>
      </c>
      <c r="J200" s="11" t="n">
        <v>4</v>
      </c>
    </row>
    <row r="201" customFormat="false" ht="15" hidden="false" customHeight="false" outlineLevel="0" collapsed="false">
      <c r="A201" s="4" t="s">
        <v>4124</v>
      </c>
      <c r="B201" s="6" t="n">
        <v>46026</v>
      </c>
      <c r="C201" s="4" t="s">
        <v>693</v>
      </c>
      <c r="D201" s="4" t="s">
        <v>3917</v>
      </c>
      <c r="E201" s="4" t="s">
        <v>16</v>
      </c>
      <c r="F201" s="4" t="s">
        <v>3923</v>
      </c>
      <c r="G201" s="4" t="s">
        <v>3148</v>
      </c>
      <c r="H201" s="8" t="n">
        <v>15.3</v>
      </c>
      <c r="I201" s="8" t="n">
        <v>43.5</v>
      </c>
      <c r="J201" s="11" t="n">
        <v>4</v>
      </c>
    </row>
    <row r="202" customFormat="false" ht="15" hidden="false" customHeight="false" outlineLevel="0" collapsed="false">
      <c r="A202" s="4" t="s">
        <v>4125</v>
      </c>
      <c r="B202" s="6" t="n">
        <v>46034</v>
      </c>
      <c r="C202" s="4" t="s">
        <v>1221</v>
      </c>
      <c r="D202" s="4" t="s">
        <v>3928</v>
      </c>
      <c r="E202" s="4" t="s">
        <v>22</v>
      </c>
      <c r="F202" s="4" t="s">
        <v>3918</v>
      </c>
      <c r="G202" s="4" t="s">
        <v>3222</v>
      </c>
      <c r="H202" s="8" t="n">
        <v>19.4</v>
      </c>
      <c r="I202" s="8" t="n">
        <v>36.3</v>
      </c>
      <c r="J202" s="11" t="n">
        <v>4</v>
      </c>
    </row>
    <row r="203" customFormat="false" ht="15" hidden="false" customHeight="false" outlineLevel="0" collapsed="false">
      <c r="A203" s="4" t="s">
        <v>4126</v>
      </c>
      <c r="B203" s="6" t="n">
        <v>46069</v>
      </c>
      <c r="C203" s="4" t="s">
        <v>593</v>
      </c>
      <c r="D203" s="4" t="s">
        <v>3920</v>
      </c>
      <c r="E203" s="4" t="s">
        <v>28</v>
      </c>
      <c r="F203" s="4" t="s">
        <v>3918</v>
      </c>
      <c r="G203" s="4" t="s">
        <v>3108</v>
      </c>
      <c r="H203" s="8" t="n">
        <v>22.6</v>
      </c>
      <c r="I203" s="8" t="n">
        <v>102.2</v>
      </c>
      <c r="J203" s="11" t="n">
        <v>4</v>
      </c>
    </row>
    <row r="204" customFormat="false" ht="15" hidden="false" customHeight="false" outlineLevel="0" collapsed="false">
      <c r="A204" s="4" t="s">
        <v>4127</v>
      </c>
      <c r="B204" s="6" t="n">
        <v>46112</v>
      </c>
      <c r="C204" s="4" t="s">
        <v>1439</v>
      </c>
      <c r="D204" s="4" t="s">
        <v>3938</v>
      </c>
      <c r="E204" s="4" t="s">
        <v>28</v>
      </c>
      <c r="F204" s="4" t="s">
        <v>3923</v>
      </c>
      <c r="G204" s="4" t="s">
        <v>3238</v>
      </c>
      <c r="H204" s="8" t="n">
        <v>8.8</v>
      </c>
      <c r="I204" s="8" t="n">
        <v>79.6</v>
      </c>
      <c r="J204" s="11" t="n">
        <v>4</v>
      </c>
    </row>
    <row r="205" customFormat="false" ht="15" hidden="false" customHeight="false" outlineLevel="0" collapsed="false">
      <c r="A205" s="4" t="s">
        <v>4128</v>
      </c>
      <c r="B205" s="6" t="n">
        <v>45909</v>
      </c>
      <c r="C205" s="4" t="s">
        <v>687</v>
      </c>
      <c r="D205" s="4" t="s">
        <v>3917</v>
      </c>
      <c r="E205" s="4" t="s">
        <v>16</v>
      </c>
      <c r="F205" s="4" t="s">
        <v>3918</v>
      </c>
      <c r="G205" s="4" t="s">
        <v>3292</v>
      </c>
      <c r="H205" s="8" t="n">
        <v>4.8</v>
      </c>
      <c r="I205" s="8" t="n">
        <v>209.9</v>
      </c>
      <c r="J205" s="11" t="n">
        <v>5</v>
      </c>
    </row>
    <row r="206" customFormat="false" ht="15" hidden="false" customHeight="false" outlineLevel="0" collapsed="false">
      <c r="A206" s="4" t="s">
        <v>4129</v>
      </c>
      <c r="B206" s="6" t="n">
        <v>46076</v>
      </c>
      <c r="C206" s="4" t="s">
        <v>847</v>
      </c>
      <c r="D206" s="4" t="s">
        <v>3920</v>
      </c>
      <c r="E206" s="4" t="s">
        <v>22</v>
      </c>
      <c r="F206" s="4" t="s">
        <v>3923</v>
      </c>
      <c r="G206" s="4" t="s">
        <v>3110</v>
      </c>
      <c r="H206" s="8" t="n">
        <v>9.5</v>
      </c>
      <c r="I206" s="8" t="n">
        <v>113.9</v>
      </c>
      <c r="J206" s="11" t="n">
        <v>5</v>
      </c>
    </row>
    <row r="207" customFormat="false" ht="15" hidden="false" customHeight="false" outlineLevel="0" collapsed="false">
      <c r="A207" s="4" t="s">
        <v>4130</v>
      </c>
      <c r="B207" s="6" t="n">
        <v>46080</v>
      </c>
      <c r="C207" s="4" t="s">
        <v>514</v>
      </c>
      <c r="D207" s="4" t="s">
        <v>3917</v>
      </c>
      <c r="E207" s="4" t="s">
        <v>28</v>
      </c>
      <c r="F207" s="4" t="s">
        <v>3929</v>
      </c>
      <c r="G207" s="4" t="s">
        <v>3112</v>
      </c>
      <c r="H207" s="8" t="n">
        <v>8.2</v>
      </c>
      <c r="I207" s="8" t="n">
        <v>213.8</v>
      </c>
      <c r="J207" s="11" t="n">
        <v>4</v>
      </c>
    </row>
    <row r="208" customFormat="false" ht="15" hidden="false" customHeight="false" outlineLevel="0" collapsed="false">
      <c r="A208" s="4" t="s">
        <v>4131</v>
      </c>
      <c r="B208" s="6" t="n">
        <v>46111</v>
      </c>
      <c r="C208" s="4" t="s">
        <v>483</v>
      </c>
      <c r="D208" s="4" t="s">
        <v>3917</v>
      </c>
      <c r="E208" s="4" t="s">
        <v>28</v>
      </c>
      <c r="F208" s="4" t="s">
        <v>3918</v>
      </c>
      <c r="G208" s="4" t="s">
        <v>3198</v>
      </c>
      <c r="H208" s="8" t="n">
        <v>13.7</v>
      </c>
      <c r="I208" s="8" t="n">
        <v>43</v>
      </c>
      <c r="J208" s="11" t="n">
        <v>5</v>
      </c>
    </row>
    <row r="209" customFormat="false" ht="15" hidden="false" customHeight="false" outlineLevel="0" collapsed="false">
      <c r="A209" s="4" t="s">
        <v>4132</v>
      </c>
      <c r="B209" s="6" t="n">
        <v>45860</v>
      </c>
      <c r="C209" s="4" t="s">
        <v>619</v>
      </c>
      <c r="D209" s="4" t="s">
        <v>3938</v>
      </c>
      <c r="E209" s="4" t="s">
        <v>16</v>
      </c>
      <c r="F209" s="4" t="s">
        <v>3923</v>
      </c>
      <c r="G209" s="4" t="s">
        <v>3164</v>
      </c>
      <c r="H209" s="8" t="n">
        <v>11.3</v>
      </c>
      <c r="I209" s="8" t="n">
        <v>208.6</v>
      </c>
      <c r="J209" s="11" t="n">
        <v>2</v>
      </c>
    </row>
    <row r="210" customFormat="false" ht="15" hidden="false" customHeight="false" outlineLevel="0" collapsed="false">
      <c r="A210" s="4" t="s">
        <v>4133</v>
      </c>
      <c r="B210" s="6" t="n">
        <v>46201</v>
      </c>
      <c r="C210" s="4" t="s">
        <v>1217</v>
      </c>
      <c r="D210" s="4" t="s">
        <v>3928</v>
      </c>
      <c r="E210" s="4" t="s">
        <v>28</v>
      </c>
      <c r="F210" s="4" t="s">
        <v>3929</v>
      </c>
      <c r="G210" s="4" t="s">
        <v>3348</v>
      </c>
      <c r="H210" s="8" t="n">
        <v>2.4</v>
      </c>
      <c r="I210" s="8" t="n">
        <v>17.6</v>
      </c>
      <c r="J210" s="11" t="n">
        <v>1</v>
      </c>
    </row>
    <row r="211" customFormat="false" ht="15" hidden="false" customHeight="false" outlineLevel="0" collapsed="false">
      <c r="A211" s="4" t="s">
        <v>4134</v>
      </c>
      <c r="B211" s="6" t="n">
        <v>45997</v>
      </c>
      <c r="C211" s="4" t="s">
        <v>1337</v>
      </c>
      <c r="D211" s="4" t="s">
        <v>3928</v>
      </c>
      <c r="E211" s="4" t="s">
        <v>10</v>
      </c>
      <c r="F211" s="4" t="s">
        <v>3921</v>
      </c>
      <c r="G211" s="4" t="s">
        <v>3162</v>
      </c>
      <c r="H211" s="8" t="n">
        <v>22.4</v>
      </c>
      <c r="I211" s="8" t="n">
        <v>86.9</v>
      </c>
      <c r="J211" s="11" t="n">
        <v>2</v>
      </c>
    </row>
    <row r="212" customFormat="false" ht="15" hidden="false" customHeight="false" outlineLevel="0" collapsed="false">
      <c r="A212" s="4" t="s">
        <v>4135</v>
      </c>
      <c r="B212" s="6" t="n">
        <v>45725</v>
      </c>
      <c r="C212" s="4" t="s">
        <v>835</v>
      </c>
      <c r="D212" s="4" t="s">
        <v>3926</v>
      </c>
      <c r="E212" s="4" t="s">
        <v>16</v>
      </c>
      <c r="F212" s="4" t="s">
        <v>3929</v>
      </c>
      <c r="G212" s="4" t="s">
        <v>3466</v>
      </c>
      <c r="H212" s="8" t="n">
        <v>7.6</v>
      </c>
      <c r="I212" s="8" t="n">
        <v>217.3</v>
      </c>
      <c r="J212" s="11" t="n">
        <v>4</v>
      </c>
    </row>
    <row r="213" customFormat="false" ht="15" hidden="false" customHeight="false" outlineLevel="0" collapsed="false">
      <c r="A213" s="4" t="s">
        <v>4136</v>
      </c>
      <c r="B213" s="6" t="n">
        <v>45837</v>
      </c>
      <c r="C213" s="4" t="s">
        <v>761</v>
      </c>
      <c r="D213" s="4" t="s">
        <v>3920</v>
      </c>
      <c r="E213" s="4" t="s">
        <v>28</v>
      </c>
      <c r="F213" s="4" t="s">
        <v>3929</v>
      </c>
      <c r="G213" s="4" t="s">
        <v>3052</v>
      </c>
      <c r="H213" s="8" t="n">
        <v>19.3</v>
      </c>
      <c r="I213" s="8" t="n">
        <v>40</v>
      </c>
      <c r="J213" s="11" t="n">
        <v>2</v>
      </c>
    </row>
    <row r="214" customFormat="false" ht="15" hidden="false" customHeight="false" outlineLevel="0" collapsed="false">
      <c r="A214" s="4" t="s">
        <v>4137</v>
      </c>
      <c r="B214" s="6" t="n">
        <v>45779</v>
      </c>
      <c r="C214" s="4" t="s">
        <v>1009</v>
      </c>
      <c r="D214" s="4" t="s">
        <v>3926</v>
      </c>
      <c r="E214" s="4" t="s">
        <v>16</v>
      </c>
      <c r="F214" s="4" t="s">
        <v>3923</v>
      </c>
      <c r="G214" s="4" t="s">
        <v>3210</v>
      </c>
      <c r="H214" s="8" t="n">
        <v>3.9</v>
      </c>
      <c r="I214" s="8" t="n">
        <v>133.5</v>
      </c>
      <c r="J214" s="11" t="n">
        <v>4</v>
      </c>
    </row>
    <row r="215" customFormat="false" ht="15" hidden="false" customHeight="false" outlineLevel="0" collapsed="false">
      <c r="A215" s="4" t="s">
        <v>4138</v>
      </c>
      <c r="B215" s="6" t="n">
        <v>45774</v>
      </c>
      <c r="C215" s="4" t="s">
        <v>1143</v>
      </c>
      <c r="D215" s="4" t="s">
        <v>3917</v>
      </c>
      <c r="E215" s="4" t="s">
        <v>22</v>
      </c>
      <c r="F215" s="4" t="s">
        <v>3918</v>
      </c>
      <c r="G215" s="4" t="s">
        <v>3466</v>
      </c>
      <c r="H215" s="8" t="n">
        <v>10.7</v>
      </c>
      <c r="I215" s="8" t="n">
        <v>181.9</v>
      </c>
      <c r="J215" s="11" t="n">
        <v>2</v>
      </c>
    </row>
    <row r="216" customFormat="false" ht="15" hidden="false" customHeight="false" outlineLevel="0" collapsed="false">
      <c r="A216" s="4" t="s">
        <v>4139</v>
      </c>
      <c r="B216" s="6" t="n">
        <v>46046</v>
      </c>
      <c r="C216" s="4" t="s">
        <v>953</v>
      </c>
      <c r="D216" s="4" t="s">
        <v>3917</v>
      </c>
      <c r="E216" s="4" t="s">
        <v>28</v>
      </c>
      <c r="F216" s="4" t="s">
        <v>3923</v>
      </c>
      <c r="G216" s="4" t="s">
        <v>3394</v>
      </c>
      <c r="H216" s="8" t="n">
        <v>0.6</v>
      </c>
      <c r="I216" s="8" t="n">
        <v>165.8</v>
      </c>
      <c r="J216" s="11" t="n">
        <v>3</v>
      </c>
    </row>
    <row r="217" customFormat="false" ht="15" hidden="false" customHeight="false" outlineLevel="0" collapsed="false">
      <c r="A217" s="4" t="s">
        <v>4140</v>
      </c>
      <c r="B217" s="6" t="n">
        <v>46116</v>
      </c>
      <c r="C217" s="4" t="s">
        <v>1379</v>
      </c>
      <c r="D217" s="4" t="s">
        <v>3928</v>
      </c>
      <c r="E217" s="4" t="s">
        <v>28</v>
      </c>
      <c r="F217" s="4" t="s">
        <v>3918</v>
      </c>
      <c r="G217" s="4" t="s">
        <v>3498</v>
      </c>
      <c r="H217" s="8" t="n">
        <v>11.9</v>
      </c>
      <c r="I217" s="8" t="n">
        <v>161.9</v>
      </c>
      <c r="J217" s="11" t="n">
        <v>3</v>
      </c>
    </row>
    <row r="218" customFormat="false" ht="15" hidden="false" customHeight="false" outlineLevel="0" collapsed="false">
      <c r="A218" s="4" t="s">
        <v>4141</v>
      </c>
      <c r="B218" s="6" t="n">
        <v>46036</v>
      </c>
      <c r="C218" s="4" t="s">
        <v>533</v>
      </c>
      <c r="D218" s="4" t="s">
        <v>3917</v>
      </c>
      <c r="E218" s="4" t="s">
        <v>22</v>
      </c>
      <c r="F218" s="4" t="s">
        <v>3921</v>
      </c>
      <c r="G218" s="4" t="s">
        <v>3070</v>
      </c>
      <c r="H218" s="8" t="n">
        <v>15</v>
      </c>
      <c r="I218" s="8" t="n">
        <v>163.2</v>
      </c>
      <c r="J218" s="11" t="n">
        <v>2</v>
      </c>
    </row>
    <row r="219" customFormat="false" ht="15" hidden="false" customHeight="false" outlineLevel="0" collapsed="false">
      <c r="A219" s="4" t="s">
        <v>4142</v>
      </c>
      <c r="B219" s="6" t="n">
        <v>45986</v>
      </c>
      <c r="C219" s="4" t="s">
        <v>763</v>
      </c>
      <c r="D219" s="4" t="s">
        <v>3928</v>
      </c>
      <c r="E219" s="4" t="s">
        <v>10</v>
      </c>
      <c r="F219" s="4" t="s">
        <v>3918</v>
      </c>
      <c r="G219" s="4" t="s">
        <v>3182</v>
      </c>
      <c r="H219" s="8" t="n">
        <v>14.5</v>
      </c>
      <c r="I219" s="8" t="n">
        <v>192.2</v>
      </c>
      <c r="J219" s="11" t="n">
        <v>1</v>
      </c>
    </row>
    <row r="220" customFormat="false" ht="15" hidden="false" customHeight="false" outlineLevel="0" collapsed="false">
      <c r="A220" s="4" t="s">
        <v>4143</v>
      </c>
      <c r="B220" s="6" t="n">
        <v>46031</v>
      </c>
      <c r="C220" s="4" t="s">
        <v>1335</v>
      </c>
      <c r="D220" s="4" t="s">
        <v>3920</v>
      </c>
      <c r="E220" s="4" t="s">
        <v>28</v>
      </c>
      <c r="F220" s="4" t="s">
        <v>3918</v>
      </c>
      <c r="G220" s="4" t="s">
        <v>3100</v>
      </c>
      <c r="H220" s="8" t="n">
        <v>12.4</v>
      </c>
      <c r="I220" s="8" t="n">
        <v>235.7</v>
      </c>
      <c r="J220" s="11" t="n">
        <v>1</v>
      </c>
    </row>
    <row r="221" customFormat="false" ht="15" hidden="false" customHeight="false" outlineLevel="0" collapsed="false">
      <c r="A221" s="4" t="s">
        <v>4144</v>
      </c>
      <c r="B221" s="6" t="n">
        <v>45828</v>
      </c>
      <c r="C221" s="4" t="s">
        <v>514</v>
      </c>
      <c r="D221" s="4" t="s">
        <v>3917</v>
      </c>
      <c r="E221" s="4" t="s">
        <v>28</v>
      </c>
      <c r="F221" s="4" t="s">
        <v>3929</v>
      </c>
      <c r="G221" s="4" t="s">
        <v>3360</v>
      </c>
      <c r="H221" s="8" t="n">
        <v>7.4</v>
      </c>
      <c r="I221" s="8" t="n">
        <v>108.8</v>
      </c>
      <c r="J221" s="11" t="n">
        <v>4</v>
      </c>
    </row>
    <row r="222" customFormat="false" ht="15" hidden="false" customHeight="false" outlineLevel="0" collapsed="false">
      <c r="A222" s="4" t="s">
        <v>4145</v>
      </c>
      <c r="B222" s="6" t="n">
        <v>45937</v>
      </c>
      <c r="C222" s="4" t="s">
        <v>1231</v>
      </c>
      <c r="D222" s="4" t="s">
        <v>3938</v>
      </c>
      <c r="E222" s="4" t="s">
        <v>22</v>
      </c>
      <c r="F222" s="4" t="s">
        <v>3921</v>
      </c>
      <c r="G222" s="4" t="s">
        <v>3338</v>
      </c>
      <c r="H222" s="8" t="n">
        <v>2</v>
      </c>
      <c r="I222" s="8" t="n">
        <v>133.2</v>
      </c>
      <c r="J222" s="11" t="n">
        <v>2</v>
      </c>
    </row>
    <row r="223" customFormat="false" ht="15" hidden="false" customHeight="false" outlineLevel="0" collapsed="false">
      <c r="A223" s="4" t="s">
        <v>4146</v>
      </c>
      <c r="B223" s="6" t="n">
        <v>45967</v>
      </c>
      <c r="C223" s="4" t="s">
        <v>853</v>
      </c>
      <c r="D223" s="4" t="s">
        <v>3917</v>
      </c>
      <c r="E223" s="4" t="s">
        <v>10</v>
      </c>
      <c r="F223" s="4" t="s">
        <v>3921</v>
      </c>
      <c r="G223" s="4" t="s">
        <v>3464</v>
      </c>
      <c r="H223" s="8" t="n">
        <v>11.3</v>
      </c>
      <c r="I223" s="8" t="n">
        <v>94.4</v>
      </c>
      <c r="J223" s="11" t="n">
        <v>3</v>
      </c>
    </row>
    <row r="224" customFormat="false" ht="15" hidden="false" customHeight="false" outlineLevel="0" collapsed="false">
      <c r="A224" s="4" t="s">
        <v>4147</v>
      </c>
      <c r="B224" s="6" t="n">
        <v>46033</v>
      </c>
      <c r="C224" s="4" t="s">
        <v>1287</v>
      </c>
      <c r="D224" s="4" t="s">
        <v>3926</v>
      </c>
      <c r="E224" s="4" t="s">
        <v>28</v>
      </c>
      <c r="F224" s="4" t="s">
        <v>3929</v>
      </c>
      <c r="G224" s="4" t="s">
        <v>3438</v>
      </c>
      <c r="H224" s="8" t="n">
        <v>23.8</v>
      </c>
      <c r="I224" s="8" t="n">
        <v>103</v>
      </c>
      <c r="J224" s="11" t="n">
        <v>3</v>
      </c>
    </row>
    <row r="225" customFormat="false" ht="15" hidden="false" customHeight="false" outlineLevel="0" collapsed="false">
      <c r="A225" s="4" t="s">
        <v>4148</v>
      </c>
      <c r="B225" s="6" t="n">
        <v>45925</v>
      </c>
      <c r="C225" s="4" t="s">
        <v>1029</v>
      </c>
      <c r="D225" s="4" t="s">
        <v>3917</v>
      </c>
      <c r="E225" s="4" t="s">
        <v>16</v>
      </c>
      <c r="F225" s="4" t="s">
        <v>3929</v>
      </c>
      <c r="G225" s="4" t="s">
        <v>3252</v>
      </c>
      <c r="H225" s="8" t="n">
        <v>6.8</v>
      </c>
      <c r="I225" s="8" t="n">
        <v>21.8</v>
      </c>
      <c r="J225" s="11" t="n">
        <v>4</v>
      </c>
    </row>
    <row r="226" customFormat="false" ht="15" hidden="false" customHeight="false" outlineLevel="0" collapsed="false">
      <c r="A226" s="4" t="s">
        <v>4149</v>
      </c>
      <c r="B226" s="6" t="n">
        <v>46179</v>
      </c>
      <c r="C226" s="4" t="s">
        <v>1381</v>
      </c>
      <c r="D226" s="4" t="s">
        <v>3928</v>
      </c>
      <c r="E226" s="4" t="s">
        <v>10</v>
      </c>
      <c r="F226" s="4" t="s">
        <v>3929</v>
      </c>
      <c r="G226" s="4" t="s">
        <v>3009</v>
      </c>
      <c r="H226" s="8" t="n">
        <v>19.5</v>
      </c>
      <c r="I226" s="8" t="n">
        <v>193.9</v>
      </c>
      <c r="J226" s="11" t="n">
        <v>1</v>
      </c>
    </row>
    <row r="227" customFormat="false" ht="15" hidden="false" customHeight="false" outlineLevel="0" collapsed="false">
      <c r="A227" s="4" t="s">
        <v>4150</v>
      </c>
      <c r="B227" s="6" t="n">
        <v>45839</v>
      </c>
      <c r="C227" s="4" t="s">
        <v>847</v>
      </c>
      <c r="D227" s="4" t="s">
        <v>3928</v>
      </c>
      <c r="E227" s="4" t="s">
        <v>16</v>
      </c>
      <c r="F227" s="4" t="s">
        <v>3921</v>
      </c>
      <c r="G227" s="4" t="s">
        <v>3080</v>
      </c>
      <c r="H227" s="8" t="n">
        <v>13.8</v>
      </c>
      <c r="I227" s="8" t="n">
        <v>58.4</v>
      </c>
      <c r="J227" s="11" t="n">
        <v>1</v>
      </c>
    </row>
    <row r="228" customFormat="false" ht="15" hidden="false" customHeight="false" outlineLevel="0" collapsed="false">
      <c r="A228" s="4" t="s">
        <v>4151</v>
      </c>
      <c r="B228" s="6" t="n">
        <v>45671</v>
      </c>
      <c r="C228" s="4" t="s">
        <v>1219</v>
      </c>
      <c r="D228" s="4" t="s">
        <v>3920</v>
      </c>
      <c r="E228" s="4" t="s">
        <v>10</v>
      </c>
      <c r="F228" s="4" t="s">
        <v>3921</v>
      </c>
      <c r="G228" s="4" t="s">
        <v>3446</v>
      </c>
      <c r="H228" s="8" t="n">
        <v>21.8</v>
      </c>
      <c r="I228" s="8" t="n">
        <v>18.8</v>
      </c>
      <c r="J228" s="11" t="n">
        <v>5</v>
      </c>
    </row>
    <row r="229" customFormat="false" ht="15" hidden="false" customHeight="false" outlineLevel="0" collapsed="false">
      <c r="A229" s="4" t="s">
        <v>4152</v>
      </c>
      <c r="B229" s="6" t="n">
        <v>45766</v>
      </c>
      <c r="C229" s="4" t="s">
        <v>1091</v>
      </c>
      <c r="D229" s="4" t="s">
        <v>3928</v>
      </c>
      <c r="E229" s="4" t="s">
        <v>28</v>
      </c>
      <c r="F229" s="4" t="s">
        <v>3929</v>
      </c>
      <c r="G229" s="4" t="s">
        <v>3030</v>
      </c>
      <c r="H229" s="8" t="n">
        <v>16.9</v>
      </c>
      <c r="I229" s="8" t="n">
        <v>49.5</v>
      </c>
      <c r="J229" s="11" t="n">
        <v>1</v>
      </c>
    </row>
    <row r="230" customFormat="false" ht="15" hidden="false" customHeight="false" outlineLevel="0" collapsed="false">
      <c r="A230" s="4" t="s">
        <v>4153</v>
      </c>
      <c r="B230" s="6" t="n">
        <v>45751</v>
      </c>
      <c r="C230" s="4" t="s">
        <v>450</v>
      </c>
      <c r="D230" s="4" t="s">
        <v>3938</v>
      </c>
      <c r="E230" s="4" t="s">
        <v>16</v>
      </c>
      <c r="F230" s="4" t="s">
        <v>3921</v>
      </c>
      <c r="G230" s="4" t="s">
        <v>3406</v>
      </c>
      <c r="H230" s="8" t="n">
        <v>16.5</v>
      </c>
      <c r="I230" s="8" t="n">
        <v>52</v>
      </c>
      <c r="J230" s="11" t="n">
        <v>1</v>
      </c>
    </row>
    <row r="231" customFormat="false" ht="15" hidden="false" customHeight="false" outlineLevel="0" collapsed="false">
      <c r="A231" s="4" t="s">
        <v>4154</v>
      </c>
      <c r="B231" s="6" t="n">
        <v>46200</v>
      </c>
      <c r="C231" s="4" t="s">
        <v>661</v>
      </c>
      <c r="D231" s="4" t="s">
        <v>3938</v>
      </c>
      <c r="E231" s="4" t="s">
        <v>28</v>
      </c>
      <c r="F231" s="4" t="s">
        <v>3929</v>
      </c>
      <c r="G231" s="4" t="s">
        <v>3420</v>
      </c>
      <c r="H231" s="8" t="n">
        <v>4.8</v>
      </c>
      <c r="I231" s="8" t="n">
        <v>237.1</v>
      </c>
      <c r="J231" s="11" t="n">
        <v>5</v>
      </c>
    </row>
    <row r="232" customFormat="false" ht="15" hidden="false" customHeight="false" outlineLevel="0" collapsed="false">
      <c r="A232" s="4" t="s">
        <v>4155</v>
      </c>
      <c r="B232" s="6" t="n">
        <v>45952</v>
      </c>
      <c r="C232" s="4" t="s">
        <v>1213</v>
      </c>
      <c r="D232" s="4" t="s">
        <v>3926</v>
      </c>
      <c r="E232" s="4" t="s">
        <v>16</v>
      </c>
      <c r="F232" s="4" t="s">
        <v>3923</v>
      </c>
      <c r="G232" s="4" t="s">
        <v>3444</v>
      </c>
      <c r="H232" s="8" t="n">
        <v>20.7</v>
      </c>
      <c r="I232" s="8" t="n">
        <v>107.3</v>
      </c>
      <c r="J232" s="11" t="n">
        <v>5</v>
      </c>
    </row>
    <row r="233" customFormat="false" ht="15" hidden="false" customHeight="false" outlineLevel="0" collapsed="false">
      <c r="A233" s="4" t="s">
        <v>4156</v>
      </c>
      <c r="B233" s="6" t="n">
        <v>45838</v>
      </c>
      <c r="C233" s="4" t="s">
        <v>1461</v>
      </c>
      <c r="D233" s="4" t="s">
        <v>3917</v>
      </c>
      <c r="E233" s="4" t="s">
        <v>10</v>
      </c>
      <c r="F233" s="4" t="s">
        <v>3921</v>
      </c>
      <c r="G233" s="4" t="s">
        <v>3136</v>
      </c>
      <c r="H233" s="8" t="n">
        <v>3.5</v>
      </c>
      <c r="I233" s="8" t="n">
        <v>131</v>
      </c>
      <c r="J233" s="11" t="n">
        <v>2</v>
      </c>
    </row>
    <row r="234" customFormat="false" ht="15" hidden="false" customHeight="false" outlineLevel="0" collapsed="false">
      <c r="A234" s="4" t="s">
        <v>4157</v>
      </c>
      <c r="B234" s="6" t="n">
        <v>45850</v>
      </c>
      <c r="C234" s="4" t="s">
        <v>655</v>
      </c>
      <c r="D234" s="4" t="s">
        <v>3920</v>
      </c>
      <c r="E234" s="4" t="s">
        <v>10</v>
      </c>
      <c r="F234" s="4" t="s">
        <v>3921</v>
      </c>
      <c r="G234" s="4" t="s">
        <v>3388</v>
      </c>
      <c r="H234" s="8" t="n">
        <v>23.8</v>
      </c>
      <c r="I234" s="8" t="n">
        <v>40.7</v>
      </c>
      <c r="J234" s="11" t="n">
        <v>5</v>
      </c>
    </row>
    <row r="235" customFormat="false" ht="15" hidden="false" customHeight="false" outlineLevel="0" collapsed="false">
      <c r="A235" s="4" t="s">
        <v>4158</v>
      </c>
      <c r="B235" s="6" t="n">
        <v>46176</v>
      </c>
      <c r="C235" s="4" t="s">
        <v>1119</v>
      </c>
      <c r="D235" s="4" t="s">
        <v>3920</v>
      </c>
      <c r="E235" s="4" t="s">
        <v>22</v>
      </c>
      <c r="F235" s="4" t="s">
        <v>3923</v>
      </c>
      <c r="G235" s="4" t="s">
        <v>3112</v>
      </c>
      <c r="H235" s="8" t="n">
        <v>10.3</v>
      </c>
      <c r="I235" s="8" t="n">
        <v>198.2</v>
      </c>
      <c r="J235" s="11" t="n">
        <v>2</v>
      </c>
    </row>
    <row r="236" customFormat="false" ht="15" hidden="false" customHeight="false" outlineLevel="0" collapsed="false">
      <c r="A236" s="4" t="s">
        <v>4159</v>
      </c>
      <c r="B236" s="6" t="n">
        <v>45946</v>
      </c>
      <c r="C236" s="4" t="s">
        <v>1237</v>
      </c>
      <c r="D236" s="4" t="s">
        <v>3917</v>
      </c>
      <c r="E236" s="4" t="s">
        <v>10</v>
      </c>
      <c r="F236" s="4" t="s">
        <v>3929</v>
      </c>
      <c r="G236" s="4" t="s">
        <v>3034</v>
      </c>
      <c r="H236" s="8" t="n">
        <v>1.6</v>
      </c>
      <c r="I236" s="8" t="n">
        <v>119.6</v>
      </c>
      <c r="J236" s="11" t="n">
        <v>1</v>
      </c>
    </row>
    <row r="237" customFormat="false" ht="15" hidden="false" customHeight="false" outlineLevel="0" collapsed="false">
      <c r="A237" s="4" t="s">
        <v>4160</v>
      </c>
      <c r="B237" s="6" t="n">
        <v>46114</v>
      </c>
      <c r="C237" s="4" t="s">
        <v>466</v>
      </c>
      <c r="D237" s="4" t="s">
        <v>3928</v>
      </c>
      <c r="E237" s="4" t="s">
        <v>28</v>
      </c>
      <c r="F237" s="4" t="s">
        <v>3921</v>
      </c>
      <c r="G237" s="4" t="s">
        <v>3164</v>
      </c>
      <c r="H237" s="8" t="n">
        <v>14.2</v>
      </c>
      <c r="I237" s="8" t="n">
        <v>220.1</v>
      </c>
      <c r="J237" s="11" t="n">
        <v>3</v>
      </c>
    </row>
    <row r="238" customFormat="false" ht="15" hidden="false" customHeight="false" outlineLevel="0" collapsed="false">
      <c r="A238" s="4" t="s">
        <v>4161</v>
      </c>
      <c r="B238" s="6" t="n">
        <v>45984</v>
      </c>
      <c r="C238" s="4" t="s">
        <v>925</v>
      </c>
      <c r="D238" s="4" t="s">
        <v>3920</v>
      </c>
      <c r="E238" s="4" t="s">
        <v>10</v>
      </c>
      <c r="F238" s="4" t="s">
        <v>3929</v>
      </c>
      <c r="G238" s="4" t="s">
        <v>3382</v>
      </c>
      <c r="H238" s="8" t="n">
        <v>19.5</v>
      </c>
      <c r="I238" s="8" t="n">
        <v>90.2</v>
      </c>
      <c r="J238" s="11" t="n">
        <v>3</v>
      </c>
    </row>
    <row r="239" customFormat="false" ht="15" hidden="false" customHeight="false" outlineLevel="0" collapsed="false">
      <c r="A239" s="4" t="s">
        <v>4162</v>
      </c>
      <c r="B239" s="6" t="n">
        <v>45852</v>
      </c>
      <c r="C239" s="4" t="s">
        <v>697</v>
      </c>
      <c r="D239" s="4" t="s">
        <v>3926</v>
      </c>
      <c r="E239" s="4" t="s">
        <v>28</v>
      </c>
      <c r="F239" s="4" t="s">
        <v>3929</v>
      </c>
      <c r="G239" s="4" t="s">
        <v>3088</v>
      </c>
      <c r="H239" s="8" t="n">
        <v>1.1</v>
      </c>
      <c r="I239" s="8" t="n">
        <v>86</v>
      </c>
      <c r="J239" s="11" t="n">
        <v>4</v>
      </c>
    </row>
    <row r="240" customFormat="false" ht="15" hidden="false" customHeight="false" outlineLevel="0" collapsed="false">
      <c r="A240" s="4" t="s">
        <v>4163</v>
      </c>
      <c r="B240" s="6" t="n">
        <v>46070</v>
      </c>
      <c r="C240" s="4" t="s">
        <v>939</v>
      </c>
      <c r="D240" s="4" t="s">
        <v>3938</v>
      </c>
      <c r="E240" s="4" t="s">
        <v>28</v>
      </c>
      <c r="F240" s="4" t="s">
        <v>3929</v>
      </c>
      <c r="G240" s="4" t="s">
        <v>3232</v>
      </c>
      <c r="H240" s="8" t="n">
        <v>3.7</v>
      </c>
      <c r="I240" s="8" t="n">
        <v>177.6</v>
      </c>
      <c r="J240" s="11" t="n">
        <v>4</v>
      </c>
    </row>
    <row r="241" customFormat="false" ht="15" hidden="false" customHeight="false" outlineLevel="0" collapsed="false">
      <c r="A241" s="4" t="s">
        <v>4164</v>
      </c>
      <c r="B241" s="6" t="n">
        <v>45800</v>
      </c>
      <c r="C241" s="4" t="s">
        <v>1271</v>
      </c>
      <c r="D241" s="4" t="s">
        <v>3920</v>
      </c>
      <c r="E241" s="4" t="s">
        <v>28</v>
      </c>
      <c r="F241" s="4" t="s">
        <v>3921</v>
      </c>
      <c r="G241" s="4" t="s">
        <v>3196</v>
      </c>
      <c r="H241" s="8" t="n">
        <v>23.8</v>
      </c>
      <c r="I241" s="8" t="n">
        <v>152.5</v>
      </c>
      <c r="J241" s="11" t="n">
        <v>4</v>
      </c>
    </row>
    <row r="242" customFormat="false" ht="15" hidden="false" customHeight="false" outlineLevel="0" collapsed="false">
      <c r="A242" s="4" t="s">
        <v>4165</v>
      </c>
      <c r="B242" s="6" t="n">
        <v>46102</v>
      </c>
      <c r="C242" s="4" t="s">
        <v>1275</v>
      </c>
      <c r="D242" s="4" t="s">
        <v>3917</v>
      </c>
      <c r="E242" s="4" t="s">
        <v>22</v>
      </c>
      <c r="F242" s="4" t="s">
        <v>3921</v>
      </c>
      <c r="G242" s="4" t="s">
        <v>3078</v>
      </c>
      <c r="H242" s="8" t="n">
        <v>14.3</v>
      </c>
      <c r="I242" s="8" t="n">
        <v>45.8</v>
      </c>
      <c r="J242" s="11" t="n">
        <v>1</v>
      </c>
    </row>
    <row r="243" customFormat="false" ht="15" hidden="false" customHeight="false" outlineLevel="0" collapsed="false">
      <c r="A243" s="4" t="s">
        <v>4166</v>
      </c>
      <c r="B243" s="6" t="n">
        <v>46141</v>
      </c>
      <c r="C243" s="4" t="s">
        <v>617</v>
      </c>
      <c r="D243" s="4" t="s">
        <v>3920</v>
      </c>
      <c r="E243" s="4" t="s">
        <v>10</v>
      </c>
      <c r="F243" s="4" t="s">
        <v>3923</v>
      </c>
      <c r="G243" s="4" t="s">
        <v>3174</v>
      </c>
      <c r="H243" s="8" t="n">
        <v>4.8</v>
      </c>
      <c r="I243" s="8" t="n">
        <v>120.4</v>
      </c>
      <c r="J243" s="11" t="n">
        <v>2</v>
      </c>
    </row>
    <row r="244" customFormat="false" ht="15" hidden="false" customHeight="false" outlineLevel="0" collapsed="false">
      <c r="A244" s="4" t="s">
        <v>4167</v>
      </c>
      <c r="B244" s="6" t="n">
        <v>45891</v>
      </c>
      <c r="C244" s="4" t="s">
        <v>659</v>
      </c>
      <c r="D244" s="4" t="s">
        <v>3938</v>
      </c>
      <c r="E244" s="4" t="s">
        <v>22</v>
      </c>
      <c r="F244" s="4" t="s">
        <v>3929</v>
      </c>
      <c r="G244" s="4" t="s">
        <v>3312</v>
      </c>
      <c r="H244" s="8" t="n">
        <v>17.4</v>
      </c>
      <c r="I244" s="8" t="n">
        <v>105</v>
      </c>
      <c r="J244" s="11" t="n">
        <v>2</v>
      </c>
    </row>
    <row r="245" customFormat="false" ht="15" hidden="false" customHeight="false" outlineLevel="0" collapsed="false">
      <c r="A245" s="4" t="s">
        <v>4168</v>
      </c>
      <c r="B245" s="6" t="n">
        <v>46019</v>
      </c>
      <c r="C245" s="4" t="s">
        <v>1449</v>
      </c>
      <c r="D245" s="4" t="s">
        <v>3928</v>
      </c>
      <c r="E245" s="4" t="s">
        <v>28</v>
      </c>
      <c r="F245" s="4" t="s">
        <v>3921</v>
      </c>
      <c r="G245" s="4" t="s">
        <v>3036</v>
      </c>
      <c r="H245" s="8" t="n">
        <v>22.9</v>
      </c>
      <c r="I245" s="8" t="n">
        <v>170</v>
      </c>
      <c r="J245" s="11" t="n">
        <v>5</v>
      </c>
    </row>
    <row r="246" customFormat="false" ht="15" hidden="false" customHeight="false" outlineLevel="0" collapsed="false">
      <c r="A246" s="4" t="s">
        <v>4169</v>
      </c>
      <c r="B246" s="6" t="n">
        <v>45898</v>
      </c>
      <c r="C246" s="4" t="s">
        <v>995</v>
      </c>
      <c r="D246" s="4" t="s">
        <v>3938</v>
      </c>
      <c r="E246" s="4" t="s">
        <v>22</v>
      </c>
      <c r="F246" s="4" t="s">
        <v>3918</v>
      </c>
      <c r="G246" s="4" t="s">
        <v>3412</v>
      </c>
      <c r="H246" s="8" t="n">
        <v>5.3</v>
      </c>
      <c r="I246" s="8" t="n">
        <v>118.7</v>
      </c>
      <c r="J246" s="11" t="n">
        <v>3</v>
      </c>
    </row>
    <row r="247" customFormat="false" ht="15" hidden="false" customHeight="false" outlineLevel="0" collapsed="false">
      <c r="A247" s="4" t="s">
        <v>4170</v>
      </c>
      <c r="B247" s="6" t="n">
        <v>45976</v>
      </c>
      <c r="C247" s="4" t="s">
        <v>1165</v>
      </c>
      <c r="D247" s="4" t="s">
        <v>3926</v>
      </c>
      <c r="E247" s="4" t="s">
        <v>16</v>
      </c>
      <c r="F247" s="4" t="s">
        <v>3929</v>
      </c>
      <c r="G247" s="4" t="s">
        <v>3220</v>
      </c>
      <c r="H247" s="8" t="n">
        <v>14.7</v>
      </c>
      <c r="I247" s="8" t="n">
        <v>144.6</v>
      </c>
      <c r="J247" s="11" t="n">
        <v>5</v>
      </c>
    </row>
    <row r="248" customFormat="false" ht="15" hidden="false" customHeight="false" outlineLevel="0" collapsed="false">
      <c r="A248" s="4" t="s">
        <v>4171</v>
      </c>
      <c r="B248" s="6" t="n">
        <v>46040</v>
      </c>
      <c r="C248" s="4" t="s">
        <v>1291</v>
      </c>
      <c r="D248" s="4" t="s">
        <v>3917</v>
      </c>
      <c r="E248" s="4" t="s">
        <v>22</v>
      </c>
      <c r="F248" s="4" t="s">
        <v>3929</v>
      </c>
      <c r="G248" s="4" t="s">
        <v>3190</v>
      </c>
      <c r="H248" s="8" t="n">
        <v>13.6</v>
      </c>
      <c r="I248" s="8" t="n">
        <v>114.7</v>
      </c>
      <c r="J248" s="11" t="n">
        <v>1</v>
      </c>
    </row>
    <row r="249" customFormat="false" ht="15" hidden="false" customHeight="false" outlineLevel="0" collapsed="false">
      <c r="A249" s="4" t="s">
        <v>4172</v>
      </c>
      <c r="B249" s="6" t="n">
        <v>46085</v>
      </c>
      <c r="C249" s="4" t="s">
        <v>717</v>
      </c>
      <c r="D249" s="4" t="s">
        <v>3917</v>
      </c>
      <c r="E249" s="4" t="s">
        <v>28</v>
      </c>
      <c r="F249" s="4" t="s">
        <v>3929</v>
      </c>
      <c r="G249" s="4" t="s">
        <v>3484</v>
      </c>
      <c r="H249" s="8" t="n">
        <v>7.9</v>
      </c>
      <c r="I249" s="8" t="n">
        <v>57.6</v>
      </c>
      <c r="J249" s="11" t="n">
        <v>3</v>
      </c>
    </row>
    <row r="250" customFormat="false" ht="15" hidden="false" customHeight="false" outlineLevel="0" collapsed="false">
      <c r="A250" s="4" t="s">
        <v>4173</v>
      </c>
      <c r="B250" s="6" t="n">
        <v>46006</v>
      </c>
      <c r="C250" s="4" t="s">
        <v>1055</v>
      </c>
      <c r="D250" s="4" t="s">
        <v>3920</v>
      </c>
      <c r="E250" s="4" t="s">
        <v>28</v>
      </c>
      <c r="F250" s="4" t="s">
        <v>3929</v>
      </c>
      <c r="G250" s="4" t="s">
        <v>3358</v>
      </c>
      <c r="H250" s="8" t="n">
        <v>4.7</v>
      </c>
      <c r="I250" s="8" t="n">
        <v>32.3</v>
      </c>
      <c r="J250" s="11" t="n">
        <v>3</v>
      </c>
    </row>
    <row r="251" customFormat="false" ht="15" hidden="false" customHeight="false" outlineLevel="0" collapsed="false">
      <c r="A251" s="4" t="s">
        <v>4174</v>
      </c>
      <c r="B251" s="6" t="n">
        <v>45913</v>
      </c>
      <c r="C251" s="4" t="s">
        <v>965</v>
      </c>
      <c r="D251" s="4" t="s">
        <v>3926</v>
      </c>
      <c r="E251" s="4" t="s">
        <v>16</v>
      </c>
      <c r="F251" s="4" t="s">
        <v>3918</v>
      </c>
      <c r="G251" s="4" t="s">
        <v>3242</v>
      </c>
      <c r="H251" s="8" t="n">
        <v>21.4</v>
      </c>
      <c r="I251" s="8" t="n">
        <v>76.6</v>
      </c>
      <c r="J251" s="11" t="n">
        <v>1</v>
      </c>
    </row>
    <row r="252" customFormat="false" ht="15" hidden="false" customHeight="false" outlineLevel="0" collapsed="false">
      <c r="A252" s="4" t="s">
        <v>4175</v>
      </c>
      <c r="B252" s="6" t="n">
        <v>45987</v>
      </c>
      <c r="C252" s="4" t="s">
        <v>546</v>
      </c>
      <c r="D252" s="4" t="s">
        <v>3926</v>
      </c>
      <c r="E252" s="4" t="s">
        <v>28</v>
      </c>
      <c r="F252" s="4" t="s">
        <v>3918</v>
      </c>
      <c r="G252" s="4" t="s">
        <v>3252</v>
      </c>
      <c r="H252" s="8" t="n">
        <v>11.2</v>
      </c>
      <c r="I252" s="8" t="n">
        <v>216.3</v>
      </c>
      <c r="J252" s="11" t="n">
        <v>3</v>
      </c>
    </row>
    <row r="253" customFormat="false" ht="15" hidden="false" customHeight="false" outlineLevel="0" collapsed="false">
      <c r="A253" s="4" t="s">
        <v>4176</v>
      </c>
      <c r="B253" s="6" t="n">
        <v>46056</v>
      </c>
      <c r="C253" s="4" t="s">
        <v>1261</v>
      </c>
      <c r="D253" s="4" t="s">
        <v>3917</v>
      </c>
      <c r="E253" s="4" t="s">
        <v>10</v>
      </c>
      <c r="F253" s="4" t="s">
        <v>3923</v>
      </c>
      <c r="G253" s="4" t="s">
        <v>3406</v>
      </c>
      <c r="H253" s="8" t="n">
        <v>18.5</v>
      </c>
      <c r="I253" s="8" t="n">
        <v>171.4</v>
      </c>
      <c r="J253" s="11" t="n">
        <v>3</v>
      </c>
    </row>
    <row r="254" customFormat="false" ht="15" hidden="false" customHeight="false" outlineLevel="0" collapsed="false">
      <c r="A254" s="4" t="s">
        <v>4177</v>
      </c>
      <c r="B254" s="6" t="n">
        <v>45910</v>
      </c>
      <c r="C254" s="4" t="s">
        <v>693</v>
      </c>
      <c r="D254" s="4" t="s">
        <v>3928</v>
      </c>
      <c r="E254" s="4" t="s">
        <v>10</v>
      </c>
      <c r="F254" s="4" t="s">
        <v>3923</v>
      </c>
      <c r="G254" s="4" t="s">
        <v>3168</v>
      </c>
      <c r="H254" s="8" t="n">
        <v>8.6</v>
      </c>
      <c r="I254" s="8" t="n">
        <v>149.7</v>
      </c>
      <c r="J254" s="11" t="n">
        <v>5</v>
      </c>
    </row>
    <row r="255" customFormat="false" ht="15" hidden="false" customHeight="false" outlineLevel="0" collapsed="false">
      <c r="A255" s="4" t="s">
        <v>4178</v>
      </c>
      <c r="B255" s="6" t="n">
        <v>45985</v>
      </c>
      <c r="C255" s="4" t="s">
        <v>961</v>
      </c>
      <c r="D255" s="4" t="s">
        <v>3920</v>
      </c>
      <c r="E255" s="4" t="s">
        <v>16</v>
      </c>
      <c r="F255" s="4" t="s">
        <v>3929</v>
      </c>
      <c r="G255" s="4" t="s">
        <v>3310</v>
      </c>
      <c r="H255" s="8" t="n">
        <v>21.2</v>
      </c>
      <c r="I255" s="8" t="n">
        <v>49.6</v>
      </c>
      <c r="J255" s="11" t="n">
        <v>2</v>
      </c>
    </row>
    <row r="256" customFormat="false" ht="15" hidden="false" customHeight="false" outlineLevel="0" collapsed="false">
      <c r="A256" s="4" t="s">
        <v>4179</v>
      </c>
      <c r="B256" s="6" t="n">
        <v>45720</v>
      </c>
      <c r="C256" s="4" t="s">
        <v>1217</v>
      </c>
      <c r="D256" s="4" t="s">
        <v>3917</v>
      </c>
      <c r="E256" s="4" t="s">
        <v>10</v>
      </c>
      <c r="F256" s="4" t="s">
        <v>3929</v>
      </c>
      <c r="G256" s="4" t="s">
        <v>3270</v>
      </c>
      <c r="H256" s="8" t="n">
        <v>19.2</v>
      </c>
      <c r="I256" s="8" t="n">
        <v>69.2</v>
      </c>
      <c r="J256" s="11" t="n">
        <v>4</v>
      </c>
    </row>
    <row r="257" customFormat="false" ht="15" hidden="false" customHeight="false" outlineLevel="0" collapsed="false">
      <c r="A257" s="4" t="s">
        <v>4180</v>
      </c>
      <c r="B257" s="6" t="n">
        <v>45963</v>
      </c>
      <c r="C257" s="4" t="s">
        <v>731</v>
      </c>
      <c r="D257" s="4" t="s">
        <v>3917</v>
      </c>
      <c r="E257" s="4" t="s">
        <v>28</v>
      </c>
      <c r="F257" s="4" t="s">
        <v>3921</v>
      </c>
      <c r="G257" s="4" t="s">
        <v>3074</v>
      </c>
      <c r="H257" s="8" t="n">
        <v>7.2</v>
      </c>
      <c r="I257" s="8" t="n">
        <v>8.9</v>
      </c>
      <c r="J257" s="11" t="n">
        <v>4</v>
      </c>
    </row>
    <row r="258" customFormat="false" ht="15" hidden="false" customHeight="false" outlineLevel="0" collapsed="false">
      <c r="A258" s="4" t="s">
        <v>4181</v>
      </c>
      <c r="B258" s="6" t="n">
        <v>46134</v>
      </c>
      <c r="C258" s="4" t="s">
        <v>1259</v>
      </c>
      <c r="D258" s="4" t="s">
        <v>3917</v>
      </c>
      <c r="E258" s="4" t="s">
        <v>10</v>
      </c>
      <c r="F258" s="4" t="s">
        <v>3929</v>
      </c>
      <c r="G258" s="4" t="s">
        <v>3230</v>
      </c>
      <c r="H258" s="8" t="n">
        <v>15.1</v>
      </c>
      <c r="I258" s="8" t="n">
        <v>134.2</v>
      </c>
      <c r="J258" s="11" t="n">
        <v>5</v>
      </c>
    </row>
    <row r="259" customFormat="false" ht="15" hidden="false" customHeight="false" outlineLevel="0" collapsed="false">
      <c r="A259" s="4" t="s">
        <v>4182</v>
      </c>
      <c r="B259" s="6" t="n">
        <v>45768</v>
      </c>
      <c r="C259" s="4" t="s">
        <v>1423</v>
      </c>
      <c r="D259" s="4" t="s">
        <v>3920</v>
      </c>
      <c r="E259" s="4" t="s">
        <v>28</v>
      </c>
      <c r="F259" s="4" t="s">
        <v>3929</v>
      </c>
      <c r="G259" s="4" t="s">
        <v>3234</v>
      </c>
      <c r="H259" s="8" t="n">
        <v>6.7</v>
      </c>
      <c r="I259" s="8" t="n">
        <v>170.1</v>
      </c>
      <c r="J259" s="11" t="n">
        <v>4</v>
      </c>
    </row>
    <row r="260" customFormat="false" ht="15" hidden="false" customHeight="false" outlineLevel="0" collapsed="false">
      <c r="A260" s="4" t="s">
        <v>4183</v>
      </c>
      <c r="B260" s="6" t="n">
        <v>45789</v>
      </c>
      <c r="C260" s="4" t="s">
        <v>795</v>
      </c>
      <c r="D260" s="4" t="s">
        <v>3928</v>
      </c>
      <c r="E260" s="4" t="s">
        <v>22</v>
      </c>
      <c r="F260" s="4" t="s">
        <v>3918</v>
      </c>
      <c r="G260" s="4" t="s">
        <v>3064</v>
      </c>
      <c r="H260" s="8" t="n">
        <v>1.4</v>
      </c>
      <c r="I260" s="8" t="n">
        <v>79.7</v>
      </c>
      <c r="J260" s="11" t="n">
        <v>4</v>
      </c>
    </row>
    <row r="261" customFormat="false" ht="15" hidden="false" customHeight="false" outlineLevel="0" collapsed="false">
      <c r="A261" s="4" t="s">
        <v>4184</v>
      </c>
      <c r="B261" s="6" t="n">
        <v>45980</v>
      </c>
      <c r="C261" s="4" t="s">
        <v>1315</v>
      </c>
      <c r="D261" s="4" t="s">
        <v>3938</v>
      </c>
      <c r="E261" s="4" t="s">
        <v>22</v>
      </c>
      <c r="F261" s="4" t="s">
        <v>3918</v>
      </c>
      <c r="G261" s="4" t="s">
        <v>3282</v>
      </c>
      <c r="H261" s="8" t="n">
        <v>0.7</v>
      </c>
      <c r="I261" s="8" t="n">
        <v>105.4</v>
      </c>
      <c r="J261" s="11" t="n">
        <v>3</v>
      </c>
    </row>
    <row r="262" customFormat="false" ht="15" hidden="false" customHeight="false" outlineLevel="0" collapsed="false">
      <c r="A262" s="4" t="s">
        <v>4185</v>
      </c>
      <c r="B262" s="6" t="n">
        <v>45992</v>
      </c>
      <c r="C262" s="4" t="s">
        <v>1091</v>
      </c>
      <c r="D262" s="4" t="s">
        <v>3928</v>
      </c>
      <c r="E262" s="4" t="s">
        <v>28</v>
      </c>
      <c r="F262" s="4" t="s">
        <v>3918</v>
      </c>
      <c r="G262" s="4" t="s">
        <v>3330</v>
      </c>
      <c r="H262" s="8" t="n">
        <v>6.9</v>
      </c>
      <c r="I262" s="8" t="n">
        <v>136.6</v>
      </c>
      <c r="J262" s="11" t="n">
        <v>5</v>
      </c>
    </row>
    <row r="263" customFormat="false" ht="15" hidden="false" customHeight="false" outlineLevel="0" collapsed="false">
      <c r="A263" s="4" t="s">
        <v>4186</v>
      </c>
      <c r="B263" s="6" t="n">
        <v>45793</v>
      </c>
      <c r="C263" s="4" t="s">
        <v>973</v>
      </c>
      <c r="D263" s="4" t="s">
        <v>3928</v>
      </c>
      <c r="E263" s="4" t="s">
        <v>10</v>
      </c>
      <c r="F263" s="4" t="s">
        <v>3921</v>
      </c>
      <c r="G263" s="4" t="s">
        <v>3476</v>
      </c>
      <c r="H263" s="8" t="n">
        <v>1.7</v>
      </c>
      <c r="I263" s="8" t="n">
        <v>38.1</v>
      </c>
      <c r="J263" s="11" t="n">
        <v>5</v>
      </c>
    </row>
    <row r="264" customFormat="false" ht="15" hidden="false" customHeight="false" outlineLevel="0" collapsed="false">
      <c r="A264" s="4" t="s">
        <v>4187</v>
      </c>
      <c r="B264" s="6" t="n">
        <v>45752</v>
      </c>
      <c r="C264" s="4" t="s">
        <v>1237</v>
      </c>
      <c r="D264" s="4" t="s">
        <v>3920</v>
      </c>
      <c r="E264" s="4" t="s">
        <v>16</v>
      </c>
      <c r="F264" s="4" t="s">
        <v>3918</v>
      </c>
      <c r="G264" s="4" t="s">
        <v>3498</v>
      </c>
      <c r="H264" s="8" t="n">
        <v>8.6</v>
      </c>
      <c r="I264" s="8" t="n">
        <v>21.3</v>
      </c>
      <c r="J264" s="11" t="n">
        <v>3</v>
      </c>
    </row>
    <row r="265" customFormat="false" ht="15" hidden="false" customHeight="false" outlineLevel="0" collapsed="false">
      <c r="A265" s="4" t="s">
        <v>4188</v>
      </c>
      <c r="B265" s="6" t="n">
        <v>46068</v>
      </c>
      <c r="C265" s="4" t="s">
        <v>1023</v>
      </c>
      <c r="D265" s="4" t="s">
        <v>3928</v>
      </c>
      <c r="E265" s="4" t="s">
        <v>10</v>
      </c>
      <c r="F265" s="4" t="s">
        <v>3923</v>
      </c>
      <c r="G265" s="4" t="s">
        <v>3270</v>
      </c>
      <c r="H265" s="8" t="n">
        <v>10.1</v>
      </c>
      <c r="I265" s="8" t="n">
        <v>190</v>
      </c>
      <c r="J265" s="11" t="n">
        <v>2</v>
      </c>
    </row>
    <row r="266" customFormat="false" ht="15" hidden="false" customHeight="false" outlineLevel="0" collapsed="false">
      <c r="A266" s="4" t="s">
        <v>4189</v>
      </c>
      <c r="B266" s="6" t="n">
        <v>46117</v>
      </c>
      <c r="C266" s="4" t="s">
        <v>627</v>
      </c>
      <c r="D266" s="4" t="s">
        <v>3928</v>
      </c>
      <c r="E266" s="4" t="s">
        <v>10</v>
      </c>
      <c r="F266" s="4" t="s">
        <v>3918</v>
      </c>
      <c r="G266" s="4" t="s">
        <v>3392</v>
      </c>
      <c r="H266" s="8" t="n">
        <v>21.9</v>
      </c>
      <c r="I266" s="8" t="n">
        <v>64.1</v>
      </c>
      <c r="J266" s="11" t="n">
        <v>2</v>
      </c>
    </row>
    <row r="267" customFormat="false" ht="15" hidden="false" customHeight="false" outlineLevel="0" collapsed="false">
      <c r="A267" s="4" t="s">
        <v>4190</v>
      </c>
      <c r="B267" s="6" t="n">
        <v>45711</v>
      </c>
      <c r="C267" s="4" t="s">
        <v>1123</v>
      </c>
      <c r="D267" s="4" t="s">
        <v>3917</v>
      </c>
      <c r="E267" s="4" t="s">
        <v>10</v>
      </c>
      <c r="F267" s="4" t="s">
        <v>3921</v>
      </c>
      <c r="G267" s="4" t="s">
        <v>3246</v>
      </c>
      <c r="H267" s="8" t="n">
        <v>1.1</v>
      </c>
      <c r="I267" s="8" t="n">
        <v>54.1</v>
      </c>
      <c r="J267" s="11" t="n">
        <v>2</v>
      </c>
    </row>
    <row r="268" customFormat="false" ht="15" hidden="false" customHeight="false" outlineLevel="0" collapsed="false">
      <c r="A268" s="4" t="s">
        <v>4191</v>
      </c>
      <c r="B268" s="6" t="n">
        <v>46170</v>
      </c>
      <c r="C268" s="4" t="s">
        <v>791</v>
      </c>
      <c r="D268" s="4" t="s">
        <v>3920</v>
      </c>
      <c r="E268" s="4" t="s">
        <v>16</v>
      </c>
      <c r="F268" s="4" t="s">
        <v>3918</v>
      </c>
      <c r="G268" s="4" t="s">
        <v>3200</v>
      </c>
      <c r="H268" s="8" t="n">
        <v>18.2</v>
      </c>
      <c r="I268" s="8" t="n">
        <v>161.5</v>
      </c>
      <c r="J268" s="11" t="n">
        <v>1</v>
      </c>
    </row>
    <row r="269" customFormat="false" ht="15" hidden="false" customHeight="false" outlineLevel="0" collapsed="false">
      <c r="A269" s="4" t="s">
        <v>4192</v>
      </c>
      <c r="B269" s="6" t="n">
        <v>45682</v>
      </c>
      <c r="C269" s="4" t="s">
        <v>1149</v>
      </c>
      <c r="D269" s="4" t="s">
        <v>3938</v>
      </c>
      <c r="E269" s="4" t="s">
        <v>22</v>
      </c>
      <c r="F269" s="4" t="s">
        <v>3923</v>
      </c>
      <c r="G269" s="4" t="s">
        <v>3282</v>
      </c>
      <c r="H269" s="8" t="n">
        <v>1.7</v>
      </c>
      <c r="I269" s="8" t="n">
        <v>49.6</v>
      </c>
      <c r="J269" s="11" t="n">
        <v>1</v>
      </c>
    </row>
    <row r="270" customFormat="false" ht="15" hidden="false" customHeight="false" outlineLevel="0" collapsed="false">
      <c r="A270" s="4" t="s">
        <v>4193</v>
      </c>
      <c r="B270" s="6" t="n">
        <v>46161</v>
      </c>
      <c r="C270" s="4" t="s">
        <v>456</v>
      </c>
      <c r="D270" s="4" t="s">
        <v>3920</v>
      </c>
      <c r="E270" s="4" t="s">
        <v>16</v>
      </c>
      <c r="F270" s="4" t="s">
        <v>3918</v>
      </c>
      <c r="G270" s="4" t="s">
        <v>3360</v>
      </c>
      <c r="H270" s="8" t="n">
        <v>2</v>
      </c>
      <c r="I270" s="8" t="n">
        <v>211.8</v>
      </c>
      <c r="J270" s="11" t="n">
        <v>5</v>
      </c>
    </row>
    <row r="271" customFormat="false" ht="15" hidden="false" customHeight="false" outlineLevel="0" collapsed="false">
      <c r="A271" s="4" t="s">
        <v>4194</v>
      </c>
      <c r="B271" s="6" t="n">
        <v>45875</v>
      </c>
      <c r="C271" s="4" t="s">
        <v>619</v>
      </c>
      <c r="D271" s="4" t="s">
        <v>3926</v>
      </c>
      <c r="E271" s="4" t="s">
        <v>16</v>
      </c>
      <c r="F271" s="4" t="s">
        <v>3923</v>
      </c>
      <c r="G271" s="4" t="s">
        <v>2996</v>
      </c>
      <c r="H271" s="8" t="n">
        <v>22</v>
      </c>
      <c r="I271" s="8" t="n">
        <v>179.1</v>
      </c>
      <c r="J271" s="11" t="n">
        <v>3</v>
      </c>
    </row>
    <row r="272" customFormat="false" ht="15" hidden="false" customHeight="false" outlineLevel="0" collapsed="false">
      <c r="A272" s="4" t="s">
        <v>4195</v>
      </c>
      <c r="B272" s="6" t="n">
        <v>46181</v>
      </c>
      <c r="C272" s="4" t="s">
        <v>861</v>
      </c>
      <c r="D272" s="4" t="s">
        <v>3917</v>
      </c>
      <c r="E272" s="4" t="s">
        <v>22</v>
      </c>
      <c r="F272" s="4" t="s">
        <v>3929</v>
      </c>
      <c r="G272" s="4" t="s">
        <v>3428</v>
      </c>
      <c r="H272" s="8" t="n">
        <v>4.9</v>
      </c>
      <c r="I272" s="8" t="n">
        <v>146.6</v>
      </c>
      <c r="J272" s="11" t="n">
        <v>3</v>
      </c>
    </row>
    <row r="273" customFormat="false" ht="15" hidden="false" customHeight="false" outlineLevel="0" collapsed="false">
      <c r="A273" s="4" t="s">
        <v>4196</v>
      </c>
      <c r="B273" s="6" t="n">
        <v>45924</v>
      </c>
      <c r="C273" s="4" t="s">
        <v>867</v>
      </c>
      <c r="D273" s="4" t="s">
        <v>3928</v>
      </c>
      <c r="E273" s="4" t="s">
        <v>16</v>
      </c>
      <c r="F273" s="4" t="s">
        <v>3929</v>
      </c>
      <c r="G273" s="4" t="s">
        <v>3334</v>
      </c>
      <c r="H273" s="8" t="n">
        <v>6.9</v>
      </c>
      <c r="I273" s="8" t="n">
        <v>8.9</v>
      </c>
      <c r="J273" s="11" t="n">
        <v>5</v>
      </c>
    </row>
    <row r="274" customFormat="false" ht="15" hidden="false" customHeight="false" outlineLevel="0" collapsed="false">
      <c r="A274" s="4" t="s">
        <v>4197</v>
      </c>
      <c r="B274" s="6" t="n">
        <v>45847</v>
      </c>
      <c r="C274" s="4" t="s">
        <v>579</v>
      </c>
      <c r="D274" s="4" t="s">
        <v>3928</v>
      </c>
      <c r="E274" s="4" t="s">
        <v>28</v>
      </c>
      <c r="F274" s="4" t="s">
        <v>3918</v>
      </c>
      <c r="G274" s="4" t="s">
        <v>3200</v>
      </c>
      <c r="H274" s="8" t="n">
        <v>19.3</v>
      </c>
      <c r="I274" s="8" t="n">
        <v>178.8</v>
      </c>
      <c r="J274" s="11" t="n">
        <v>2</v>
      </c>
    </row>
    <row r="275" customFormat="false" ht="15" hidden="false" customHeight="false" outlineLevel="0" collapsed="false">
      <c r="A275" s="4" t="s">
        <v>4198</v>
      </c>
      <c r="B275" s="6" t="n">
        <v>45877</v>
      </c>
      <c r="C275" s="4" t="s">
        <v>1371</v>
      </c>
      <c r="D275" s="4" t="s">
        <v>3926</v>
      </c>
      <c r="E275" s="4" t="s">
        <v>16</v>
      </c>
      <c r="F275" s="4" t="s">
        <v>3929</v>
      </c>
      <c r="G275" s="4" t="s">
        <v>3420</v>
      </c>
      <c r="H275" s="8" t="n">
        <v>7.4</v>
      </c>
      <c r="I275" s="8" t="n">
        <v>112.4</v>
      </c>
      <c r="J275" s="11" t="n">
        <v>2</v>
      </c>
    </row>
    <row r="276" customFormat="false" ht="15" hidden="false" customHeight="false" outlineLevel="0" collapsed="false">
      <c r="A276" s="4" t="s">
        <v>4199</v>
      </c>
      <c r="B276" s="6" t="n">
        <v>46181</v>
      </c>
      <c r="C276" s="4" t="s">
        <v>483</v>
      </c>
      <c r="D276" s="4" t="s">
        <v>3920</v>
      </c>
      <c r="E276" s="4" t="s">
        <v>22</v>
      </c>
      <c r="F276" s="4" t="s">
        <v>3918</v>
      </c>
      <c r="G276" s="4" t="s">
        <v>3003</v>
      </c>
      <c r="H276" s="8" t="n">
        <v>5.3</v>
      </c>
      <c r="I276" s="8" t="n">
        <v>45.1</v>
      </c>
      <c r="J276" s="11" t="n">
        <v>3</v>
      </c>
    </row>
    <row r="277" customFormat="false" ht="15" hidden="false" customHeight="false" outlineLevel="0" collapsed="false">
      <c r="A277" s="4" t="s">
        <v>4200</v>
      </c>
      <c r="B277" s="6" t="n">
        <v>46055</v>
      </c>
      <c r="C277" s="4" t="s">
        <v>1201</v>
      </c>
      <c r="D277" s="4" t="s">
        <v>3920</v>
      </c>
      <c r="E277" s="4" t="s">
        <v>16</v>
      </c>
      <c r="F277" s="4" t="s">
        <v>3923</v>
      </c>
      <c r="G277" s="4" t="s">
        <v>3236</v>
      </c>
      <c r="H277" s="8" t="n">
        <v>23.6</v>
      </c>
      <c r="I277" s="8" t="n">
        <v>145.2</v>
      </c>
      <c r="J277" s="11" t="n">
        <v>2</v>
      </c>
    </row>
    <row r="278" customFormat="false" ht="15" hidden="false" customHeight="false" outlineLevel="0" collapsed="false">
      <c r="A278" s="4" t="s">
        <v>4201</v>
      </c>
      <c r="B278" s="6" t="n">
        <v>45950</v>
      </c>
      <c r="C278" s="4" t="s">
        <v>1279</v>
      </c>
      <c r="D278" s="4" t="s">
        <v>3917</v>
      </c>
      <c r="E278" s="4" t="s">
        <v>28</v>
      </c>
      <c r="F278" s="4" t="s">
        <v>3923</v>
      </c>
      <c r="G278" s="4" t="s">
        <v>3040</v>
      </c>
      <c r="H278" s="8" t="n">
        <v>14.8</v>
      </c>
      <c r="I278" s="8" t="n">
        <v>212.5</v>
      </c>
      <c r="J278" s="11" t="n">
        <v>1</v>
      </c>
    </row>
    <row r="279" customFormat="false" ht="15" hidden="false" customHeight="false" outlineLevel="0" collapsed="false">
      <c r="A279" s="4" t="s">
        <v>4202</v>
      </c>
      <c r="B279" s="6" t="n">
        <v>45938</v>
      </c>
      <c r="C279" s="4" t="s">
        <v>1417</v>
      </c>
      <c r="D279" s="4" t="s">
        <v>3928</v>
      </c>
      <c r="E279" s="4" t="s">
        <v>10</v>
      </c>
      <c r="F279" s="4" t="s">
        <v>3921</v>
      </c>
      <c r="G279" s="4" t="s">
        <v>3156</v>
      </c>
      <c r="H279" s="8" t="n">
        <v>10.7</v>
      </c>
      <c r="I279" s="8" t="n">
        <v>175.4</v>
      </c>
      <c r="J279" s="11" t="n">
        <v>2</v>
      </c>
    </row>
    <row r="280" customFormat="false" ht="15" hidden="false" customHeight="false" outlineLevel="0" collapsed="false">
      <c r="A280" s="4" t="s">
        <v>4203</v>
      </c>
      <c r="B280" s="6" t="n">
        <v>46034</v>
      </c>
      <c r="C280" s="4" t="s">
        <v>685</v>
      </c>
      <c r="D280" s="4" t="s">
        <v>3917</v>
      </c>
      <c r="E280" s="4" t="s">
        <v>10</v>
      </c>
      <c r="F280" s="4" t="s">
        <v>3921</v>
      </c>
      <c r="G280" s="4" t="s">
        <v>3498</v>
      </c>
      <c r="H280" s="8" t="n">
        <v>10.2</v>
      </c>
      <c r="I280" s="8" t="n">
        <v>210.6</v>
      </c>
      <c r="J280" s="11" t="n">
        <v>1</v>
      </c>
    </row>
    <row r="281" customFormat="false" ht="15" hidden="false" customHeight="false" outlineLevel="0" collapsed="false">
      <c r="A281" s="4" t="s">
        <v>4204</v>
      </c>
      <c r="B281" s="6" t="n">
        <v>45680</v>
      </c>
      <c r="C281" s="4" t="s">
        <v>769</v>
      </c>
      <c r="D281" s="4" t="s">
        <v>3928</v>
      </c>
      <c r="E281" s="4" t="s">
        <v>22</v>
      </c>
      <c r="F281" s="4" t="s">
        <v>3923</v>
      </c>
      <c r="G281" s="4" t="s">
        <v>3462</v>
      </c>
      <c r="H281" s="8" t="n">
        <v>3</v>
      </c>
      <c r="I281" s="8" t="n">
        <v>35.8</v>
      </c>
      <c r="J281" s="11" t="n">
        <v>4</v>
      </c>
    </row>
    <row r="282" customFormat="false" ht="15" hidden="false" customHeight="false" outlineLevel="0" collapsed="false">
      <c r="A282" s="4" t="s">
        <v>4205</v>
      </c>
      <c r="B282" s="6" t="n">
        <v>45689</v>
      </c>
      <c r="C282" s="4" t="s">
        <v>1365</v>
      </c>
      <c r="D282" s="4" t="s">
        <v>3938</v>
      </c>
      <c r="E282" s="4" t="s">
        <v>16</v>
      </c>
      <c r="F282" s="4" t="s">
        <v>3921</v>
      </c>
      <c r="G282" s="4" t="s">
        <v>3090</v>
      </c>
      <c r="H282" s="8" t="n">
        <v>0.4</v>
      </c>
      <c r="I282" s="8" t="n">
        <v>22.5</v>
      </c>
      <c r="J282" s="11" t="n">
        <v>2</v>
      </c>
    </row>
    <row r="283" customFormat="false" ht="15" hidden="false" customHeight="false" outlineLevel="0" collapsed="false">
      <c r="A283" s="4" t="s">
        <v>4206</v>
      </c>
      <c r="B283" s="6" t="n">
        <v>45934</v>
      </c>
      <c r="C283" s="4" t="s">
        <v>481</v>
      </c>
      <c r="D283" s="4" t="s">
        <v>3926</v>
      </c>
      <c r="E283" s="4" t="s">
        <v>28</v>
      </c>
      <c r="F283" s="4" t="s">
        <v>3929</v>
      </c>
      <c r="G283" s="4" t="s">
        <v>3246</v>
      </c>
      <c r="H283" s="8" t="n">
        <v>1.6</v>
      </c>
      <c r="I283" s="8" t="n">
        <v>166.6</v>
      </c>
      <c r="J283" s="11" t="n">
        <v>2</v>
      </c>
    </row>
    <row r="284" customFormat="false" ht="15" hidden="false" customHeight="false" outlineLevel="0" collapsed="false">
      <c r="A284" s="4" t="s">
        <v>4207</v>
      </c>
      <c r="B284" s="6" t="n">
        <v>46044</v>
      </c>
      <c r="C284" s="4" t="s">
        <v>491</v>
      </c>
      <c r="D284" s="4" t="s">
        <v>3928</v>
      </c>
      <c r="E284" s="4" t="s">
        <v>10</v>
      </c>
      <c r="F284" s="4" t="s">
        <v>3923</v>
      </c>
      <c r="G284" s="4" t="s">
        <v>3256</v>
      </c>
      <c r="H284" s="8" t="n">
        <v>10.4</v>
      </c>
      <c r="I284" s="8" t="n">
        <v>112.8</v>
      </c>
      <c r="J284" s="11" t="n">
        <v>2</v>
      </c>
    </row>
    <row r="285" customFormat="false" ht="15" hidden="false" customHeight="false" outlineLevel="0" collapsed="false">
      <c r="A285" s="4" t="s">
        <v>4208</v>
      </c>
      <c r="B285" s="6" t="n">
        <v>45722</v>
      </c>
      <c r="C285" s="4" t="s">
        <v>1447</v>
      </c>
      <c r="D285" s="4" t="s">
        <v>3920</v>
      </c>
      <c r="E285" s="4" t="s">
        <v>10</v>
      </c>
      <c r="F285" s="4" t="s">
        <v>3921</v>
      </c>
      <c r="G285" s="4" t="s">
        <v>3364</v>
      </c>
      <c r="H285" s="8" t="n">
        <v>6.8</v>
      </c>
      <c r="I285" s="8" t="n">
        <v>116</v>
      </c>
      <c r="J285" s="11" t="n">
        <v>3</v>
      </c>
    </row>
    <row r="286" customFormat="false" ht="15" hidden="false" customHeight="false" outlineLevel="0" collapsed="false">
      <c r="A286" s="4" t="s">
        <v>4209</v>
      </c>
      <c r="B286" s="6" t="n">
        <v>45850</v>
      </c>
      <c r="C286" s="4" t="s">
        <v>705</v>
      </c>
      <c r="D286" s="4" t="s">
        <v>3938</v>
      </c>
      <c r="E286" s="4" t="s">
        <v>10</v>
      </c>
      <c r="F286" s="4" t="s">
        <v>3929</v>
      </c>
      <c r="G286" s="4" t="s">
        <v>3416</v>
      </c>
      <c r="H286" s="8" t="n">
        <v>0.1</v>
      </c>
      <c r="I286" s="8" t="n">
        <v>156.7</v>
      </c>
      <c r="J286" s="11" t="n">
        <v>5</v>
      </c>
    </row>
    <row r="287" customFormat="false" ht="15" hidden="false" customHeight="false" outlineLevel="0" collapsed="false">
      <c r="A287" s="4" t="s">
        <v>4210</v>
      </c>
      <c r="B287" s="6" t="n">
        <v>45895</v>
      </c>
      <c r="C287" s="4" t="s">
        <v>1197</v>
      </c>
      <c r="D287" s="4" t="s">
        <v>3928</v>
      </c>
      <c r="E287" s="4" t="s">
        <v>28</v>
      </c>
      <c r="F287" s="4" t="s">
        <v>3923</v>
      </c>
      <c r="G287" s="4" t="s">
        <v>3148</v>
      </c>
      <c r="H287" s="8" t="n">
        <v>8.8</v>
      </c>
      <c r="I287" s="8" t="n">
        <v>144.3</v>
      </c>
      <c r="J287" s="11" t="n">
        <v>4</v>
      </c>
    </row>
    <row r="288" customFormat="false" ht="15" hidden="false" customHeight="false" outlineLevel="0" collapsed="false">
      <c r="A288" s="4" t="s">
        <v>4211</v>
      </c>
      <c r="B288" s="6" t="n">
        <v>46040</v>
      </c>
      <c r="C288" s="4" t="s">
        <v>1139</v>
      </c>
      <c r="D288" s="4" t="s">
        <v>3920</v>
      </c>
      <c r="E288" s="4" t="s">
        <v>28</v>
      </c>
      <c r="F288" s="4" t="s">
        <v>3918</v>
      </c>
      <c r="G288" s="4" t="s">
        <v>3372</v>
      </c>
      <c r="H288" s="8" t="n">
        <v>13.3</v>
      </c>
      <c r="I288" s="8" t="n">
        <v>36.7</v>
      </c>
      <c r="J288" s="11" t="n">
        <v>3</v>
      </c>
    </row>
    <row r="289" customFormat="false" ht="15" hidden="false" customHeight="false" outlineLevel="0" collapsed="false">
      <c r="A289" s="4" t="s">
        <v>4212</v>
      </c>
      <c r="B289" s="6" t="n">
        <v>46069</v>
      </c>
      <c r="C289" s="4" t="s">
        <v>845</v>
      </c>
      <c r="D289" s="4" t="s">
        <v>3938</v>
      </c>
      <c r="E289" s="4" t="s">
        <v>28</v>
      </c>
      <c r="F289" s="4" t="s">
        <v>3918</v>
      </c>
      <c r="G289" s="4" t="s">
        <v>3178</v>
      </c>
      <c r="H289" s="8" t="n">
        <v>18.4</v>
      </c>
      <c r="I289" s="8" t="n">
        <v>37.1</v>
      </c>
      <c r="J289" s="11" t="n">
        <v>4</v>
      </c>
    </row>
    <row r="290" customFormat="false" ht="15" hidden="false" customHeight="false" outlineLevel="0" collapsed="false">
      <c r="A290" s="4" t="s">
        <v>4213</v>
      </c>
      <c r="B290" s="6" t="n">
        <v>46100</v>
      </c>
      <c r="C290" s="4" t="s">
        <v>553</v>
      </c>
      <c r="D290" s="4" t="s">
        <v>3926</v>
      </c>
      <c r="E290" s="4" t="s">
        <v>28</v>
      </c>
      <c r="F290" s="4" t="s">
        <v>3929</v>
      </c>
      <c r="G290" s="4" t="s">
        <v>3130</v>
      </c>
      <c r="H290" s="8" t="n">
        <v>21.2</v>
      </c>
      <c r="I290" s="8" t="n">
        <v>81.2</v>
      </c>
      <c r="J290" s="11" t="n">
        <v>3</v>
      </c>
    </row>
    <row r="291" customFormat="false" ht="15" hidden="false" customHeight="false" outlineLevel="0" collapsed="false">
      <c r="A291" s="4" t="s">
        <v>4214</v>
      </c>
      <c r="B291" s="6" t="n">
        <v>45826</v>
      </c>
      <c r="C291" s="4" t="s">
        <v>1375</v>
      </c>
      <c r="D291" s="4" t="s">
        <v>3928</v>
      </c>
      <c r="E291" s="4" t="s">
        <v>28</v>
      </c>
      <c r="F291" s="4" t="s">
        <v>3923</v>
      </c>
      <c r="G291" s="4" t="s">
        <v>3176</v>
      </c>
      <c r="H291" s="8" t="n">
        <v>12.2</v>
      </c>
      <c r="I291" s="8" t="n">
        <v>206.6</v>
      </c>
      <c r="J291" s="11" t="n">
        <v>2</v>
      </c>
    </row>
    <row r="292" customFormat="false" ht="15" hidden="false" customHeight="false" outlineLevel="0" collapsed="false">
      <c r="A292" s="4" t="s">
        <v>4215</v>
      </c>
      <c r="B292" s="6" t="n">
        <v>45800</v>
      </c>
      <c r="C292" s="4" t="s">
        <v>1299</v>
      </c>
      <c r="D292" s="4" t="s">
        <v>3917</v>
      </c>
      <c r="E292" s="4" t="s">
        <v>22</v>
      </c>
      <c r="F292" s="4" t="s">
        <v>3918</v>
      </c>
      <c r="G292" s="4" t="s">
        <v>3424</v>
      </c>
      <c r="H292" s="8" t="n">
        <v>16.7</v>
      </c>
      <c r="I292" s="8" t="n">
        <v>21.5</v>
      </c>
      <c r="J292" s="11" t="n">
        <v>4</v>
      </c>
    </row>
    <row r="293" customFormat="false" ht="15" hidden="false" customHeight="false" outlineLevel="0" collapsed="false">
      <c r="A293" s="4" t="s">
        <v>4216</v>
      </c>
      <c r="B293" s="6" t="n">
        <v>46190</v>
      </c>
      <c r="C293" s="4" t="s">
        <v>571</v>
      </c>
      <c r="D293" s="4" t="s">
        <v>3926</v>
      </c>
      <c r="E293" s="4" t="s">
        <v>10</v>
      </c>
      <c r="F293" s="4" t="s">
        <v>3921</v>
      </c>
      <c r="G293" s="4" t="s">
        <v>2996</v>
      </c>
      <c r="H293" s="8" t="n">
        <v>6.2</v>
      </c>
      <c r="I293" s="8" t="n">
        <v>133</v>
      </c>
      <c r="J293" s="11" t="n">
        <v>2</v>
      </c>
    </row>
    <row r="294" customFormat="false" ht="15" hidden="false" customHeight="false" outlineLevel="0" collapsed="false">
      <c r="A294" s="4" t="s">
        <v>4217</v>
      </c>
      <c r="B294" s="6" t="n">
        <v>46158</v>
      </c>
      <c r="C294" s="4" t="s">
        <v>583</v>
      </c>
      <c r="D294" s="4" t="s">
        <v>3920</v>
      </c>
      <c r="E294" s="4" t="s">
        <v>16</v>
      </c>
      <c r="F294" s="4" t="s">
        <v>3929</v>
      </c>
      <c r="G294" s="4" t="s">
        <v>3376</v>
      </c>
      <c r="H294" s="8" t="n">
        <v>20.1</v>
      </c>
      <c r="I294" s="8" t="n">
        <v>90.9</v>
      </c>
      <c r="J294" s="11" t="n">
        <v>4</v>
      </c>
    </row>
    <row r="295" customFormat="false" ht="15" hidden="false" customHeight="false" outlineLevel="0" collapsed="false">
      <c r="A295" s="4" t="s">
        <v>4218</v>
      </c>
      <c r="B295" s="6" t="n">
        <v>46017</v>
      </c>
      <c r="C295" s="4" t="s">
        <v>1231</v>
      </c>
      <c r="D295" s="4" t="s">
        <v>3938</v>
      </c>
      <c r="E295" s="4" t="s">
        <v>28</v>
      </c>
      <c r="F295" s="4" t="s">
        <v>3918</v>
      </c>
      <c r="G295" s="4" t="s">
        <v>3354</v>
      </c>
      <c r="H295" s="8" t="n">
        <v>18.1</v>
      </c>
      <c r="I295" s="8" t="n">
        <v>27.3</v>
      </c>
      <c r="J295" s="11" t="n">
        <v>4</v>
      </c>
    </row>
    <row r="296" customFormat="false" ht="15" hidden="false" customHeight="false" outlineLevel="0" collapsed="false">
      <c r="A296" s="4" t="s">
        <v>4219</v>
      </c>
      <c r="B296" s="6" t="n">
        <v>45658</v>
      </c>
      <c r="C296" s="4" t="s">
        <v>1379</v>
      </c>
      <c r="D296" s="4" t="s">
        <v>3926</v>
      </c>
      <c r="E296" s="4" t="s">
        <v>16</v>
      </c>
      <c r="F296" s="4" t="s">
        <v>3918</v>
      </c>
      <c r="G296" s="4" t="s">
        <v>3410</v>
      </c>
      <c r="H296" s="8" t="n">
        <v>2.7</v>
      </c>
      <c r="I296" s="8" t="n">
        <v>36.4</v>
      </c>
      <c r="J296" s="11" t="n">
        <v>1</v>
      </c>
    </row>
    <row r="297" customFormat="false" ht="15" hidden="false" customHeight="false" outlineLevel="0" collapsed="false">
      <c r="A297" s="4" t="s">
        <v>4220</v>
      </c>
      <c r="B297" s="6" t="n">
        <v>46073</v>
      </c>
      <c r="C297" s="4" t="s">
        <v>775</v>
      </c>
      <c r="D297" s="4" t="s">
        <v>3917</v>
      </c>
      <c r="E297" s="4" t="s">
        <v>22</v>
      </c>
      <c r="F297" s="4" t="s">
        <v>3918</v>
      </c>
      <c r="G297" s="4" t="s">
        <v>3278</v>
      </c>
      <c r="H297" s="8" t="n">
        <v>15.4</v>
      </c>
      <c r="I297" s="8" t="n">
        <v>228.5</v>
      </c>
      <c r="J297" s="11" t="n">
        <v>2</v>
      </c>
    </row>
    <row r="298" customFormat="false" ht="15" hidden="false" customHeight="false" outlineLevel="0" collapsed="false">
      <c r="A298" s="4" t="s">
        <v>4221</v>
      </c>
      <c r="B298" s="6" t="n">
        <v>45689</v>
      </c>
      <c r="C298" s="4" t="s">
        <v>767</v>
      </c>
      <c r="D298" s="4" t="s">
        <v>3928</v>
      </c>
      <c r="E298" s="4" t="s">
        <v>10</v>
      </c>
      <c r="F298" s="4" t="s">
        <v>3921</v>
      </c>
      <c r="G298" s="4" t="s">
        <v>3108</v>
      </c>
      <c r="H298" s="8" t="n">
        <v>4.5</v>
      </c>
      <c r="I298" s="8" t="n">
        <v>186.7</v>
      </c>
      <c r="J298" s="11" t="n">
        <v>1</v>
      </c>
    </row>
    <row r="299" customFormat="false" ht="15" hidden="false" customHeight="false" outlineLevel="0" collapsed="false">
      <c r="A299" s="4" t="s">
        <v>4222</v>
      </c>
      <c r="B299" s="6" t="n">
        <v>46121</v>
      </c>
      <c r="C299" s="4" t="s">
        <v>1437</v>
      </c>
      <c r="D299" s="4" t="s">
        <v>3928</v>
      </c>
      <c r="E299" s="4" t="s">
        <v>10</v>
      </c>
      <c r="F299" s="4" t="s">
        <v>3929</v>
      </c>
      <c r="G299" s="4" t="s">
        <v>3218</v>
      </c>
      <c r="H299" s="8" t="n">
        <v>22.7</v>
      </c>
      <c r="I299" s="8" t="n">
        <v>159.5</v>
      </c>
      <c r="J299" s="11" t="n">
        <v>1</v>
      </c>
    </row>
    <row r="300" customFormat="false" ht="15" hidden="false" customHeight="false" outlineLevel="0" collapsed="false">
      <c r="A300" s="4" t="s">
        <v>4223</v>
      </c>
      <c r="B300" s="6" t="n">
        <v>46055</v>
      </c>
      <c r="C300" s="4" t="s">
        <v>847</v>
      </c>
      <c r="D300" s="4" t="s">
        <v>3917</v>
      </c>
      <c r="E300" s="4" t="s">
        <v>22</v>
      </c>
      <c r="F300" s="4" t="s">
        <v>3929</v>
      </c>
      <c r="G300" s="4" t="s">
        <v>3156</v>
      </c>
      <c r="H300" s="8" t="n">
        <v>10.3</v>
      </c>
      <c r="I300" s="8" t="n">
        <v>142.3</v>
      </c>
      <c r="J300" s="11" t="n">
        <v>4</v>
      </c>
    </row>
    <row r="301" customFormat="false" ht="15" hidden="false" customHeight="false" outlineLevel="0" collapsed="false">
      <c r="A301" s="4" t="s">
        <v>4224</v>
      </c>
      <c r="B301" s="6" t="n">
        <v>45690</v>
      </c>
      <c r="C301" s="4" t="s">
        <v>975</v>
      </c>
      <c r="D301" s="4" t="s">
        <v>3920</v>
      </c>
      <c r="E301" s="4" t="s">
        <v>10</v>
      </c>
      <c r="F301" s="4" t="s">
        <v>3923</v>
      </c>
      <c r="G301" s="4" t="s">
        <v>3180</v>
      </c>
      <c r="H301" s="8" t="n">
        <v>0.8</v>
      </c>
      <c r="I301" s="8" t="n">
        <v>168.8</v>
      </c>
      <c r="J301" s="11" t="n">
        <v>4</v>
      </c>
    </row>
    <row r="302" customFormat="false" ht="15" hidden="false" customHeight="false" outlineLevel="0" collapsed="false">
      <c r="A302" s="4" t="s">
        <v>4225</v>
      </c>
      <c r="B302" s="6" t="n">
        <v>46017</v>
      </c>
      <c r="C302" s="4" t="s">
        <v>1435</v>
      </c>
      <c r="D302" s="4" t="s">
        <v>3938</v>
      </c>
      <c r="E302" s="4" t="s">
        <v>10</v>
      </c>
      <c r="F302" s="4" t="s">
        <v>3923</v>
      </c>
      <c r="G302" s="4" t="s">
        <v>3011</v>
      </c>
      <c r="H302" s="8" t="n">
        <v>9.2</v>
      </c>
      <c r="I302" s="8" t="n">
        <v>231.1</v>
      </c>
      <c r="J302" s="11" t="n">
        <v>1</v>
      </c>
    </row>
    <row r="303" customFormat="false" ht="15" hidden="false" customHeight="false" outlineLevel="0" collapsed="false">
      <c r="A303" s="4" t="s">
        <v>4226</v>
      </c>
      <c r="B303" s="6" t="n">
        <v>45752</v>
      </c>
      <c r="C303" s="4" t="s">
        <v>548</v>
      </c>
      <c r="D303" s="4" t="s">
        <v>3917</v>
      </c>
      <c r="E303" s="4" t="s">
        <v>28</v>
      </c>
      <c r="F303" s="4" t="s">
        <v>3929</v>
      </c>
      <c r="G303" s="4" t="s">
        <v>3372</v>
      </c>
      <c r="H303" s="8" t="n">
        <v>20</v>
      </c>
      <c r="I303" s="8" t="n">
        <v>152.2</v>
      </c>
      <c r="J303" s="11" t="n">
        <v>1</v>
      </c>
    </row>
    <row r="304" customFormat="false" ht="15" hidden="false" customHeight="false" outlineLevel="0" collapsed="false">
      <c r="A304" s="4" t="s">
        <v>4227</v>
      </c>
      <c r="B304" s="6" t="n">
        <v>46003</v>
      </c>
      <c r="C304" s="4" t="s">
        <v>711</v>
      </c>
      <c r="D304" s="4" t="s">
        <v>3926</v>
      </c>
      <c r="E304" s="4" t="s">
        <v>28</v>
      </c>
      <c r="F304" s="4" t="s">
        <v>3923</v>
      </c>
      <c r="G304" s="4" t="s">
        <v>3242</v>
      </c>
      <c r="H304" s="8" t="n">
        <v>0.9</v>
      </c>
      <c r="I304" s="8" t="n">
        <v>75.7</v>
      </c>
      <c r="J304" s="11" t="n">
        <v>4</v>
      </c>
    </row>
    <row r="305" customFormat="false" ht="15" hidden="false" customHeight="false" outlineLevel="0" collapsed="false">
      <c r="A305" s="4" t="s">
        <v>4228</v>
      </c>
      <c r="B305" s="6" t="n">
        <v>45755</v>
      </c>
      <c r="C305" s="4" t="s">
        <v>463</v>
      </c>
      <c r="D305" s="4" t="s">
        <v>3917</v>
      </c>
      <c r="E305" s="4" t="s">
        <v>16</v>
      </c>
      <c r="F305" s="4" t="s">
        <v>3923</v>
      </c>
      <c r="G305" s="4" t="s">
        <v>3304</v>
      </c>
      <c r="H305" s="8" t="n">
        <v>20.7</v>
      </c>
      <c r="I305" s="8" t="n">
        <v>187.8</v>
      </c>
      <c r="J305" s="11" t="n">
        <v>5</v>
      </c>
    </row>
    <row r="306" customFormat="false" ht="15" hidden="false" customHeight="false" outlineLevel="0" collapsed="false">
      <c r="A306" s="4" t="s">
        <v>4229</v>
      </c>
      <c r="B306" s="6" t="n">
        <v>46172</v>
      </c>
      <c r="C306" s="4" t="s">
        <v>649</v>
      </c>
      <c r="D306" s="4" t="s">
        <v>3938</v>
      </c>
      <c r="E306" s="4" t="s">
        <v>28</v>
      </c>
      <c r="F306" s="4" t="s">
        <v>3921</v>
      </c>
      <c r="G306" s="4" t="s">
        <v>3142</v>
      </c>
      <c r="H306" s="8" t="n">
        <v>16.8</v>
      </c>
      <c r="I306" s="8" t="n">
        <v>94.4</v>
      </c>
      <c r="J306" s="11" t="n">
        <v>5</v>
      </c>
    </row>
    <row r="307" customFormat="false" ht="15" hidden="false" customHeight="false" outlineLevel="0" collapsed="false">
      <c r="A307" s="4" t="s">
        <v>4230</v>
      </c>
      <c r="B307" s="6" t="n">
        <v>45778</v>
      </c>
      <c r="C307" s="4" t="s">
        <v>1179</v>
      </c>
      <c r="D307" s="4" t="s">
        <v>3926</v>
      </c>
      <c r="E307" s="4" t="s">
        <v>10</v>
      </c>
      <c r="F307" s="4" t="s">
        <v>3929</v>
      </c>
      <c r="G307" s="4" t="s">
        <v>3252</v>
      </c>
      <c r="H307" s="8" t="n">
        <v>4.3</v>
      </c>
      <c r="I307" s="8" t="n">
        <v>109.5</v>
      </c>
      <c r="J307" s="11" t="n">
        <v>2</v>
      </c>
    </row>
    <row r="308" customFormat="false" ht="15" hidden="false" customHeight="false" outlineLevel="0" collapsed="false">
      <c r="A308" s="4" t="s">
        <v>4231</v>
      </c>
      <c r="B308" s="6" t="n">
        <v>45997</v>
      </c>
      <c r="C308" s="4" t="s">
        <v>901</v>
      </c>
      <c r="D308" s="4" t="s">
        <v>3928</v>
      </c>
      <c r="E308" s="4" t="s">
        <v>10</v>
      </c>
      <c r="F308" s="4" t="s">
        <v>3929</v>
      </c>
      <c r="G308" s="4" t="s">
        <v>3352</v>
      </c>
      <c r="H308" s="8" t="n">
        <v>3.8</v>
      </c>
      <c r="I308" s="8" t="n">
        <v>201.3</v>
      </c>
      <c r="J308" s="11" t="n">
        <v>2</v>
      </c>
    </row>
    <row r="309" customFormat="false" ht="15" hidden="false" customHeight="false" outlineLevel="0" collapsed="false">
      <c r="A309" s="4" t="s">
        <v>4232</v>
      </c>
      <c r="B309" s="6" t="n">
        <v>45913</v>
      </c>
      <c r="C309" s="4" t="s">
        <v>453</v>
      </c>
      <c r="D309" s="4" t="s">
        <v>3938</v>
      </c>
      <c r="E309" s="4" t="s">
        <v>28</v>
      </c>
      <c r="F309" s="4" t="s">
        <v>3923</v>
      </c>
      <c r="G309" s="4" t="s">
        <v>3398</v>
      </c>
      <c r="H309" s="8" t="n">
        <v>17.9</v>
      </c>
      <c r="I309" s="8" t="n">
        <v>157.6</v>
      </c>
      <c r="J309" s="11" t="n">
        <v>2</v>
      </c>
    </row>
    <row r="310" customFormat="false" ht="15" hidden="false" customHeight="false" outlineLevel="0" collapsed="false">
      <c r="A310" s="4" t="s">
        <v>4233</v>
      </c>
      <c r="B310" s="6" t="n">
        <v>45967</v>
      </c>
      <c r="C310" s="4" t="s">
        <v>651</v>
      </c>
      <c r="D310" s="4" t="s">
        <v>3917</v>
      </c>
      <c r="E310" s="4" t="s">
        <v>28</v>
      </c>
      <c r="F310" s="4" t="s">
        <v>3921</v>
      </c>
      <c r="G310" s="4" t="s">
        <v>3176</v>
      </c>
      <c r="H310" s="8" t="n">
        <v>20.8</v>
      </c>
      <c r="I310" s="8" t="n">
        <v>140.9</v>
      </c>
      <c r="J310" s="11" t="n">
        <v>4</v>
      </c>
    </row>
    <row r="311" customFormat="false" ht="15" hidden="false" customHeight="false" outlineLevel="0" collapsed="false">
      <c r="A311" s="4" t="s">
        <v>4234</v>
      </c>
      <c r="B311" s="6" t="n">
        <v>45776</v>
      </c>
      <c r="C311" s="4" t="s">
        <v>567</v>
      </c>
      <c r="D311" s="4" t="s">
        <v>3917</v>
      </c>
      <c r="E311" s="4" t="s">
        <v>16</v>
      </c>
      <c r="F311" s="4" t="s">
        <v>3923</v>
      </c>
      <c r="G311" s="4" t="s">
        <v>3072</v>
      </c>
      <c r="H311" s="8" t="n">
        <v>3.3</v>
      </c>
      <c r="I311" s="8" t="n">
        <v>235</v>
      </c>
      <c r="J311" s="11" t="n">
        <v>5</v>
      </c>
    </row>
    <row r="312" customFormat="false" ht="15" hidden="false" customHeight="false" outlineLevel="0" collapsed="false">
      <c r="A312" s="4" t="s">
        <v>4235</v>
      </c>
      <c r="B312" s="6" t="n">
        <v>46166</v>
      </c>
      <c r="C312" s="4" t="s">
        <v>839</v>
      </c>
      <c r="D312" s="4" t="s">
        <v>3938</v>
      </c>
      <c r="E312" s="4" t="s">
        <v>10</v>
      </c>
      <c r="F312" s="4" t="s">
        <v>3923</v>
      </c>
      <c r="G312" s="4" t="s">
        <v>3009</v>
      </c>
      <c r="H312" s="8" t="n">
        <v>17</v>
      </c>
      <c r="I312" s="8" t="n">
        <v>215.7</v>
      </c>
      <c r="J312" s="11" t="n">
        <v>3</v>
      </c>
    </row>
    <row r="313" customFormat="false" ht="15" hidden="false" customHeight="false" outlineLevel="0" collapsed="false">
      <c r="A313" s="4" t="s">
        <v>4236</v>
      </c>
      <c r="B313" s="6" t="n">
        <v>46143</v>
      </c>
      <c r="C313" s="4" t="s">
        <v>496</v>
      </c>
      <c r="D313" s="4" t="s">
        <v>3920</v>
      </c>
      <c r="E313" s="4" t="s">
        <v>10</v>
      </c>
      <c r="F313" s="4" t="s">
        <v>3923</v>
      </c>
      <c r="G313" s="4" t="s">
        <v>3224</v>
      </c>
      <c r="H313" s="8" t="n">
        <v>13.4</v>
      </c>
      <c r="I313" s="8" t="n">
        <v>102.5</v>
      </c>
      <c r="J313" s="11" t="n">
        <v>1</v>
      </c>
    </row>
    <row r="314" customFormat="false" ht="15" hidden="false" customHeight="false" outlineLevel="0" collapsed="false">
      <c r="A314" s="4" t="s">
        <v>4237</v>
      </c>
      <c r="B314" s="6" t="n">
        <v>46024</v>
      </c>
      <c r="C314" s="4" t="s">
        <v>951</v>
      </c>
      <c r="D314" s="4" t="s">
        <v>3938</v>
      </c>
      <c r="E314" s="4" t="s">
        <v>10</v>
      </c>
      <c r="F314" s="4" t="s">
        <v>3929</v>
      </c>
      <c r="G314" s="4" t="s">
        <v>3260</v>
      </c>
      <c r="H314" s="8" t="n">
        <v>22.1</v>
      </c>
      <c r="I314" s="8" t="n">
        <v>217.8</v>
      </c>
      <c r="J314" s="11" t="n">
        <v>2</v>
      </c>
    </row>
    <row r="315" customFormat="false" ht="15" hidden="false" customHeight="false" outlineLevel="0" collapsed="false">
      <c r="A315" s="4" t="s">
        <v>4238</v>
      </c>
      <c r="B315" s="6" t="n">
        <v>45823</v>
      </c>
      <c r="C315" s="4" t="s">
        <v>553</v>
      </c>
      <c r="D315" s="4" t="s">
        <v>3926</v>
      </c>
      <c r="E315" s="4" t="s">
        <v>10</v>
      </c>
      <c r="F315" s="4" t="s">
        <v>3921</v>
      </c>
      <c r="G315" s="4" t="s">
        <v>3096</v>
      </c>
      <c r="H315" s="8" t="n">
        <v>16</v>
      </c>
      <c r="I315" s="8" t="n">
        <v>108.2</v>
      </c>
      <c r="J315" s="11" t="n">
        <v>5</v>
      </c>
    </row>
    <row r="316" customFormat="false" ht="15" hidden="false" customHeight="false" outlineLevel="0" collapsed="false">
      <c r="A316" s="4" t="s">
        <v>4239</v>
      </c>
      <c r="B316" s="6" t="n">
        <v>46147</v>
      </c>
      <c r="C316" s="4" t="s">
        <v>531</v>
      </c>
      <c r="D316" s="4" t="s">
        <v>3917</v>
      </c>
      <c r="E316" s="4" t="s">
        <v>22</v>
      </c>
      <c r="F316" s="4" t="s">
        <v>3929</v>
      </c>
      <c r="G316" s="4" t="s">
        <v>3300</v>
      </c>
      <c r="H316" s="8" t="n">
        <v>10</v>
      </c>
      <c r="I316" s="8" t="n">
        <v>135.2</v>
      </c>
      <c r="J316" s="11" t="n">
        <v>2</v>
      </c>
    </row>
    <row r="317" customFormat="false" ht="15" hidden="false" customHeight="false" outlineLevel="0" collapsed="false">
      <c r="A317" s="4" t="s">
        <v>4240</v>
      </c>
      <c r="B317" s="6" t="n">
        <v>45965</v>
      </c>
      <c r="C317" s="4" t="s">
        <v>601</v>
      </c>
      <c r="D317" s="4" t="s">
        <v>3938</v>
      </c>
      <c r="E317" s="4" t="s">
        <v>16</v>
      </c>
      <c r="F317" s="4" t="s">
        <v>3918</v>
      </c>
      <c r="G317" s="4" t="s">
        <v>2999</v>
      </c>
      <c r="H317" s="8" t="n">
        <v>9</v>
      </c>
      <c r="I317" s="8" t="n">
        <v>123.4</v>
      </c>
      <c r="J317" s="11" t="n">
        <v>1</v>
      </c>
    </row>
    <row r="318" customFormat="false" ht="15" hidden="false" customHeight="false" outlineLevel="0" collapsed="false">
      <c r="A318" s="4" t="s">
        <v>4241</v>
      </c>
      <c r="B318" s="6" t="n">
        <v>46201</v>
      </c>
      <c r="C318" s="4" t="s">
        <v>460</v>
      </c>
      <c r="D318" s="4" t="s">
        <v>3920</v>
      </c>
      <c r="E318" s="4" t="s">
        <v>10</v>
      </c>
      <c r="F318" s="4" t="s">
        <v>3929</v>
      </c>
      <c r="G318" s="4" t="s">
        <v>3452</v>
      </c>
      <c r="H318" s="8" t="n">
        <v>19.5</v>
      </c>
      <c r="I318" s="8" t="n">
        <v>78</v>
      </c>
      <c r="J318" s="11" t="n">
        <v>2</v>
      </c>
    </row>
    <row r="319" customFormat="false" ht="15" hidden="false" customHeight="false" outlineLevel="0" collapsed="false">
      <c r="A319" s="4" t="s">
        <v>4242</v>
      </c>
      <c r="B319" s="6" t="n">
        <v>45851</v>
      </c>
      <c r="C319" s="4" t="s">
        <v>1143</v>
      </c>
      <c r="D319" s="4" t="s">
        <v>3938</v>
      </c>
      <c r="E319" s="4" t="s">
        <v>28</v>
      </c>
      <c r="F319" s="4" t="s">
        <v>3918</v>
      </c>
      <c r="G319" s="4" t="s">
        <v>3246</v>
      </c>
      <c r="H319" s="8" t="n">
        <v>11.5</v>
      </c>
      <c r="I319" s="8" t="n">
        <v>25.6</v>
      </c>
      <c r="J319" s="11" t="n">
        <v>4</v>
      </c>
    </row>
    <row r="320" customFormat="false" ht="15" hidden="false" customHeight="false" outlineLevel="0" collapsed="false">
      <c r="A320" s="4" t="s">
        <v>4243</v>
      </c>
      <c r="B320" s="6" t="n">
        <v>45788</v>
      </c>
      <c r="C320" s="4" t="s">
        <v>1343</v>
      </c>
      <c r="D320" s="4" t="s">
        <v>3926</v>
      </c>
      <c r="E320" s="4" t="s">
        <v>10</v>
      </c>
      <c r="F320" s="4" t="s">
        <v>3918</v>
      </c>
      <c r="G320" s="4" t="s">
        <v>3076</v>
      </c>
      <c r="H320" s="8" t="n">
        <v>20.7</v>
      </c>
      <c r="I320" s="8" t="n">
        <v>18.2</v>
      </c>
      <c r="J320" s="11" t="n">
        <v>5</v>
      </c>
    </row>
    <row r="321" customFormat="false" ht="15" hidden="false" customHeight="false" outlineLevel="0" collapsed="false">
      <c r="A321" s="4" t="s">
        <v>4244</v>
      </c>
      <c r="B321" s="6" t="n">
        <v>45910</v>
      </c>
      <c r="C321" s="4" t="s">
        <v>1105</v>
      </c>
      <c r="D321" s="4" t="s">
        <v>3938</v>
      </c>
      <c r="E321" s="4" t="s">
        <v>10</v>
      </c>
      <c r="F321" s="4" t="s">
        <v>3918</v>
      </c>
      <c r="G321" s="4" t="s">
        <v>3430</v>
      </c>
      <c r="H321" s="8" t="n">
        <v>15.1</v>
      </c>
      <c r="I321" s="8" t="n">
        <v>225.2</v>
      </c>
      <c r="J321" s="11" t="n">
        <v>3</v>
      </c>
    </row>
    <row r="322" customFormat="false" ht="15" hidden="false" customHeight="false" outlineLevel="0" collapsed="false">
      <c r="A322" s="4" t="s">
        <v>4245</v>
      </c>
      <c r="B322" s="6" t="n">
        <v>46100</v>
      </c>
      <c r="C322" s="4" t="s">
        <v>504</v>
      </c>
      <c r="D322" s="4" t="s">
        <v>3920</v>
      </c>
      <c r="E322" s="4" t="s">
        <v>28</v>
      </c>
      <c r="F322" s="4" t="s">
        <v>3921</v>
      </c>
      <c r="G322" s="4" t="s">
        <v>3400</v>
      </c>
      <c r="H322" s="8" t="n">
        <v>9.5</v>
      </c>
      <c r="I322" s="8" t="n">
        <v>47.8</v>
      </c>
      <c r="J322" s="11" t="n">
        <v>3</v>
      </c>
    </row>
    <row r="323" customFormat="false" ht="15" hidden="false" customHeight="false" outlineLevel="0" collapsed="false">
      <c r="A323" s="4" t="s">
        <v>4246</v>
      </c>
      <c r="B323" s="6" t="n">
        <v>45888</v>
      </c>
      <c r="C323" s="4" t="s">
        <v>1231</v>
      </c>
      <c r="D323" s="4" t="s">
        <v>3917</v>
      </c>
      <c r="E323" s="4" t="s">
        <v>28</v>
      </c>
      <c r="F323" s="4" t="s">
        <v>3923</v>
      </c>
      <c r="G323" s="4" t="s">
        <v>3246</v>
      </c>
      <c r="H323" s="8" t="n">
        <v>14.8</v>
      </c>
      <c r="I323" s="8" t="n">
        <v>190.1</v>
      </c>
      <c r="J323" s="11" t="n">
        <v>4</v>
      </c>
    </row>
    <row r="324" customFormat="false" ht="15" hidden="false" customHeight="false" outlineLevel="0" collapsed="false">
      <c r="A324" s="4" t="s">
        <v>4247</v>
      </c>
      <c r="B324" s="6" t="n">
        <v>46191</v>
      </c>
      <c r="C324" s="4" t="s">
        <v>759</v>
      </c>
      <c r="D324" s="4" t="s">
        <v>3938</v>
      </c>
      <c r="E324" s="4" t="s">
        <v>16</v>
      </c>
      <c r="F324" s="4" t="s">
        <v>3918</v>
      </c>
      <c r="G324" s="4" t="s">
        <v>3396</v>
      </c>
      <c r="H324" s="8" t="n">
        <v>1.9</v>
      </c>
      <c r="I324" s="8" t="n">
        <v>144.8</v>
      </c>
      <c r="J324" s="11" t="n">
        <v>4</v>
      </c>
    </row>
    <row r="325" customFormat="false" ht="15" hidden="false" customHeight="false" outlineLevel="0" collapsed="false">
      <c r="A325" s="4" t="s">
        <v>4248</v>
      </c>
      <c r="B325" s="6" t="n">
        <v>45807</v>
      </c>
      <c r="C325" s="4" t="s">
        <v>1255</v>
      </c>
      <c r="D325" s="4" t="s">
        <v>3928</v>
      </c>
      <c r="E325" s="4" t="s">
        <v>10</v>
      </c>
      <c r="F325" s="4" t="s">
        <v>3921</v>
      </c>
      <c r="G325" s="4" t="s">
        <v>3190</v>
      </c>
      <c r="H325" s="8" t="n">
        <v>6.7</v>
      </c>
      <c r="I325" s="8" t="n">
        <v>68.8</v>
      </c>
      <c r="J325" s="11" t="n">
        <v>3</v>
      </c>
    </row>
    <row r="326" customFormat="false" ht="15" hidden="false" customHeight="false" outlineLevel="0" collapsed="false">
      <c r="A326" s="4" t="s">
        <v>4249</v>
      </c>
      <c r="B326" s="6" t="n">
        <v>45973</v>
      </c>
      <c r="C326" s="4" t="s">
        <v>1339</v>
      </c>
      <c r="D326" s="4" t="s">
        <v>3938</v>
      </c>
      <c r="E326" s="4" t="s">
        <v>22</v>
      </c>
      <c r="F326" s="4" t="s">
        <v>3929</v>
      </c>
      <c r="G326" s="4" t="s">
        <v>3262</v>
      </c>
      <c r="H326" s="8" t="n">
        <v>11.8</v>
      </c>
      <c r="I326" s="8" t="n">
        <v>182.3</v>
      </c>
      <c r="J326" s="11" t="n">
        <v>5</v>
      </c>
    </row>
    <row r="327" customFormat="false" ht="15" hidden="false" customHeight="false" outlineLevel="0" collapsed="false">
      <c r="A327" s="4" t="s">
        <v>4250</v>
      </c>
      <c r="B327" s="6" t="n">
        <v>46003</v>
      </c>
      <c r="C327" s="4" t="s">
        <v>557</v>
      </c>
      <c r="D327" s="4" t="s">
        <v>3938</v>
      </c>
      <c r="E327" s="4" t="s">
        <v>16</v>
      </c>
      <c r="F327" s="4" t="s">
        <v>3923</v>
      </c>
      <c r="G327" s="4" t="s">
        <v>3500</v>
      </c>
      <c r="H327" s="8" t="n">
        <v>8.3</v>
      </c>
      <c r="I327" s="8" t="n">
        <v>125</v>
      </c>
      <c r="J327" s="11" t="n">
        <v>1</v>
      </c>
    </row>
    <row r="328" customFormat="false" ht="15" hidden="false" customHeight="false" outlineLevel="0" collapsed="false">
      <c r="A328" s="4" t="s">
        <v>4251</v>
      </c>
      <c r="B328" s="6" t="n">
        <v>45935</v>
      </c>
      <c r="C328" s="4" t="s">
        <v>1359</v>
      </c>
      <c r="D328" s="4" t="s">
        <v>3920</v>
      </c>
      <c r="E328" s="4" t="s">
        <v>22</v>
      </c>
      <c r="F328" s="4" t="s">
        <v>3929</v>
      </c>
      <c r="G328" s="4" t="s">
        <v>3306</v>
      </c>
      <c r="H328" s="8" t="n">
        <v>12.4</v>
      </c>
      <c r="I328" s="8" t="n">
        <v>76.5</v>
      </c>
      <c r="J328" s="11" t="n">
        <v>3</v>
      </c>
    </row>
    <row r="329" customFormat="false" ht="15" hidden="false" customHeight="false" outlineLevel="0" collapsed="false">
      <c r="A329" s="4" t="s">
        <v>4252</v>
      </c>
      <c r="B329" s="6" t="n">
        <v>46014</v>
      </c>
      <c r="C329" s="4" t="s">
        <v>1459</v>
      </c>
      <c r="D329" s="4" t="s">
        <v>3920</v>
      </c>
      <c r="E329" s="4" t="s">
        <v>16</v>
      </c>
      <c r="F329" s="4" t="s">
        <v>3918</v>
      </c>
      <c r="G329" s="4" t="s">
        <v>3100</v>
      </c>
      <c r="H329" s="8" t="n">
        <v>19.8</v>
      </c>
      <c r="I329" s="8" t="n">
        <v>125.2</v>
      </c>
      <c r="J329" s="11" t="n">
        <v>4</v>
      </c>
    </row>
    <row r="330" customFormat="false" ht="15" hidden="false" customHeight="false" outlineLevel="0" collapsed="false">
      <c r="A330" s="4" t="s">
        <v>4253</v>
      </c>
      <c r="B330" s="6" t="n">
        <v>46092</v>
      </c>
      <c r="C330" s="4" t="s">
        <v>1149</v>
      </c>
      <c r="D330" s="4" t="s">
        <v>3917</v>
      </c>
      <c r="E330" s="4" t="s">
        <v>22</v>
      </c>
      <c r="F330" s="4" t="s">
        <v>3929</v>
      </c>
      <c r="G330" s="4" t="s">
        <v>3394</v>
      </c>
      <c r="H330" s="8" t="n">
        <v>14.8</v>
      </c>
      <c r="I330" s="8" t="n">
        <v>189.3</v>
      </c>
      <c r="J330" s="11" t="n">
        <v>3</v>
      </c>
    </row>
    <row r="331" customFormat="false" ht="15" hidden="false" customHeight="false" outlineLevel="0" collapsed="false">
      <c r="A331" s="4" t="s">
        <v>4254</v>
      </c>
      <c r="B331" s="6" t="n">
        <v>45986</v>
      </c>
      <c r="C331" s="4" t="s">
        <v>673</v>
      </c>
      <c r="D331" s="4" t="s">
        <v>3938</v>
      </c>
      <c r="E331" s="4" t="s">
        <v>16</v>
      </c>
      <c r="F331" s="4" t="s">
        <v>3929</v>
      </c>
      <c r="G331" s="4" t="s">
        <v>3298</v>
      </c>
      <c r="H331" s="8" t="n">
        <v>12.5</v>
      </c>
      <c r="I331" s="8" t="n">
        <v>29.9</v>
      </c>
      <c r="J331" s="11" t="n">
        <v>3</v>
      </c>
    </row>
    <row r="332" customFormat="false" ht="15" hidden="false" customHeight="false" outlineLevel="0" collapsed="false">
      <c r="A332" s="4" t="s">
        <v>4255</v>
      </c>
      <c r="B332" s="6" t="n">
        <v>46003</v>
      </c>
      <c r="C332" s="4" t="s">
        <v>651</v>
      </c>
      <c r="D332" s="4" t="s">
        <v>3938</v>
      </c>
      <c r="E332" s="4" t="s">
        <v>16</v>
      </c>
      <c r="F332" s="4" t="s">
        <v>3918</v>
      </c>
      <c r="G332" s="4" t="s">
        <v>3192</v>
      </c>
      <c r="H332" s="8" t="n">
        <v>6</v>
      </c>
      <c r="I332" s="8" t="n">
        <v>117.3</v>
      </c>
      <c r="J332" s="11" t="n">
        <v>3</v>
      </c>
    </row>
    <row r="333" customFormat="false" ht="15" hidden="false" customHeight="false" outlineLevel="0" collapsed="false">
      <c r="A333" s="4" t="s">
        <v>4256</v>
      </c>
      <c r="B333" s="6" t="n">
        <v>45807</v>
      </c>
      <c r="C333" s="4" t="s">
        <v>725</v>
      </c>
      <c r="D333" s="4" t="s">
        <v>3926</v>
      </c>
      <c r="E333" s="4" t="s">
        <v>28</v>
      </c>
      <c r="F333" s="4" t="s">
        <v>3929</v>
      </c>
      <c r="G333" s="4" t="s">
        <v>3038</v>
      </c>
      <c r="H333" s="8" t="n">
        <v>6.1</v>
      </c>
      <c r="I333" s="8" t="n">
        <v>232</v>
      </c>
      <c r="J333" s="11" t="n">
        <v>5</v>
      </c>
    </row>
    <row r="334" customFormat="false" ht="15" hidden="false" customHeight="false" outlineLevel="0" collapsed="false">
      <c r="A334" s="4" t="s">
        <v>4257</v>
      </c>
      <c r="B334" s="6" t="n">
        <v>45726</v>
      </c>
      <c r="C334" s="4" t="s">
        <v>657</v>
      </c>
      <c r="D334" s="4" t="s">
        <v>3920</v>
      </c>
      <c r="E334" s="4" t="s">
        <v>28</v>
      </c>
      <c r="F334" s="4" t="s">
        <v>3921</v>
      </c>
      <c r="G334" s="4" t="s">
        <v>3476</v>
      </c>
      <c r="H334" s="8" t="n">
        <v>11.9</v>
      </c>
      <c r="I334" s="8" t="n">
        <v>224.5</v>
      </c>
      <c r="J334" s="11" t="n">
        <v>5</v>
      </c>
    </row>
    <row r="335" customFormat="false" ht="15" hidden="false" customHeight="false" outlineLevel="0" collapsed="false">
      <c r="A335" s="4" t="s">
        <v>4258</v>
      </c>
      <c r="B335" s="6" t="n">
        <v>45861</v>
      </c>
      <c r="C335" s="4" t="s">
        <v>737</v>
      </c>
      <c r="D335" s="4" t="s">
        <v>3928</v>
      </c>
      <c r="E335" s="4" t="s">
        <v>22</v>
      </c>
      <c r="F335" s="4" t="s">
        <v>3923</v>
      </c>
      <c r="G335" s="4" t="s">
        <v>3220</v>
      </c>
      <c r="H335" s="8" t="n">
        <v>15.1</v>
      </c>
      <c r="I335" s="8" t="n">
        <v>118.5</v>
      </c>
      <c r="J335" s="11" t="n">
        <v>1</v>
      </c>
    </row>
    <row r="336" customFormat="false" ht="15" hidden="false" customHeight="false" outlineLevel="0" collapsed="false">
      <c r="A336" s="4" t="s">
        <v>4259</v>
      </c>
      <c r="B336" s="6" t="n">
        <v>46054</v>
      </c>
      <c r="C336" s="4" t="s">
        <v>785</v>
      </c>
      <c r="D336" s="4" t="s">
        <v>3928</v>
      </c>
      <c r="E336" s="4" t="s">
        <v>28</v>
      </c>
      <c r="F336" s="4" t="s">
        <v>3923</v>
      </c>
      <c r="G336" s="4" t="s">
        <v>3072</v>
      </c>
      <c r="H336" s="8" t="n">
        <v>4.4</v>
      </c>
      <c r="I336" s="8" t="n">
        <v>88</v>
      </c>
      <c r="J336" s="11" t="n">
        <v>1</v>
      </c>
    </row>
    <row r="337" customFormat="false" ht="15" hidden="false" customHeight="false" outlineLevel="0" collapsed="false">
      <c r="A337" s="4" t="s">
        <v>4260</v>
      </c>
      <c r="B337" s="6" t="n">
        <v>45942</v>
      </c>
      <c r="C337" s="4" t="s">
        <v>575</v>
      </c>
      <c r="D337" s="4" t="s">
        <v>3926</v>
      </c>
      <c r="E337" s="4" t="s">
        <v>10</v>
      </c>
      <c r="F337" s="4" t="s">
        <v>3921</v>
      </c>
      <c r="G337" s="4" t="s">
        <v>3276</v>
      </c>
      <c r="H337" s="8" t="n">
        <v>6.5</v>
      </c>
      <c r="I337" s="8" t="n">
        <v>188.6</v>
      </c>
      <c r="J337" s="11" t="n">
        <v>4</v>
      </c>
    </row>
    <row r="338" customFormat="false" ht="15" hidden="false" customHeight="false" outlineLevel="0" collapsed="false">
      <c r="A338" s="4" t="s">
        <v>4261</v>
      </c>
      <c r="B338" s="6" t="n">
        <v>45719</v>
      </c>
      <c r="C338" s="4" t="s">
        <v>463</v>
      </c>
      <c r="D338" s="4" t="s">
        <v>3928</v>
      </c>
      <c r="E338" s="4" t="s">
        <v>16</v>
      </c>
      <c r="F338" s="4" t="s">
        <v>3921</v>
      </c>
      <c r="G338" s="4" t="s">
        <v>3174</v>
      </c>
      <c r="H338" s="8" t="n">
        <v>23.4</v>
      </c>
      <c r="I338" s="8" t="n">
        <v>173.3</v>
      </c>
      <c r="J338" s="11" t="n">
        <v>3</v>
      </c>
    </row>
    <row r="339" customFormat="false" ht="15" hidden="false" customHeight="false" outlineLevel="0" collapsed="false">
      <c r="A339" s="4" t="s">
        <v>4262</v>
      </c>
      <c r="B339" s="6" t="n">
        <v>45894</v>
      </c>
      <c r="C339" s="4" t="s">
        <v>689</v>
      </c>
      <c r="D339" s="4" t="s">
        <v>3926</v>
      </c>
      <c r="E339" s="4" t="s">
        <v>28</v>
      </c>
      <c r="F339" s="4" t="s">
        <v>3918</v>
      </c>
      <c r="G339" s="4" t="s">
        <v>3310</v>
      </c>
      <c r="H339" s="8" t="n">
        <v>13.7</v>
      </c>
      <c r="I339" s="8" t="n">
        <v>65.5</v>
      </c>
      <c r="J339" s="11" t="n">
        <v>5</v>
      </c>
    </row>
    <row r="340" customFormat="false" ht="15" hidden="false" customHeight="false" outlineLevel="0" collapsed="false">
      <c r="A340" s="4" t="s">
        <v>4263</v>
      </c>
      <c r="B340" s="6" t="n">
        <v>45813</v>
      </c>
      <c r="C340" s="4" t="s">
        <v>481</v>
      </c>
      <c r="D340" s="4" t="s">
        <v>3926</v>
      </c>
      <c r="E340" s="4" t="s">
        <v>22</v>
      </c>
      <c r="F340" s="4" t="s">
        <v>3918</v>
      </c>
      <c r="G340" s="4" t="s">
        <v>3300</v>
      </c>
      <c r="H340" s="8" t="n">
        <v>7.7</v>
      </c>
      <c r="I340" s="8" t="n">
        <v>54.3</v>
      </c>
      <c r="J340" s="11" t="n">
        <v>4</v>
      </c>
    </row>
    <row r="341" customFormat="false" ht="15" hidden="false" customHeight="false" outlineLevel="0" collapsed="false">
      <c r="A341" s="4" t="s">
        <v>4264</v>
      </c>
      <c r="B341" s="6" t="n">
        <v>45822</v>
      </c>
      <c r="C341" s="4" t="s">
        <v>557</v>
      </c>
      <c r="D341" s="4" t="s">
        <v>3926</v>
      </c>
      <c r="E341" s="4" t="s">
        <v>16</v>
      </c>
      <c r="F341" s="4" t="s">
        <v>3921</v>
      </c>
      <c r="G341" s="4" t="s">
        <v>3380</v>
      </c>
      <c r="H341" s="8" t="n">
        <v>14.8</v>
      </c>
      <c r="I341" s="8" t="n">
        <v>233.8</v>
      </c>
      <c r="J341" s="11" t="n">
        <v>4</v>
      </c>
    </row>
    <row r="342" customFormat="false" ht="15" hidden="false" customHeight="false" outlineLevel="0" collapsed="false">
      <c r="A342" s="4" t="s">
        <v>4265</v>
      </c>
      <c r="B342" s="6" t="n">
        <v>45910</v>
      </c>
      <c r="C342" s="4" t="s">
        <v>1329</v>
      </c>
      <c r="D342" s="4" t="s">
        <v>3938</v>
      </c>
      <c r="E342" s="4" t="s">
        <v>10</v>
      </c>
      <c r="F342" s="4" t="s">
        <v>3921</v>
      </c>
      <c r="G342" s="4" t="s">
        <v>3114</v>
      </c>
      <c r="H342" s="8" t="n">
        <v>5.9</v>
      </c>
      <c r="I342" s="8" t="n">
        <v>147.1</v>
      </c>
      <c r="J342" s="11" t="n">
        <v>2</v>
      </c>
    </row>
    <row r="343" customFormat="false" ht="15" hidden="false" customHeight="false" outlineLevel="0" collapsed="false">
      <c r="A343" s="4" t="s">
        <v>4266</v>
      </c>
      <c r="B343" s="6" t="n">
        <v>45767</v>
      </c>
      <c r="C343" s="4" t="s">
        <v>450</v>
      </c>
      <c r="D343" s="4" t="s">
        <v>3917</v>
      </c>
      <c r="E343" s="4" t="s">
        <v>16</v>
      </c>
      <c r="F343" s="4" t="s">
        <v>3929</v>
      </c>
      <c r="G343" s="4" t="s">
        <v>3344</v>
      </c>
      <c r="H343" s="8" t="n">
        <v>7.5</v>
      </c>
      <c r="I343" s="8" t="n">
        <v>140</v>
      </c>
      <c r="J343" s="11" t="n">
        <v>5</v>
      </c>
    </row>
    <row r="344" customFormat="false" ht="15" hidden="false" customHeight="false" outlineLevel="0" collapsed="false">
      <c r="A344" s="4" t="s">
        <v>4267</v>
      </c>
      <c r="B344" s="6" t="n">
        <v>45876</v>
      </c>
      <c r="C344" s="4" t="s">
        <v>701</v>
      </c>
      <c r="D344" s="4" t="s">
        <v>3928</v>
      </c>
      <c r="E344" s="4" t="s">
        <v>28</v>
      </c>
      <c r="F344" s="4" t="s">
        <v>3923</v>
      </c>
      <c r="G344" s="4" t="s">
        <v>3434</v>
      </c>
      <c r="H344" s="8" t="n">
        <v>2.1</v>
      </c>
      <c r="I344" s="8" t="n">
        <v>171.6</v>
      </c>
      <c r="J344" s="11" t="n">
        <v>4</v>
      </c>
    </row>
    <row r="345" customFormat="false" ht="15" hidden="false" customHeight="false" outlineLevel="0" collapsed="false">
      <c r="A345" s="4" t="s">
        <v>4268</v>
      </c>
      <c r="B345" s="6" t="n">
        <v>46047</v>
      </c>
      <c r="C345" s="4" t="s">
        <v>481</v>
      </c>
      <c r="D345" s="4" t="s">
        <v>3926</v>
      </c>
      <c r="E345" s="4" t="s">
        <v>16</v>
      </c>
      <c r="F345" s="4" t="s">
        <v>3923</v>
      </c>
      <c r="G345" s="4" t="s">
        <v>3392</v>
      </c>
      <c r="H345" s="8" t="n">
        <v>6.6</v>
      </c>
      <c r="I345" s="8" t="n">
        <v>211.9</v>
      </c>
      <c r="J345" s="11" t="n">
        <v>4</v>
      </c>
    </row>
    <row r="346" customFormat="false" ht="15" hidden="false" customHeight="false" outlineLevel="0" collapsed="false">
      <c r="A346" s="4" t="s">
        <v>4269</v>
      </c>
      <c r="B346" s="6" t="n">
        <v>45987</v>
      </c>
      <c r="C346" s="4" t="s">
        <v>478</v>
      </c>
      <c r="D346" s="4" t="s">
        <v>3938</v>
      </c>
      <c r="E346" s="4" t="s">
        <v>28</v>
      </c>
      <c r="F346" s="4" t="s">
        <v>3929</v>
      </c>
      <c r="G346" s="4" t="s">
        <v>3260</v>
      </c>
      <c r="H346" s="8" t="n">
        <v>14.8</v>
      </c>
      <c r="I346" s="8" t="n">
        <v>201.5</v>
      </c>
      <c r="J346" s="11" t="n">
        <v>5</v>
      </c>
    </row>
    <row r="347" customFormat="false" ht="15" hidden="false" customHeight="false" outlineLevel="0" collapsed="false">
      <c r="A347" s="4" t="s">
        <v>4270</v>
      </c>
      <c r="B347" s="6" t="n">
        <v>45805</v>
      </c>
      <c r="C347" s="4" t="s">
        <v>1185</v>
      </c>
      <c r="D347" s="4" t="s">
        <v>3928</v>
      </c>
      <c r="E347" s="4" t="s">
        <v>16</v>
      </c>
      <c r="F347" s="4" t="s">
        <v>3929</v>
      </c>
      <c r="G347" s="4" t="s">
        <v>3308</v>
      </c>
      <c r="H347" s="8" t="n">
        <v>20.1</v>
      </c>
      <c r="I347" s="8" t="n">
        <v>164.6</v>
      </c>
      <c r="J347" s="11" t="n">
        <v>2</v>
      </c>
    </row>
    <row r="348" customFormat="false" ht="15" hidden="false" customHeight="false" outlineLevel="0" collapsed="false">
      <c r="A348" s="4" t="s">
        <v>4271</v>
      </c>
      <c r="B348" s="6" t="n">
        <v>45881</v>
      </c>
      <c r="C348" s="4" t="s">
        <v>785</v>
      </c>
      <c r="D348" s="4" t="s">
        <v>3920</v>
      </c>
      <c r="E348" s="4" t="s">
        <v>28</v>
      </c>
      <c r="F348" s="4" t="s">
        <v>3918</v>
      </c>
      <c r="G348" s="4" t="s">
        <v>3208</v>
      </c>
      <c r="H348" s="8" t="n">
        <v>6.7</v>
      </c>
      <c r="I348" s="8" t="n">
        <v>172.2</v>
      </c>
      <c r="J348" s="11" t="n">
        <v>2</v>
      </c>
    </row>
    <row r="349" customFormat="false" ht="15" hidden="false" customHeight="false" outlineLevel="0" collapsed="false">
      <c r="A349" s="4" t="s">
        <v>4272</v>
      </c>
      <c r="B349" s="6" t="n">
        <v>45682</v>
      </c>
      <c r="C349" s="4" t="s">
        <v>1167</v>
      </c>
      <c r="D349" s="4" t="s">
        <v>3926</v>
      </c>
      <c r="E349" s="4" t="s">
        <v>28</v>
      </c>
      <c r="F349" s="4" t="s">
        <v>3923</v>
      </c>
      <c r="G349" s="4" t="s">
        <v>3126</v>
      </c>
      <c r="H349" s="8" t="n">
        <v>15.5</v>
      </c>
      <c r="I349" s="8" t="n">
        <v>17.4</v>
      </c>
      <c r="J349" s="11" t="n">
        <v>1</v>
      </c>
    </row>
    <row r="350" customFormat="false" ht="15" hidden="false" customHeight="false" outlineLevel="0" collapsed="false">
      <c r="A350" s="4" t="s">
        <v>4273</v>
      </c>
      <c r="B350" s="6" t="n">
        <v>46026</v>
      </c>
      <c r="C350" s="4" t="s">
        <v>855</v>
      </c>
      <c r="D350" s="4" t="s">
        <v>3928</v>
      </c>
      <c r="E350" s="4" t="s">
        <v>28</v>
      </c>
      <c r="F350" s="4" t="s">
        <v>3929</v>
      </c>
      <c r="G350" s="4" t="s">
        <v>3252</v>
      </c>
      <c r="H350" s="8" t="n">
        <v>10.5</v>
      </c>
      <c r="I350" s="8" t="n">
        <v>108</v>
      </c>
      <c r="J350" s="11" t="n">
        <v>4</v>
      </c>
    </row>
    <row r="351" customFormat="false" ht="15" hidden="false" customHeight="false" outlineLevel="0" collapsed="false">
      <c r="A351" s="4" t="s">
        <v>4274</v>
      </c>
      <c r="B351" s="6" t="n">
        <v>45919</v>
      </c>
      <c r="C351" s="4" t="s">
        <v>821</v>
      </c>
      <c r="D351" s="4" t="s">
        <v>3917</v>
      </c>
      <c r="E351" s="4" t="s">
        <v>10</v>
      </c>
      <c r="F351" s="4" t="s">
        <v>3923</v>
      </c>
      <c r="G351" s="4" t="s">
        <v>3138</v>
      </c>
      <c r="H351" s="8" t="n">
        <v>8.9</v>
      </c>
      <c r="I351" s="8" t="n">
        <v>239.3</v>
      </c>
      <c r="J351" s="11" t="n">
        <v>4</v>
      </c>
    </row>
    <row r="352" customFormat="false" ht="15" hidden="false" customHeight="false" outlineLevel="0" collapsed="false">
      <c r="A352" s="4" t="s">
        <v>4275</v>
      </c>
      <c r="B352" s="6" t="n">
        <v>45882</v>
      </c>
      <c r="C352" s="4" t="s">
        <v>1339</v>
      </c>
      <c r="D352" s="4" t="s">
        <v>3926</v>
      </c>
      <c r="E352" s="4" t="s">
        <v>16</v>
      </c>
      <c r="F352" s="4" t="s">
        <v>3918</v>
      </c>
      <c r="G352" s="4" t="s">
        <v>3332</v>
      </c>
      <c r="H352" s="8" t="n">
        <v>12.5</v>
      </c>
      <c r="I352" s="8" t="n">
        <v>128.4</v>
      </c>
      <c r="J352" s="11" t="n">
        <v>2</v>
      </c>
    </row>
    <row r="353" customFormat="false" ht="15" hidden="false" customHeight="false" outlineLevel="0" collapsed="false">
      <c r="A353" s="4" t="s">
        <v>4276</v>
      </c>
      <c r="B353" s="6" t="n">
        <v>46031</v>
      </c>
      <c r="C353" s="4" t="s">
        <v>510</v>
      </c>
      <c r="D353" s="4" t="s">
        <v>3917</v>
      </c>
      <c r="E353" s="4" t="s">
        <v>10</v>
      </c>
      <c r="F353" s="4" t="s">
        <v>3923</v>
      </c>
      <c r="G353" s="4" t="s">
        <v>3048</v>
      </c>
      <c r="H353" s="8" t="n">
        <v>17</v>
      </c>
      <c r="I353" s="8" t="n">
        <v>39.8</v>
      </c>
      <c r="J353" s="11" t="n">
        <v>5</v>
      </c>
    </row>
    <row r="354" customFormat="false" ht="15" hidden="false" customHeight="false" outlineLevel="0" collapsed="false">
      <c r="A354" s="4" t="s">
        <v>4277</v>
      </c>
      <c r="B354" s="6" t="n">
        <v>45739</v>
      </c>
      <c r="C354" s="4" t="s">
        <v>1001</v>
      </c>
      <c r="D354" s="4" t="s">
        <v>3920</v>
      </c>
      <c r="E354" s="4" t="s">
        <v>10</v>
      </c>
      <c r="F354" s="4" t="s">
        <v>3929</v>
      </c>
      <c r="G354" s="4" t="s">
        <v>3232</v>
      </c>
      <c r="H354" s="8" t="n">
        <v>3.7</v>
      </c>
      <c r="I354" s="8" t="n">
        <v>35.7</v>
      </c>
      <c r="J354" s="11" t="n">
        <v>4</v>
      </c>
    </row>
    <row r="355" customFormat="false" ht="15" hidden="false" customHeight="false" outlineLevel="0" collapsed="false">
      <c r="A355" s="4" t="s">
        <v>4278</v>
      </c>
      <c r="B355" s="6" t="n">
        <v>45892</v>
      </c>
      <c r="C355" s="4" t="s">
        <v>883</v>
      </c>
      <c r="D355" s="4" t="s">
        <v>3920</v>
      </c>
      <c r="E355" s="4" t="s">
        <v>22</v>
      </c>
      <c r="F355" s="4" t="s">
        <v>3918</v>
      </c>
      <c r="G355" s="4" t="s">
        <v>3086</v>
      </c>
      <c r="H355" s="8" t="n">
        <v>12.5</v>
      </c>
      <c r="I355" s="8" t="n">
        <v>57.2</v>
      </c>
      <c r="J355" s="11" t="n">
        <v>1</v>
      </c>
    </row>
    <row r="356" customFormat="false" ht="15" hidden="false" customHeight="false" outlineLevel="0" collapsed="false">
      <c r="A356" s="4" t="s">
        <v>4279</v>
      </c>
      <c r="B356" s="6" t="n">
        <v>45953</v>
      </c>
      <c r="C356" s="4" t="s">
        <v>1025</v>
      </c>
      <c r="D356" s="4" t="s">
        <v>3938</v>
      </c>
      <c r="E356" s="4" t="s">
        <v>10</v>
      </c>
      <c r="F356" s="4" t="s">
        <v>3918</v>
      </c>
      <c r="G356" s="4" t="s">
        <v>3484</v>
      </c>
      <c r="H356" s="8" t="n">
        <v>10.2</v>
      </c>
      <c r="I356" s="8" t="n">
        <v>42</v>
      </c>
      <c r="J356" s="11" t="n">
        <v>1</v>
      </c>
    </row>
    <row r="357" customFormat="false" ht="15" hidden="false" customHeight="false" outlineLevel="0" collapsed="false">
      <c r="A357" s="4" t="s">
        <v>4280</v>
      </c>
      <c r="B357" s="6" t="n">
        <v>45726</v>
      </c>
      <c r="C357" s="4" t="s">
        <v>1255</v>
      </c>
      <c r="D357" s="4" t="s">
        <v>3928</v>
      </c>
      <c r="E357" s="4" t="s">
        <v>16</v>
      </c>
      <c r="F357" s="4" t="s">
        <v>3921</v>
      </c>
      <c r="G357" s="4" t="s">
        <v>3138</v>
      </c>
      <c r="H357" s="8" t="n">
        <v>19.6</v>
      </c>
      <c r="I357" s="8" t="n">
        <v>44.5</v>
      </c>
      <c r="J357" s="11" t="n">
        <v>1</v>
      </c>
    </row>
    <row r="358" customFormat="false" ht="15" hidden="false" customHeight="false" outlineLevel="0" collapsed="false">
      <c r="A358" s="4" t="s">
        <v>4281</v>
      </c>
      <c r="B358" s="6" t="n">
        <v>45841</v>
      </c>
      <c r="C358" s="4" t="s">
        <v>621</v>
      </c>
      <c r="D358" s="4" t="s">
        <v>3926</v>
      </c>
      <c r="E358" s="4" t="s">
        <v>28</v>
      </c>
      <c r="F358" s="4" t="s">
        <v>3929</v>
      </c>
      <c r="G358" s="4" t="s">
        <v>3478</v>
      </c>
      <c r="H358" s="8" t="n">
        <v>4.6</v>
      </c>
      <c r="I358" s="8" t="n">
        <v>189.3</v>
      </c>
      <c r="J358" s="11" t="n">
        <v>3</v>
      </c>
    </row>
    <row r="359" customFormat="false" ht="15" hidden="false" customHeight="false" outlineLevel="0" collapsed="false">
      <c r="A359" s="4" t="s">
        <v>4282</v>
      </c>
      <c r="B359" s="6" t="n">
        <v>46183</v>
      </c>
      <c r="C359" s="4" t="s">
        <v>1297</v>
      </c>
      <c r="D359" s="4" t="s">
        <v>3928</v>
      </c>
      <c r="E359" s="4" t="s">
        <v>16</v>
      </c>
      <c r="F359" s="4" t="s">
        <v>3929</v>
      </c>
      <c r="G359" s="4" t="s">
        <v>3258</v>
      </c>
      <c r="H359" s="8" t="n">
        <v>12.2</v>
      </c>
      <c r="I359" s="8" t="n">
        <v>15.5</v>
      </c>
      <c r="J359" s="11" t="n">
        <v>2</v>
      </c>
    </row>
    <row r="360" customFormat="false" ht="15" hidden="false" customHeight="false" outlineLevel="0" collapsed="false">
      <c r="A360" s="4" t="s">
        <v>4283</v>
      </c>
      <c r="B360" s="6" t="n">
        <v>46138</v>
      </c>
      <c r="C360" s="4" t="s">
        <v>623</v>
      </c>
      <c r="D360" s="4" t="s">
        <v>3917</v>
      </c>
      <c r="E360" s="4" t="s">
        <v>16</v>
      </c>
      <c r="F360" s="4" t="s">
        <v>3921</v>
      </c>
      <c r="G360" s="4" t="s">
        <v>3124</v>
      </c>
      <c r="H360" s="8" t="n">
        <v>20.7</v>
      </c>
      <c r="I360" s="8" t="n">
        <v>200.6</v>
      </c>
      <c r="J360" s="11" t="n">
        <v>5</v>
      </c>
    </row>
    <row r="361" customFormat="false" ht="15" hidden="false" customHeight="false" outlineLevel="0" collapsed="false">
      <c r="A361" s="4" t="s">
        <v>4284</v>
      </c>
      <c r="B361" s="6" t="n">
        <v>45909</v>
      </c>
      <c r="C361" s="4" t="s">
        <v>929</v>
      </c>
      <c r="D361" s="4" t="s">
        <v>3917</v>
      </c>
      <c r="E361" s="4" t="s">
        <v>22</v>
      </c>
      <c r="F361" s="4" t="s">
        <v>3923</v>
      </c>
      <c r="G361" s="4" t="s">
        <v>3364</v>
      </c>
      <c r="H361" s="8" t="n">
        <v>2.7</v>
      </c>
      <c r="I361" s="8" t="n">
        <v>61.1</v>
      </c>
      <c r="J361" s="11" t="n">
        <v>5</v>
      </c>
    </row>
    <row r="362" customFormat="false" ht="15" hidden="false" customHeight="false" outlineLevel="0" collapsed="false">
      <c r="A362" s="4" t="s">
        <v>4285</v>
      </c>
      <c r="B362" s="6" t="n">
        <v>46044</v>
      </c>
      <c r="C362" s="4" t="s">
        <v>603</v>
      </c>
      <c r="D362" s="4" t="s">
        <v>3928</v>
      </c>
      <c r="E362" s="4" t="s">
        <v>10</v>
      </c>
      <c r="F362" s="4" t="s">
        <v>3921</v>
      </c>
      <c r="G362" s="4" t="s">
        <v>3148</v>
      </c>
      <c r="H362" s="8" t="n">
        <v>11.1</v>
      </c>
      <c r="I362" s="8" t="n">
        <v>192.1</v>
      </c>
      <c r="J362" s="11" t="n">
        <v>4</v>
      </c>
    </row>
    <row r="363" customFormat="false" ht="15" hidden="false" customHeight="false" outlineLevel="0" collapsed="false">
      <c r="A363" s="4" t="s">
        <v>4286</v>
      </c>
      <c r="B363" s="6" t="n">
        <v>46190</v>
      </c>
      <c r="C363" s="4" t="s">
        <v>827</v>
      </c>
      <c r="D363" s="4" t="s">
        <v>3926</v>
      </c>
      <c r="E363" s="4" t="s">
        <v>28</v>
      </c>
      <c r="F363" s="4" t="s">
        <v>3923</v>
      </c>
      <c r="G363" s="4" t="s">
        <v>3296</v>
      </c>
      <c r="H363" s="8" t="n">
        <v>17.3</v>
      </c>
      <c r="I363" s="8" t="n">
        <v>180.3</v>
      </c>
      <c r="J363" s="11" t="n">
        <v>3</v>
      </c>
    </row>
    <row r="364" customFormat="false" ht="15" hidden="false" customHeight="false" outlineLevel="0" collapsed="false">
      <c r="A364" s="4" t="s">
        <v>4287</v>
      </c>
      <c r="B364" s="6" t="n">
        <v>46173</v>
      </c>
      <c r="C364" s="4" t="s">
        <v>1343</v>
      </c>
      <c r="D364" s="4" t="s">
        <v>3938</v>
      </c>
      <c r="E364" s="4" t="s">
        <v>28</v>
      </c>
      <c r="F364" s="4" t="s">
        <v>3918</v>
      </c>
      <c r="G364" s="4" t="s">
        <v>3066</v>
      </c>
      <c r="H364" s="8" t="n">
        <v>19.3</v>
      </c>
      <c r="I364" s="8" t="n">
        <v>51.2</v>
      </c>
      <c r="J364" s="11" t="n">
        <v>5</v>
      </c>
    </row>
    <row r="365" customFormat="false" ht="15" hidden="false" customHeight="false" outlineLevel="0" collapsed="false">
      <c r="A365" s="4" t="s">
        <v>4288</v>
      </c>
      <c r="B365" s="6" t="n">
        <v>45776</v>
      </c>
      <c r="C365" s="4" t="s">
        <v>1083</v>
      </c>
      <c r="D365" s="4" t="s">
        <v>3938</v>
      </c>
      <c r="E365" s="4" t="s">
        <v>22</v>
      </c>
      <c r="F365" s="4" t="s">
        <v>3929</v>
      </c>
      <c r="G365" s="4" t="s">
        <v>3196</v>
      </c>
      <c r="H365" s="8" t="n">
        <v>9.1</v>
      </c>
      <c r="I365" s="8" t="n">
        <v>90.9</v>
      </c>
      <c r="J365" s="11" t="n">
        <v>3</v>
      </c>
    </row>
    <row r="366" customFormat="false" ht="15" hidden="false" customHeight="false" outlineLevel="0" collapsed="false">
      <c r="A366" s="4" t="s">
        <v>4289</v>
      </c>
      <c r="B366" s="6" t="n">
        <v>45674</v>
      </c>
      <c r="C366" s="4" t="s">
        <v>685</v>
      </c>
      <c r="D366" s="4" t="s">
        <v>3938</v>
      </c>
      <c r="E366" s="4" t="s">
        <v>28</v>
      </c>
      <c r="F366" s="4" t="s">
        <v>3918</v>
      </c>
      <c r="G366" s="4" t="s">
        <v>3398</v>
      </c>
      <c r="H366" s="8" t="n">
        <v>15.4</v>
      </c>
      <c r="I366" s="8" t="n">
        <v>37</v>
      </c>
      <c r="J366" s="11" t="n">
        <v>5</v>
      </c>
    </row>
    <row r="367" customFormat="false" ht="15" hidden="false" customHeight="false" outlineLevel="0" collapsed="false">
      <c r="A367" s="4" t="s">
        <v>4290</v>
      </c>
      <c r="B367" s="6" t="n">
        <v>46063</v>
      </c>
      <c r="C367" s="4" t="s">
        <v>715</v>
      </c>
      <c r="D367" s="4" t="s">
        <v>3917</v>
      </c>
      <c r="E367" s="4" t="s">
        <v>16</v>
      </c>
      <c r="F367" s="4" t="s">
        <v>3929</v>
      </c>
      <c r="G367" s="4" t="s">
        <v>3006</v>
      </c>
      <c r="H367" s="8" t="n">
        <v>21.6</v>
      </c>
      <c r="I367" s="8" t="n">
        <v>217.1</v>
      </c>
      <c r="J367" s="11" t="n">
        <v>3</v>
      </c>
    </row>
    <row r="368" customFormat="false" ht="15" hidden="false" customHeight="false" outlineLevel="0" collapsed="false">
      <c r="A368" s="4" t="s">
        <v>4291</v>
      </c>
      <c r="B368" s="6" t="n">
        <v>46135</v>
      </c>
      <c r="C368" s="4" t="s">
        <v>1193</v>
      </c>
      <c r="D368" s="4" t="s">
        <v>3938</v>
      </c>
      <c r="E368" s="4" t="s">
        <v>28</v>
      </c>
      <c r="F368" s="4" t="s">
        <v>3923</v>
      </c>
      <c r="G368" s="4" t="s">
        <v>3192</v>
      </c>
      <c r="H368" s="8" t="n">
        <v>21.2</v>
      </c>
      <c r="I368" s="8" t="n">
        <v>112.3</v>
      </c>
      <c r="J368" s="11" t="n">
        <v>4</v>
      </c>
    </row>
    <row r="369" customFormat="false" ht="15" hidden="false" customHeight="false" outlineLevel="0" collapsed="false">
      <c r="A369" s="4" t="s">
        <v>4292</v>
      </c>
      <c r="B369" s="6" t="n">
        <v>45807</v>
      </c>
      <c r="C369" s="4" t="s">
        <v>1383</v>
      </c>
      <c r="D369" s="4" t="s">
        <v>3928</v>
      </c>
      <c r="E369" s="4" t="s">
        <v>10</v>
      </c>
      <c r="F369" s="4" t="s">
        <v>3918</v>
      </c>
      <c r="G369" s="4" t="s">
        <v>3152</v>
      </c>
      <c r="H369" s="8" t="n">
        <v>9</v>
      </c>
      <c r="I369" s="8" t="n">
        <v>85.4</v>
      </c>
      <c r="J369" s="11" t="n">
        <v>4</v>
      </c>
    </row>
    <row r="370" customFormat="false" ht="15" hidden="false" customHeight="false" outlineLevel="0" collapsed="false">
      <c r="A370" s="4" t="s">
        <v>4293</v>
      </c>
      <c r="B370" s="6" t="n">
        <v>45959</v>
      </c>
      <c r="C370" s="4" t="s">
        <v>827</v>
      </c>
      <c r="D370" s="4" t="s">
        <v>3926</v>
      </c>
      <c r="E370" s="4" t="s">
        <v>28</v>
      </c>
      <c r="F370" s="4" t="s">
        <v>3921</v>
      </c>
      <c r="G370" s="4" t="s">
        <v>3284</v>
      </c>
      <c r="H370" s="8" t="n">
        <v>11.5</v>
      </c>
      <c r="I370" s="8" t="n">
        <v>224.3</v>
      </c>
      <c r="J370" s="11" t="n">
        <v>4</v>
      </c>
    </row>
    <row r="371" customFormat="false" ht="15" hidden="false" customHeight="false" outlineLevel="0" collapsed="false">
      <c r="A371" s="4" t="s">
        <v>4294</v>
      </c>
      <c r="B371" s="6" t="n">
        <v>45997</v>
      </c>
      <c r="C371" s="4" t="s">
        <v>663</v>
      </c>
      <c r="D371" s="4" t="s">
        <v>3920</v>
      </c>
      <c r="E371" s="4" t="s">
        <v>10</v>
      </c>
      <c r="F371" s="4" t="s">
        <v>3929</v>
      </c>
      <c r="G371" s="4" t="s">
        <v>3474</v>
      </c>
      <c r="H371" s="8" t="n">
        <v>12.2</v>
      </c>
      <c r="I371" s="8" t="n">
        <v>4.6</v>
      </c>
      <c r="J371" s="11" t="n">
        <v>1</v>
      </c>
    </row>
    <row r="372" customFormat="false" ht="15" hidden="false" customHeight="false" outlineLevel="0" collapsed="false">
      <c r="A372" s="4" t="s">
        <v>4295</v>
      </c>
      <c r="B372" s="6" t="n">
        <v>45719</v>
      </c>
      <c r="C372" s="4" t="s">
        <v>483</v>
      </c>
      <c r="D372" s="4" t="s">
        <v>3926</v>
      </c>
      <c r="E372" s="4" t="s">
        <v>16</v>
      </c>
      <c r="F372" s="4" t="s">
        <v>3929</v>
      </c>
      <c r="G372" s="4" t="s">
        <v>3112</v>
      </c>
      <c r="H372" s="8" t="n">
        <v>15.2</v>
      </c>
      <c r="I372" s="8" t="n">
        <v>90.4</v>
      </c>
      <c r="J372" s="11" t="n">
        <v>4</v>
      </c>
    </row>
    <row r="373" customFormat="false" ht="15" hidden="false" customHeight="false" outlineLevel="0" collapsed="false">
      <c r="A373" s="4" t="s">
        <v>4296</v>
      </c>
      <c r="B373" s="6" t="n">
        <v>46129</v>
      </c>
      <c r="C373" s="4" t="s">
        <v>819</v>
      </c>
      <c r="D373" s="4" t="s">
        <v>3926</v>
      </c>
      <c r="E373" s="4" t="s">
        <v>28</v>
      </c>
      <c r="F373" s="4" t="s">
        <v>3929</v>
      </c>
      <c r="G373" s="4" t="s">
        <v>3168</v>
      </c>
      <c r="H373" s="8" t="n">
        <v>6.9</v>
      </c>
      <c r="I373" s="8" t="n">
        <v>14.1</v>
      </c>
      <c r="J373" s="11" t="n">
        <v>5</v>
      </c>
    </row>
    <row r="374" customFormat="false" ht="15" hidden="false" customHeight="false" outlineLevel="0" collapsed="false">
      <c r="A374" s="4" t="s">
        <v>4297</v>
      </c>
      <c r="B374" s="6" t="n">
        <v>46157</v>
      </c>
      <c r="C374" s="4" t="s">
        <v>907</v>
      </c>
      <c r="D374" s="4" t="s">
        <v>3926</v>
      </c>
      <c r="E374" s="4" t="s">
        <v>10</v>
      </c>
      <c r="F374" s="4" t="s">
        <v>3923</v>
      </c>
      <c r="G374" s="4" t="s">
        <v>3020</v>
      </c>
      <c r="H374" s="8" t="n">
        <v>16</v>
      </c>
      <c r="I374" s="8" t="n">
        <v>132.4</v>
      </c>
      <c r="J374" s="11" t="n">
        <v>5</v>
      </c>
    </row>
    <row r="375" customFormat="false" ht="15" hidden="false" customHeight="false" outlineLevel="0" collapsed="false">
      <c r="A375" s="4" t="s">
        <v>4298</v>
      </c>
      <c r="B375" s="6" t="n">
        <v>46044</v>
      </c>
      <c r="C375" s="4" t="s">
        <v>803</v>
      </c>
      <c r="D375" s="4" t="s">
        <v>3938</v>
      </c>
      <c r="E375" s="4" t="s">
        <v>10</v>
      </c>
      <c r="F375" s="4" t="s">
        <v>3918</v>
      </c>
      <c r="G375" s="4" t="s">
        <v>3376</v>
      </c>
      <c r="H375" s="8" t="n">
        <v>17.4</v>
      </c>
      <c r="I375" s="8" t="n">
        <v>65.6</v>
      </c>
      <c r="J375" s="11" t="n">
        <v>2</v>
      </c>
    </row>
    <row r="376" customFormat="false" ht="15" hidden="false" customHeight="false" outlineLevel="0" collapsed="false">
      <c r="A376" s="4" t="s">
        <v>4299</v>
      </c>
      <c r="B376" s="6" t="n">
        <v>46051</v>
      </c>
      <c r="C376" s="4" t="s">
        <v>747</v>
      </c>
      <c r="D376" s="4" t="s">
        <v>3938</v>
      </c>
      <c r="E376" s="4" t="s">
        <v>16</v>
      </c>
      <c r="F376" s="4" t="s">
        <v>3921</v>
      </c>
      <c r="G376" s="4" t="s">
        <v>3114</v>
      </c>
      <c r="H376" s="8" t="n">
        <v>1.1</v>
      </c>
      <c r="I376" s="8" t="n">
        <v>74.1</v>
      </c>
      <c r="J376" s="11" t="n">
        <v>2</v>
      </c>
    </row>
    <row r="377" customFormat="false" ht="15" hidden="false" customHeight="false" outlineLevel="0" collapsed="false">
      <c r="A377" s="4" t="s">
        <v>4300</v>
      </c>
      <c r="B377" s="6" t="n">
        <v>45856</v>
      </c>
      <c r="C377" s="4" t="s">
        <v>891</v>
      </c>
      <c r="D377" s="4" t="s">
        <v>3917</v>
      </c>
      <c r="E377" s="4" t="s">
        <v>16</v>
      </c>
      <c r="F377" s="4" t="s">
        <v>3923</v>
      </c>
      <c r="G377" s="4" t="s">
        <v>3220</v>
      </c>
      <c r="H377" s="8" t="n">
        <v>13.2</v>
      </c>
      <c r="I377" s="8" t="n">
        <v>62.7</v>
      </c>
      <c r="J377" s="11" t="n">
        <v>2</v>
      </c>
    </row>
    <row r="378" customFormat="false" ht="15" hidden="false" customHeight="false" outlineLevel="0" collapsed="false">
      <c r="A378" s="4" t="s">
        <v>4301</v>
      </c>
      <c r="B378" s="6" t="n">
        <v>45825</v>
      </c>
      <c r="C378" s="4" t="s">
        <v>1343</v>
      </c>
      <c r="D378" s="4" t="s">
        <v>3928</v>
      </c>
      <c r="E378" s="4" t="s">
        <v>10</v>
      </c>
      <c r="F378" s="4" t="s">
        <v>3921</v>
      </c>
      <c r="G378" s="4" t="s">
        <v>3136</v>
      </c>
      <c r="H378" s="8" t="n">
        <v>17.5</v>
      </c>
      <c r="I378" s="8" t="n">
        <v>189.3</v>
      </c>
      <c r="J378" s="11" t="n">
        <v>2</v>
      </c>
    </row>
    <row r="379" customFormat="false" ht="15" hidden="false" customHeight="false" outlineLevel="0" collapsed="false">
      <c r="A379" s="4" t="s">
        <v>4302</v>
      </c>
      <c r="B379" s="6" t="n">
        <v>46163</v>
      </c>
      <c r="C379" s="4" t="s">
        <v>581</v>
      </c>
      <c r="D379" s="4" t="s">
        <v>3928</v>
      </c>
      <c r="E379" s="4" t="s">
        <v>28</v>
      </c>
      <c r="F379" s="4" t="s">
        <v>3918</v>
      </c>
      <c r="G379" s="4" t="s">
        <v>3344</v>
      </c>
      <c r="H379" s="8" t="n">
        <v>11.1</v>
      </c>
      <c r="I379" s="8" t="n">
        <v>216.1</v>
      </c>
      <c r="J379" s="11" t="n">
        <v>5</v>
      </c>
    </row>
    <row r="380" customFormat="false" ht="15" hidden="false" customHeight="false" outlineLevel="0" collapsed="false">
      <c r="A380" s="4" t="s">
        <v>4303</v>
      </c>
      <c r="B380" s="6" t="n">
        <v>45922</v>
      </c>
      <c r="C380" s="4" t="s">
        <v>1055</v>
      </c>
      <c r="D380" s="4" t="s">
        <v>3926</v>
      </c>
      <c r="E380" s="4" t="s">
        <v>22</v>
      </c>
      <c r="F380" s="4" t="s">
        <v>3923</v>
      </c>
      <c r="G380" s="4" t="s">
        <v>3282</v>
      </c>
      <c r="H380" s="8" t="n">
        <v>21.4</v>
      </c>
      <c r="I380" s="8" t="n">
        <v>195.8</v>
      </c>
      <c r="J380" s="11" t="n">
        <v>3</v>
      </c>
    </row>
    <row r="381" customFormat="false" ht="15" hidden="false" customHeight="false" outlineLevel="0" collapsed="false">
      <c r="A381" s="4" t="s">
        <v>4304</v>
      </c>
      <c r="B381" s="6" t="n">
        <v>46190</v>
      </c>
      <c r="C381" s="4" t="s">
        <v>1163</v>
      </c>
      <c r="D381" s="4" t="s">
        <v>3920</v>
      </c>
      <c r="E381" s="4" t="s">
        <v>22</v>
      </c>
      <c r="F381" s="4" t="s">
        <v>3918</v>
      </c>
      <c r="G381" s="4" t="s">
        <v>3414</v>
      </c>
      <c r="H381" s="8" t="n">
        <v>14.3</v>
      </c>
      <c r="I381" s="8" t="n">
        <v>215.4</v>
      </c>
      <c r="J381" s="11" t="n">
        <v>2</v>
      </c>
    </row>
    <row r="382" customFormat="false" ht="15" hidden="false" customHeight="false" outlineLevel="0" collapsed="false">
      <c r="A382" s="4" t="s">
        <v>4305</v>
      </c>
      <c r="B382" s="6" t="n">
        <v>46152</v>
      </c>
      <c r="C382" s="4" t="s">
        <v>743</v>
      </c>
      <c r="D382" s="4" t="s">
        <v>3920</v>
      </c>
      <c r="E382" s="4" t="s">
        <v>10</v>
      </c>
      <c r="F382" s="4" t="s">
        <v>3923</v>
      </c>
      <c r="G382" s="4" t="s">
        <v>3482</v>
      </c>
      <c r="H382" s="8" t="n">
        <v>12.3</v>
      </c>
      <c r="I382" s="8" t="n">
        <v>120.7</v>
      </c>
      <c r="J382" s="11" t="n">
        <v>4</v>
      </c>
    </row>
    <row r="383" customFormat="false" ht="15" hidden="false" customHeight="false" outlineLevel="0" collapsed="false">
      <c r="A383" s="4" t="s">
        <v>4306</v>
      </c>
      <c r="B383" s="6" t="n">
        <v>45921</v>
      </c>
      <c r="C383" s="4" t="s">
        <v>573</v>
      </c>
      <c r="D383" s="4" t="s">
        <v>3917</v>
      </c>
      <c r="E383" s="4" t="s">
        <v>10</v>
      </c>
      <c r="F383" s="4" t="s">
        <v>3929</v>
      </c>
      <c r="G383" s="4" t="s">
        <v>3286</v>
      </c>
      <c r="H383" s="8" t="n">
        <v>5.4</v>
      </c>
      <c r="I383" s="8" t="n">
        <v>188.5</v>
      </c>
      <c r="J383" s="11" t="n">
        <v>2</v>
      </c>
    </row>
    <row r="384" customFormat="false" ht="15" hidden="false" customHeight="false" outlineLevel="0" collapsed="false">
      <c r="A384" s="4" t="s">
        <v>4307</v>
      </c>
      <c r="B384" s="6" t="n">
        <v>45758</v>
      </c>
      <c r="C384" s="4" t="s">
        <v>1179</v>
      </c>
      <c r="D384" s="4" t="s">
        <v>3926</v>
      </c>
      <c r="E384" s="4" t="s">
        <v>28</v>
      </c>
      <c r="F384" s="4" t="s">
        <v>3918</v>
      </c>
      <c r="G384" s="4" t="s">
        <v>3260</v>
      </c>
      <c r="H384" s="8" t="n">
        <v>8.8</v>
      </c>
      <c r="I384" s="8" t="n">
        <v>178.7</v>
      </c>
      <c r="J384" s="11" t="n">
        <v>4</v>
      </c>
    </row>
    <row r="385" customFormat="false" ht="15" hidden="false" customHeight="false" outlineLevel="0" collapsed="false">
      <c r="A385" s="4" t="s">
        <v>4308</v>
      </c>
      <c r="B385" s="6" t="n">
        <v>45741</v>
      </c>
      <c r="C385" s="4" t="s">
        <v>713</v>
      </c>
      <c r="D385" s="4" t="s">
        <v>3917</v>
      </c>
      <c r="E385" s="4" t="s">
        <v>22</v>
      </c>
      <c r="F385" s="4" t="s">
        <v>3929</v>
      </c>
      <c r="G385" s="4" t="s">
        <v>3320</v>
      </c>
      <c r="H385" s="8" t="n">
        <v>11.6</v>
      </c>
      <c r="I385" s="8" t="n">
        <v>223</v>
      </c>
      <c r="J385" s="11" t="n">
        <v>1</v>
      </c>
    </row>
    <row r="386" customFormat="false" ht="15" hidden="false" customHeight="false" outlineLevel="0" collapsed="false">
      <c r="A386" s="4" t="s">
        <v>4309</v>
      </c>
      <c r="B386" s="6" t="n">
        <v>46104</v>
      </c>
      <c r="C386" s="4" t="s">
        <v>879</v>
      </c>
      <c r="D386" s="4" t="s">
        <v>3938</v>
      </c>
      <c r="E386" s="4" t="s">
        <v>22</v>
      </c>
      <c r="F386" s="4" t="s">
        <v>3921</v>
      </c>
      <c r="G386" s="4" t="s">
        <v>3080</v>
      </c>
      <c r="H386" s="8" t="n">
        <v>10</v>
      </c>
      <c r="I386" s="8" t="n">
        <v>234.8</v>
      </c>
      <c r="J386" s="11" t="n">
        <v>3</v>
      </c>
    </row>
    <row r="387" customFormat="false" ht="15" hidden="false" customHeight="false" outlineLevel="0" collapsed="false">
      <c r="A387" s="4" t="s">
        <v>4310</v>
      </c>
      <c r="B387" s="6" t="n">
        <v>45973</v>
      </c>
      <c r="C387" s="4" t="s">
        <v>705</v>
      </c>
      <c r="D387" s="4" t="s">
        <v>3938</v>
      </c>
      <c r="E387" s="4" t="s">
        <v>22</v>
      </c>
      <c r="F387" s="4" t="s">
        <v>3921</v>
      </c>
      <c r="G387" s="4" t="s">
        <v>3452</v>
      </c>
      <c r="H387" s="8" t="n">
        <v>23.9</v>
      </c>
      <c r="I387" s="8" t="n">
        <v>222.8</v>
      </c>
      <c r="J387" s="11" t="n">
        <v>4</v>
      </c>
    </row>
    <row r="388" customFormat="false" ht="15" hidden="false" customHeight="false" outlineLevel="0" collapsed="false">
      <c r="A388" s="4" t="s">
        <v>4311</v>
      </c>
      <c r="B388" s="6" t="n">
        <v>46098</v>
      </c>
      <c r="C388" s="4" t="s">
        <v>1333</v>
      </c>
      <c r="D388" s="4" t="s">
        <v>3917</v>
      </c>
      <c r="E388" s="4" t="s">
        <v>16</v>
      </c>
      <c r="F388" s="4" t="s">
        <v>3923</v>
      </c>
      <c r="G388" s="4" t="s">
        <v>3148</v>
      </c>
      <c r="H388" s="8" t="n">
        <v>5.9</v>
      </c>
      <c r="I388" s="8" t="n">
        <v>193.5</v>
      </c>
      <c r="J388" s="11" t="n">
        <v>3</v>
      </c>
    </row>
    <row r="389" customFormat="false" ht="15" hidden="false" customHeight="false" outlineLevel="0" collapsed="false">
      <c r="A389" s="4" t="s">
        <v>4312</v>
      </c>
      <c r="B389" s="6" t="n">
        <v>46043</v>
      </c>
      <c r="C389" s="4" t="s">
        <v>1337</v>
      </c>
      <c r="D389" s="4" t="s">
        <v>3928</v>
      </c>
      <c r="E389" s="4" t="s">
        <v>16</v>
      </c>
      <c r="F389" s="4" t="s">
        <v>3929</v>
      </c>
      <c r="G389" s="4" t="s">
        <v>3052</v>
      </c>
      <c r="H389" s="8" t="n">
        <v>2.1</v>
      </c>
      <c r="I389" s="8" t="n">
        <v>191.5</v>
      </c>
      <c r="J389" s="11" t="n">
        <v>1</v>
      </c>
    </row>
    <row r="390" customFormat="false" ht="15" hidden="false" customHeight="false" outlineLevel="0" collapsed="false">
      <c r="A390" s="4" t="s">
        <v>4313</v>
      </c>
      <c r="B390" s="6" t="n">
        <v>46162</v>
      </c>
      <c r="C390" s="4" t="s">
        <v>1383</v>
      </c>
      <c r="D390" s="4" t="s">
        <v>3928</v>
      </c>
      <c r="E390" s="4" t="s">
        <v>16</v>
      </c>
      <c r="F390" s="4" t="s">
        <v>3923</v>
      </c>
      <c r="G390" s="4" t="s">
        <v>3480</v>
      </c>
      <c r="H390" s="8" t="n">
        <v>23.3</v>
      </c>
      <c r="I390" s="8" t="n">
        <v>194.3</v>
      </c>
      <c r="J390" s="11" t="n">
        <v>2</v>
      </c>
    </row>
    <row r="391" customFormat="false" ht="15" hidden="false" customHeight="false" outlineLevel="0" collapsed="false">
      <c r="A391" s="4" t="s">
        <v>4314</v>
      </c>
      <c r="B391" s="6" t="n">
        <v>46140</v>
      </c>
      <c r="C391" s="4" t="s">
        <v>645</v>
      </c>
      <c r="D391" s="4" t="s">
        <v>3928</v>
      </c>
      <c r="E391" s="4" t="s">
        <v>10</v>
      </c>
      <c r="F391" s="4" t="s">
        <v>3921</v>
      </c>
      <c r="G391" s="4" t="s">
        <v>3070</v>
      </c>
      <c r="H391" s="8" t="n">
        <v>7.1</v>
      </c>
      <c r="I391" s="8" t="n">
        <v>202.8</v>
      </c>
      <c r="J391" s="11" t="n">
        <v>3</v>
      </c>
    </row>
    <row r="392" customFormat="false" ht="15" hidden="false" customHeight="false" outlineLevel="0" collapsed="false">
      <c r="A392" s="4" t="s">
        <v>4315</v>
      </c>
      <c r="B392" s="6" t="n">
        <v>45827</v>
      </c>
      <c r="C392" s="4" t="s">
        <v>1379</v>
      </c>
      <c r="D392" s="4" t="s">
        <v>3920</v>
      </c>
      <c r="E392" s="4" t="s">
        <v>10</v>
      </c>
      <c r="F392" s="4" t="s">
        <v>3921</v>
      </c>
      <c r="G392" s="4" t="s">
        <v>3170</v>
      </c>
      <c r="H392" s="8" t="n">
        <v>2.5</v>
      </c>
      <c r="I392" s="8" t="n">
        <v>239.1</v>
      </c>
      <c r="J392" s="11" t="n">
        <v>1</v>
      </c>
    </row>
    <row r="393" customFormat="false" ht="15" hidden="false" customHeight="false" outlineLevel="0" collapsed="false">
      <c r="A393" s="4" t="s">
        <v>4316</v>
      </c>
      <c r="B393" s="6" t="n">
        <v>45854</v>
      </c>
      <c r="C393" s="4" t="s">
        <v>1273</v>
      </c>
      <c r="D393" s="4" t="s">
        <v>3917</v>
      </c>
      <c r="E393" s="4" t="s">
        <v>10</v>
      </c>
      <c r="F393" s="4" t="s">
        <v>3921</v>
      </c>
      <c r="G393" s="4" t="s">
        <v>3460</v>
      </c>
      <c r="H393" s="8" t="n">
        <v>9.4</v>
      </c>
      <c r="I393" s="8" t="n">
        <v>238.4</v>
      </c>
      <c r="J393" s="11" t="n">
        <v>1</v>
      </c>
    </row>
    <row r="394" customFormat="false" ht="15" hidden="false" customHeight="false" outlineLevel="0" collapsed="false">
      <c r="A394" s="4" t="s">
        <v>4317</v>
      </c>
      <c r="B394" s="6" t="n">
        <v>46196</v>
      </c>
      <c r="C394" s="4" t="s">
        <v>535</v>
      </c>
      <c r="D394" s="4" t="s">
        <v>3926</v>
      </c>
      <c r="E394" s="4" t="s">
        <v>22</v>
      </c>
      <c r="F394" s="4" t="s">
        <v>3929</v>
      </c>
      <c r="G394" s="4" t="s">
        <v>3146</v>
      </c>
      <c r="H394" s="8" t="n">
        <v>3.4</v>
      </c>
      <c r="I394" s="8" t="n">
        <v>112</v>
      </c>
      <c r="J394" s="11" t="n">
        <v>3</v>
      </c>
    </row>
    <row r="395" customFormat="false" ht="15" hidden="false" customHeight="false" outlineLevel="0" collapsed="false">
      <c r="A395" s="4" t="s">
        <v>4318</v>
      </c>
      <c r="B395" s="6" t="n">
        <v>46166</v>
      </c>
      <c r="C395" s="4" t="s">
        <v>1085</v>
      </c>
      <c r="D395" s="4" t="s">
        <v>3917</v>
      </c>
      <c r="E395" s="4" t="s">
        <v>16</v>
      </c>
      <c r="F395" s="4" t="s">
        <v>3921</v>
      </c>
      <c r="G395" s="4" t="s">
        <v>3354</v>
      </c>
      <c r="H395" s="8" t="n">
        <v>6.9</v>
      </c>
      <c r="I395" s="8" t="n">
        <v>95.6</v>
      </c>
      <c r="J395" s="11" t="n">
        <v>3</v>
      </c>
    </row>
    <row r="396" customFormat="false" ht="15" hidden="false" customHeight="false" outlineLevel="0" collapsed="false">
      <c r="A396" s="4" t="s">
        <v>4319</v>
      </c>
      <c r="B396" s="6" t="n">
        <v>46121</v>
      </c>
      <c r="C396" s="4" t="s">
        <v>831</v>
      </c>
      <c r="D396" s="4" t="s">
        <v>3926</v>
      </c>
      <c r="E396" s="4" t="s">
        <v>16</v>
      </c>
      <c r="F396" s="4" t="s">
        <v>3923</v>
      </c>
      <c r="G396" s="4" t="s">
        <v>3158</v>
      </c>
      <c r="H396" s="8" t="n">
        <v>7.1</v>
      </c>
      <c r="I396" s="8" t="n">
        <v>169.9</v>
      </c>
      <c r="J396" s="11" t="n">
        <v>4</v>
      </c>
    </row>
    <row r="397" customFormat="false" ht="15" hidden="false" customHeight="false" outlineLevel="0" collapsed="false">
      <c r="A397" s="4" t="s">
        <v>4320</v>
      </c>
      <c r="B397" s="6" t="n">
        <v>45974</v>
      </c>
      <c r="C397" s="4" t="s">
        <v>1147</v>
      </c>
      <c r="D397" s="4" t="s">
        <v>3920</v>
      </c>
      <c r="E397" s="4" t="s">
        <v>28</v>
      </c>
      <c r="F397" s="4" t="s">
        <v>3918</v>
      </c>
      <c r="G397" s="4" t="s">
        <v>3108</v>
      </c>
      <c r="H397" s="8" t="n">
        <v>5.9</v>
      </c>
      <c r="I397" s="8" t="n">
        <v>37.4</v>
      </c>
      <c r="J397" s="11" t="n">
        <v>2</v>
      </c>
    </row>
    <row r="398" customFormat="false" ht="15" hidden="false" customHeight="false" outlineLevel="0" collapsed="false">
      <c r="A398" s="4" t="s">
        <v>4321</v>
      </c>
      <c r="B398" s="6" t="n">
        <v>45718</v>
      </c>
      <c r="C398" s="4" t="s">
        <v>1065</v>
      </c>
      <c r="D398" s="4" t="s">
        <v>3928</v>
      </c>
      <c r="E398" s="4" t="s">
        <v>10</v>
      </c>
      <c r="F398" s="4" t="s">
        <v>3921</v>
      </c>
      <c r="G398" s="4" t="s">
        <v>3076</v>
      </c>
      <c r="H398" s="8" t="n">
        <v>2.7</v>
      </c>
      <c r="I398" s="8" t="n">
        <v>108.8</v>
      </c>
      <c r="J398" s="11" t="n">
        <v>2</v>
      </c>
    </row>
    <row r="399" customFormat="false" ht="15" hidden="false" customHeight="false" outlineLevel="0" collapsed="false">
      <c r="A399" s="4" t="s">
        <v>4322</v>
      </c>
      <c r="B399" s="6" t="n">
        <v>45998</v>
      </c>
      <c r="C399" s="4" t="s">
        <v>1169</v>
      </c>
      <c r="D399" s="4" t="s">
        <v>3920</v>
      </c>
      <c r="E399" s="4" t="s">
        <v>10</v>
      </c>
      <c r="F399" s="4" t="s">
        <v>3929</v>
      </c>
      <c r="G399" s="4" t="s">
        <v>3298</v>
      </c>
      <c r="H399" s="8" t="n">
        <v>5.8</v>
      </c>
      <c r="I399" s="8" t="n">
        <v>116.6</v>
      </c>
      <c r="J399" s="11" t="n">
        <v>4</v>
      </c>
    </row>
    <row r="400" customFormat="false" ht="15" hidden="false" customHeight="false" outlineLevel="0" collapsed="false">
      <c r="A400" s="4" t="s">
        <v>4323</v>
      </c>
      <c r="B400" s="6" t="n">
        <v>45872</v>
      </c>
      <c r="C400" s="4" t="s">
        <v>1381</v>
      </c>
      <c r="D400" s="4" t="s">
        <v>3938</v>
      </c>
      <c r="E400" s="4" t="s">
        <v>10</v>
      </c>
      <c r="F400" s="4" t="s">
        <v>3929</v>
      </c>
      <c r="G400" s="4" t="s">
        <v>3336</v>
      </c>
      <c r="H400" s="8" t="n">
        <v>0.9</v>
      </c>
      <c r="I400" s="8" t="n">
        <v>39.3</v>
      </c>
      <c r="J400" s="11" t="n">
        <v>2</v>
      </c>
    </row>
    <row r="401" customFormat="false" ht="15" hidden="false" customHeight="false" outlineLevel="0" collapsed="false">
      <c r="A401" s="4" t="s">
        <v>4324</v>
      </c>
      <c r="B401" s="6" t="n">
        <v>45708</v>
      </c>
      <c r="C401" s="4" t="s">
        <v>493</v>
      </c>
      <c r="D401" s="4" t="s">
        <v>3920</v>
      </c>
      <c r="E401" s="4" t="s">
        <v>22</v>
      </c>
      <c r="F401" s="4" t="s">
        <v>3921</v>
      </c>
      <c r="G401" s="4" t="s">
        <v>3200</v>
      </c>
      <c r="H401" s="8" t="n">
        <v>4.6</v>
      </c>
      <c r="I401" s="8" t="n">
        <v>120.4</v>
      </c>
      <c r="J401" s="11" t="n">
        <v>4</v>
      </c>
    </row>
    <row r="402" customFormat="false" ht="15" hidden="false" customHeight="false" outlineLevel="0" collapsed="false">
      <c r="A402" s="4" t="s">
        <v>4325</v>
      </c>
      <c r="B402" s="6" t="n">
        <v>45794</v>
      </c>
      <c r="C402" s="4" t="s">
        <v>1299</v>
      </c>
      <c r="D402" s="4" t="s">
        <v>3920</v>
      </c>
      <c r="E402" s="4" t="s">
        <v>22</v>
      </c>
      <c r="F402" s="4" t="s">
        <v>3923</v>
      </c>
      <c r="G402" s="4" t="s">
        <v>3382</v>
      </c>
      <c r="H402" s="8" t="n">
        <v>23.2</v>
      </c>
      <c r="I402" s="8" t="n">
        <v>102.5</v>
      </c>
      <c r="J402" s="11" t="n">
        <v>3</v>
      </c>
    </row>
    <row r="403" customFormat="false" ht="15" hidden="false" customHeight="false" outlineLevel="0" collapsed="false">
      <c r="A403" s="4" t="s">
        <v>4326</v>
      </c>
      <c r="B403" s="6" t="n">
        <v>45826</v>
      </c>
      <c r="C403" s="4" t="s">
        <v>1441</v>
      </c>
      <c r="D403" s="4" t="s">
        <v>3920</v>
      </c>
      <c r="E403" s="4" t="s">
        <v>16</v>
      </c>
      <c r="F403" s="4" t="s">
        <v>3921</v>
      </c>
      <c r="G403" s="4" t="s">
        <v>3214</v>
      </c>
      <c r="H403" s="8" t="n">
        <v>2.3</v>
      </c>
      <c r="I403" s="8" t="n">
        <v>210.4</v>
      </c>
      <c r="J403" s="11" t="n">
        <v>3</v>
      </c>
    </row>
    <row r="404" customFormat="false" ht="15" hidden="false" customHeight="false" outlineLevel="0" collapsed="false">
      <c r="A404" s="4" t="s">
        <v>4327</v>
      </c>
      <c r="B404" s="6" t="n">
        <v>45801</v>
      </c>
      <c r="C404" s="4" t="s">
        <v>709</v>
      </c>
      <c r="D404" s="4" t="s">
        <v>3926</v>
      </c>
      <c r="E404" s="4" t="s">
        <v>16</v>
      </c>
      <c r="F404" s="4" t="s">
        <v>3921</v>
      </c>
      <c r="G404" s="4" t="s">
        <v>3310</v>
      </c>
      <c r="H404" s="8" t="n">
        <v>11.9</v>
      </c>
      <c r="I404" s="8" t="n">
        <v>68.1</v>
      </c>
      <c r="J404" s="11" t="n">
        <v>2</v>
      </c>
    </row>
    <row r="405" customFormat="false" ht="15" hidden="false" customHeight="false" outlineLevel="0" collapsed="false">
      <c r="A405" s="4" t="s">
        <v>4328</v>
      </c>
      <c r="B405" s="6" t="n">
        <v>45697</v>
      </c>
      <c r="C405" s="4" t="s">
        <v>1253</v>
      </c>
      <c r="D405" s="4" t="s">
        <v>3928</v>
      </c>
      <c r="E405" s="4" t="s">
        <v>16</v>
      </c>
      <c r="F405" s="4" t="s">
        <v>3923</v>
      </c>
      <c r="G405" s="4" t="s">
        <v>3324</v>
      </c>
      <c r="H405" s="8" t="n">
        <v>8.7</v>
      </c>
      <c r="I405" s="8" t="n">
        <v>83.6</v>
      </c>
      <c r="J405" s="11" t="n">
        <v>5</v>
      </c>
    </row>
    <row r="406" customFormat="false" ht="15" hidden="false" customHeight="false" outlineLevel="0" collapsed="false">
      <c r="A406" s="4" t="s">
        <v>4329</v>
      </c>
      <c r="B406" s="6" t="n">
        <v>45660</v>
      </c>
      <c r="C406" s="4" t="s">
        <v>571</v>
      </c>
      <c r="D406" s="4" t="s">
        <v>3938</v>
      </c>
      <c r="E406" s="4" t="s">
        <v>22</v>
      </c>
      <c r="F406" s="4" t="s">
        <v>3929</v>
      </c>
      <c r="G406" s="4" t="s">
        <v>3396</v>
      </c>
      <c r="H406" s="8" t="n">
        <v>19.8</v>
      </c>
      <c r="I406" s="8" t="n">
        <v>121.3</v>
      </c>
      <c r="J406" s="11" t="n">
        <v>2</v>
      </c>
    </row>
    <row r="407" customFormat="false" ht="15" hidden="false" customHeight="false" outlineLevel="0" collapsed="false">
      <c r="A407" s="4" t="s">
        <v>4330</v>
      </c>
      <c r="B407" s="6" t="n">
        <v>46175</v>
      </c>
      <c r="C407" s="4" t="s">
        <v>745</v>
      </c>
      <c r="D407" s="4" t="s">
        <v>3926</v>
      </c>
      <c r="E407" s="4" t="s">
        <v>16</v>
      </c>
      <c r="F407" s="4" t="s">
        <v>3929</v>
      </c>
      <c r="G407" s="4" t="s">
        <v>3202</v>
      </c>
      <c r="H407" s="8" t="n">
        <v>21.4</v>
      </c>
      <c r="I407" s="8" t="n">
        <v>238.5</v>
      </c>
      <c r="J407" s="11" t="n">
        <v>5</v>
      </c>
    </row>
    <row r="408" customFormat="false" ht="15" hidden="false" customHeight="false" outlineLevel="0" collapsed="false">
      <c r="A408" s="4" t="s">
        <v>4331</v>
      </c>
      <c r="B408" s="6" t="n">
        <v>45698</v>
      </c>
      <c r="C408" s="4" t="s">
        <v>929</v>
      </c>
      <c r="D408" s="4" t="s">
        <v>3926</v>
      </c>
      <c r="E408" s="4" t="s">
        <v>16</v>
      </c>
      <c r="F408" s="4" t="s">
        <v>3923</v>
      </c>
      <c r="G408" s="4" t="s">
        <v>3282</v>
      </c>
      <c r="H408" s="8" t="n">
        <v>7</v>
      </c>
      <c r="I408" s="8" t="n">
        <v>239.2</v>
      </c>
      <c r="J408" s="11" t="n">
        <v>4</v>
      </c>
    </row>
    <row r="409" customFormat="false" ht="15" hidden="false" customHeight="false" outlineLevel="0" collapsed="false">
      <c r="A409" s="4" t="s">
        <v>4332</v>
      </c>
      <c r="B409" s="6" t="n">
        <v>45998</v>
      </c>
      <c r="C409" s="4" t="s">
        <v>476</v>
      </c>
      <c r="D409" s="4" t="s">
        <v>3938</v>
      </c>
      <c r="E409" s="4" t="s">
        <v>10</v>
      </c>
      <c r="F409" s="4" t="s">
        <v>3929</v>
      </c>
      <c r="G409" s="4" t="s">
        <v>3302</v>
      </c>
      <c r="H409" s="8" t="n">
        <v>15.1</v>
      </c>
      <c r="I409" s="8" t="n">
        <v>190.5</v>
      </c>
      <c r="J409" s="11" t="n">
        <v>4</v>
      </c>
    </row>
    <row r="410" customFormat="false" ht="15" hidden="false" customHeight="false" outlineLevel="0" collapsed="false">
      <c r="A410" s="4" t="s">
        <v>4333</v>
      </c>
      <c r="B410" s="6" t="n">
        <v>45894</v>
      </c>
      <c r="C410" s="4" t="s">
        <v>1409</v>
      </c>
      <c r="D410" s="4" t="s">
        <v>3920</v>
      </c>
      <c r="E410" s="4" t="s">
        <v>28</v>
      </c>
      <c r="F410" s="4" t="s">
        <v>3923</v>
      </c>
      <c r="G410" s="4" t="s">
        <v>3428</v>
      </c>
      <c r="H410" s="8" t="n">
        <v>14.2</v>
      </c>
      <c r="I410" s="8" t="n">
        <v>108.9</v>
      </c>
      <c r="J410" s="11" t="n">
        <v>3</v>
      </c>
    </row>
    <row r="411" customFormat="false" ht="15" hidden="false" customHeight="false" outlineLevel="0" collapsed="false">
      <c r="A411" s="4" t="s">
        <v>4334</v>
      </c>
      <c r="B411" s="6" t="n">
        <v>45918</v>
      </c>
      <c r="C411" s="4" t="s">
        <v>869</v>
      </c>
      <c r="D411" s="4" t="s">
        <v>3920</v>
      </c>
      <c r="E411" s="4" t="s">
        <v>10</v>
      </c>
      <c r="F411" s="4" t="s">
        <v>3918</v>
      </c>
      <c r="G411" s="4" t="s">
        <v>2996</v>
      </c>
      <c r="H411" s="8" t="n">
        <v>12.8</v>
      </c>
      <c r="I411" s="8" t="n">
        <v>11.6</v>
      </c>
      <c r="J411" s="11" t="n">
        <v>4</v>
      </c>
    </row>
    <row r="412" customFormat="false" ht="15" hidden="false" customHeight="false" outlineLevel="0" collapsed="false">
      <c r="A412" s="4" t="s">
        <v>4335</v>
      </c>
      <c r="B412" s="6" t="n">
        <v>45660</v>
      </c>
      <c r="C412" s="4" t="s">
        <v>905</v>
      </c>
      <c r="D412" s="4" t="s">
        <v>3928</v>
      </c>
      <c r="E412" s="4" t="s">
        <v>16</v>
      </c>
      <c r="F412" s="4" t="s">
        <v>3923</v>
      </c>
      <c r="G412" s="4" t="s">
        <v>3492</v>
      </c>
      <c r="H412" s="8" t="n">
        <v>1.9</v>
      </c>
      <c r="I412" s="8" t="n">
        <v>193.2</v>
      </c>
      <c r="J412" s="11" t="n">
        <v>5</v>
      </c>
    </row>
    <row r="413" customFormat="false" ht="15" hidden="false" customHeight="false" outlineLevel="0" collapsed="false">
      <c r="A413" s="4" t="s">
        <v>4336</v>
      </c>
      <c r="B413" s="6" t="n">
        <v>46171</v>
      </c>
      <c r="C413" s="4" t="s">
        <v>1353</v>
      </c>
      <c r="D413" s="4" t="s">
        <v>3920</v>
      </c>
      <c r="E413" s="4" t="s">
        <v>28</v>
      </c>
      <c r="F413" s="4" t="s">
        <v>3921</v>
      </c>
      <c r="G413" s="4" t="s">
        <v>3394</v>
      </c>
      <c r="H413" s="8" t="n">
        <v>14.4</v>
      </c>
      <c r="I413" s="8" t="n">
        <v>14.2</v>
      </c>
      <c r="J413" s="11" t="n">
        <v>5</v>
      </c>
    </row>
    <row r="414" customFormat="false" ht="15" hidden="false" customHeight="false" outlineLevel="0" collapsed="false">
      <c r="A414" s="4" t="s">
        <v>4337</v>
      </c>
      <c r="B414" s="6" t="n">
        <v>45776</v>
      </c>
      <c r="C414" s="4" t="s">
        <v>1339</v>
      </c>
      <c r="D414" s="4" t="s">
        <v>3917</v>
      </c>
      <c r="E414" s="4" t="s">
        <v>16</v>
      </c>
      <c r="F414" s="4" t="s">
        <v>3929</v>
      </c>
      <c r="G414" s="4" t="s">
        <v>3474</v>
      </c>
      <c r="H414" s="8" t="n">
        <v>23.7</v>
      </c>
      <c r="I414" s="8" t="n">
        <v>135.5</v>
      </c>
      <c r="J414" s="11" t="n">
        <v>3</v>
      </c>
    </row>
    <row r="415" customFormat="false" ht="15" hidden="false" customHeight="false" outlineLevel="0" collapsed="false">
      <c r="A415" s="4" t="s">
        <v>4338</v>
      </c>
      <c r="B415" s="6" t="n">
        <v>45672</v>
      </c>
      <c r="C415" s="4" t="s">
        <v>1165</v>
      </c>
      <c r="D415" s="4" t="s">
        <v>3938</v>
      </c>
      <c r="E415" s="4" t="s">
        <v>16</v>
      </c>
      <c r="F415" s="4" t="s">
        <v>3918</v>
      </c>
      <c r="G415" s="4" t="s">
        <v>3042</v>
      </c>
      <c r="H415" s="8" t="n">
        <v>8</v>
      </c>
      <c r="I415" s="8" t="n">
        <v>60.5</v>
      </c>
      <c r="J415" s="11" t="n">
        <v>4</v>
      </c>
    </row>
    <row r="416" customFormat="false" ht="15" hidden="false" customHeight="false" outlineLevel="0" collapsed="false">
      <c r="A416" s="4" t="s">
        <v>4339</v>
      </c>
      <c r="B416" s="6" t="n">
        <v>45790</v>
      </c>
      <c r="C416" s="4" t="s">
        <v>1417</v>
      </c>
      <c r="D416" s="4" t="s">
        <v>3920</v>
      </c>
      <c r="E416" s="4" t="s">
        <v>10</v>
      </c>
      <c r="F416" s="4" t="s">
        <v>3921</v>
      </c>
      <c r="G416" s="4" t="s">
        <v>3088</v>
      </c>
      <c r="H416" s="8" t="n">
        <v>15.8</v>
      </c>
      <c r="I416" s="8" t="n">
        <v>161.9</v>
      </c>
      <c r="J416" s="11" t="n">
        <v>4</v>
      </c>
    </row>
    <row r="417" customFormat="false" ht="15" hidden="false" customHeight="false" outlineLevel="0" collapsed="false">
      <c r="A417" s="4" t="s">
        <v>4340</v>
      </c>
      <c r="B417" s="6" t="n">
        <v>45866</v>
      </c>
      <c r="C417" s="4" t="s">
        <v>1211</v>
      </c>
      <c r="D417" s="4" t="s">
        <v>3917</v>
      </c>
      <c r="E417" s="4" t="s">
        <v>16</v>
      </c>
      <c r="F417" s="4" t="s">
        <v>3923</v>
      </c>
      <c r="G417" s="4" t="s">
        <v>3186</v>
      </c>
      <c r="H417" s="8" t="n">
        <v>2.4</v>
      </c>
      <c r="I417" s="8" t="n">
        <v>223.8</v>
      </c>
      <c r="J417" s="11" t="n">
        <v>3</v>
      </c>
    </row>
    <row r="418" customFormat="false" ht="15" hidden="false" customHeight="false" outlineLevel="0" collapsed="false">
      <c r="A418" s="4" t="s">
        <v>4341</v>
      </c>
      <c r="B418" s="6" t="n">
        <v>45817</v>
      </c>
      <c r="C418" s="4" t="s">
        <v>1359</v>
      </c>
      <c r="D418" s="4" t="s">
        <v>3928</v>
      </c>
      <c r="E418" s="4" t="s">
        <v>10</v>
      </c>
      <c r="F418" s="4" t="s">
        <v>3921</v>
      </c>
      <c r="G418" s="4" t="s">
        <v>3438</v>
      </c>
      <c r="H418" s="8" t="n">
        <v>22.5</v>
      </c>
      <c r="I418" s="8" t="n">
        <v>229</v>
      </c>
      <c r="J418" s="11" t="n">
        <v>1</v>
      </c>
    </row>
    <row r="419" customFormat="false" ht="15" hidden="false" customHeight="false" outlineLevel="0" collapsed="false">
      <c r="A419" s="4" t="s">
        <v>4342</v>
      </c>
      <c r="B419" s="6" t="n">
        <v>45774</v>
      </c>
      <c r="C419" s="4" t="s">
        <v>1247</v>
      </c>
      <c r="D419" s="4" t="s">
        <v>3938</v>
      </c>
      <c r="E419" s="4" t="s">
        <v>22</v>
      </c>
      <c r="F419" s="4" t="s">
        <v>3918</v>
      </c>
      <c r="G419" s="4" t="s">
        <v>3174</v>
      </c>
      <c r="H419" s="8" t="n">
        <v>3</v>
      </c>
      <c r="I419" s="8" t="n">
        <v>184.3</v>
      </c>
      <c r="J419" s="11" t="n">
        <v>5</v>
      </c>
    </row>
    <row r="420" customFormat="false" ht="15" hidden="false" customHeight="false" outlineLevel="0" collapsed="false">
      <c r="A420" s="4" t="s">
        <v>4343</v>
      </c>
      <c r="B420" s="6" t="n">
        <v>46150</v>
      </c>
      <c r="C420" s="4" t="s">
        <v>1149</v>
      </c>
      <c r="D420" s="4" t="s">
        <v>3926</v>
      </c>
      <c r="E420" s="4" t="s">
        <v>28</v>
      </c>
      <c r="F420" s="4" t="s">
        <v>3921</v>
      </c>
      <c r="G420" s="4" t="s">
        <v>3144</v>
      </c>
      <c r="H420" s="8" t="n">
        <v>18.9</v>
      </c>
      <c r="I420" s="8" t="n">
        <v>86.8</v>
      </c>
      <c r="J420" s="11" t="n">
        <v>1</v>
      </c>
    </row>
    <row r="421" customFormat="false" ht="15" hidden="false" customHeight="false" outlineLevel="0" collapsed="false">
      <c r="A421" s="4" t="s">
        <v>4344</v>
      </c>
      <c r="B421" s="6" t="n">
        <v>46055</v>
      </c>
      <c r="C421" s="4" t="s">
        <v>1289</v>
      </c>
      <c r="D421" s="4" t="s">
        <v>3917</v>
      </c>
      <c r="E421" s="4" t="s">
        <v>22</v>
      </c>
      <c r="F421" s="4" t="s">
        <v>3918</v>
      </c>
      <c r="G421" s="4" t="s">
        <v>3280</v>
      </c>
      <c r="H421" s="8" t="n">
        <v>22.7</v>
      </c>
      <c r="I421" s="8" t="n">
        <v>174.6</v>
      </c>
      <c r="J421" s="11" t="n">
        <v>5</v>
      </c>
    </row>
    <row r="422" customFormat="false" ht="15" hidden="false" customHeight="false" outlineLevel="0" collapsed="false">
      <c r="A422" s="4" t="s">
        <v>4345</v>
      </c>
      <c r="B422" s="6" t="n">
        <v>45824</v>
      </c>
      <c r="C422" s="4" t="s">
        <v>613</v>
      </c>
      <c r="D422" s="4" t="s">
        <v>3920</v>
      </c>
      <c r="E422" s="4" t="s">
        <v>10</v>
      </c>
      <c r="F422" s="4" t="s">
        <v>3921</v>
      </c>
      <c r="G422" s="4" t="s">
        <v>3084</v>
      </c>
      <c r="H422" s="8" t="n">
        <v>12.6</v>
      </c>
      <c r="I422" s="8" t="n">
        <v>166.1</v>
      </c>
      <c r="J422" s="11" t="n">
        <v>2</v>
      </c>
    </row>
    <row r="423" customFormat="false" ht="15" hidden="false" customHeight="false" outlineLevel="0" collapsed="false">
      <c r="A423" s="4" t="s">
        <v>4346</v>
      </c>
      <c r="B423" s="6" t="n">
        <v>45688</v>
      </c>
      <c r="C423" s="4" t="s">
        <v>813</v>
      </c>
      <c r="D423" s="4" t="s">
        <v>3938</v>
      </c>
      <c r="E423" s="4" t="s">
        <v>28</v>
      </c>
      <c r="F423" s="4" t="s">
        <v>3929</v>
      </c>
      <c r="G423" s="4" t="s">
        <v>3406</v>
      </c>
      <c r="H423" s="8" t="n">
        <v>18.2</v>
      </c>
      <c r="I423" s="8" t="n">
        <v>26.6</v>
      </c>
      <c r="J423" s="11" t="n">
        <v>5</v>
      </c>
    </row>
    <row r="424" customFormat="false" ht="15" hidden="false" customHeight="false" outlineLevel="0" collapsed="false">
      <c r="A424" s="4" t="s">
        <v>4347</v>
      </c>
      <c r="B424" s="6" t="n">
        <v>45829</v>
      </c>
      <c r="C424" s="4" t="s">
        <v>659</v>
      </c>
      <c r="D424" s="4" t="s">
        <v>3926</v>
      </c>
      <c r="E424" s="4" t="s">
        <v>28</v>
      </c>
      <c r="F424" s="4" t="s">
        <v>3918</v>
      </c>
      <c r="G424" s="4" t="s">
        <v>3328</v>
      </c>
      <c r="H424" s="8" t="n">
        <v>11.7</v>
      </c>
      <c r="I424" s="8" t="n">
        <v>141.6</v>
      </c>
      <c r="J424" s="11" t="n">
        <v>1</v>
      </c>
    </row>
    <row r="425" customFormat="false" ht="15" hidden="false" customHeight="false" outlineLevel="0" collapsed="false">
      <c r="A425" s="4" t="s">
        <v>4348</v>
      </c>
      <c r="B425" s="6" t="n">
        <v>46126</v>
      </c>
      <c r="C425" s="4" t="s">
        <v>861</v>
      </c>
      <c r="D425" s="4" t="s">
        <v>3920</v>
      </c>
      <c r="E425" s="4" t="s">
        <v>16</v>
      </c>
      <c r="F425" s="4" t="s">
        <v>3923</v>
      </c>
      <c r="G425" s="4" t="s">
        <v>3330</v>
      </c>
      <c r="H425" s="8" t="n">
        <v>8.9</v>
      </c>
      <c r="I425" s="8" t="n">
        <v>216.2</v>
      </c>
      <c r="J425" s="11" t="n">
        <v>1</v>
      </c>
    </row>
    <row r="426" customFormat="false" ht="15" hidden="false" customHeight="false" outlineLevel="0" collapsed="false">
      <c r="A426" s="4" t="s">
        <v>4349</v>
      </c>
      <c r="B426" s="6" t="n">
        <v>45661</v>
      </c>
      <c r="C426" s="4" t="s">
        <v>1049</v>
      </c>
      <c r="D426" s="4" t="s">
        <v>3920</v>
      </c>
      <c r="E426" s="4" t="s">
        <v>28</v>
      </c>
      <c r="F426" s="4" t="s">
        <v>3918</v>
      </c>
      <c r="G426" s="4" t="s">
        <v>3006</v>
      </c>
      <c r="H426" s="8" t="n">
        <v>23.7</v>
      </c>
      <c r="I426" s="8" t="n">
        <v>224.3</v>
      </c>
      <c r="J426" s="11" t="n">
        <v>3</v>
      </c>
    </row>
    <row r="427" customFormat="false" ht="15" hidden="false" customHeight="false" outlineLevel="0" collapsed="false">
      <c r="A427" s="4" t="s">
        <v>4350</v>
      </c>
      <c r="B427" s="6" t="n">
        <v>45980</v>
      </c>
      <c r="C427" s="4" t="s">
        <v>1347</v>
      </c>
      <c r="D427" s="4" t="s">
        <v>3938</v>
      </c>
      <c r="E427" s="4" t="s">
        <v>28</v>
      </c>
      <c r="F427" s="4" t="s">
        <v>3921</v>
      </c>
      <c r="G427" s="4" t="s">
        <v>3044</v>
      </c>
      <c r="H427" s="8" t="n">
        <v>3.3</v>
      </c>
      <c r="I427" s="8" t="n">
        <v>24.8</v>
      </c>
      <c r="J427" s="11" t="n">
        <v>5</v>
      </c>
    </row>
    <row r="428" customFormat="false" ht="15" hidden="false" customHeight="false" outlineLevel="0" collapsed="false">
      <c r="A428" s="4" t="s">
        <v>4351</v>
      </c>
      <c r="B428" s="6" t="n">
        <v>46142</v>
      </c>
      <c r="C428" s="4" t="s">
        <v>971</v>
      </c>
      <c r="D428" s="4" t="s">
        <v>3926</v>
      </c>
      <c r="E428" s="4" t="s">
        <v>10</v>
      </c>
      <c r="F428" s="4" t="s">
        <v>3918</v>
      </c>
      <c r="G428" s="4" t="s">
        <v>3284</v>
      </c>
      <c r="H428" s="8" t="n">
        <v>17.4</v>
      </c>
      <c r="I428" s="8" t="n">
        <v>83.1</v>
      </c>
      <c r="J428" s="11" t="n">
        <v>5</v>
      </c>
    </row>
    <row r="429" customFormat="false" ht="15" hidden="false" customHeight="false" outlineLevel="0" collapsed="false">
      <c r="A429" s="4" t="s">
        <v>4352</v>
      </c>
      <c r="B429" s="6" t="n">
        <v>45909</v>
      </c>
      <c r="C429" s="4" t="s">
        <v>783</v>
      </c>
      <c r="D429" s="4" t="s">
        <v>3926</v>
      </c>
      <c r="E429" s="4" t="s">
        <v>10</v>
      </c>
      <c r="F429" s="4" t="s">
        <v>3929</v>
      </c>
      <c r="G429" s="4" t="s">
        <v>3422</v>
      </c>
      <c r="H429" s="8" t="n">
        <v>10.3</v>
      </c>
      <c r="I429" s="8" t="n">
        <v>11.3</v>
      </c>
      <c r="J429" s="11" t="n">
        <v>1</v>
      </c>
    </row>
    <row r="430" customFormat="false" ht="15" hidden="false" customHeight="false" outlineLevel="0" collapsed="false">
      <c r="A430" s="4" t="s">
        <v>4353</v>
      </c>
      <c r="B430" s="6" t="n">
        <v>45798</v>
      </c>
      <c r="C430" s="4" t="s">
        <v>1177</v>
      </c>
      <c r="D430" s="4" t="s">
        <v>3920</v>
      </c>
      <c r="E430" s="4" t="s">
        <v>10</v>
      </c>
      <c r="F430" s="4" t="s">
        <v>3929</v>
      </c>
      <c r="G430" s="4" t="s">
        <v>3418</v>
      </c>
      <c r="H430" s="8" t="n">
        <v>9.2</v>
      </c>
      <c r="I430" s="8" t="n">
        <v>38.4</v>
      </c>
      <c r="J430" s="11" t="n">
        <v>3</v>
      </c>
    </row>
    <row r="431" customFormat="false" ht="15" hidden="false" customHeight="false" outlineLevel="0" collapsed="false">
      <c r="A431" s="4" t="s">
        <v>4354</v>
      </c>
      <c r="B431" s="6" t="n">
        <v>46201</v>
      </c>
      <c r="C431" s="4" t="s">
        <v>837</v>
      </c>
      <c r="D431" s="4" t="s">
        <v>3928</v>
      </c>
      <c r="E431" s="4" t="s">
        <v>28</v>
      </c>
      <c r="F431" s="4" t="s">
        <v>3921</v>
      </c>
      <c r="G431" s="4" t="s">
        <v>3256</v>
      </c>
      <c r="H431" s="8" t="n">
        <v>7.5</v>
      </c>
      <c r="I431" s="8" t="n">
        <v>73.4</v>
      </c>
      <c r="J431" s="11" t="n">
        <v>1</v>
      </c>
    </row>
    <row r="432" customFormat="false" ht="15" hidden="false" customHeight="false" outlineLevel="0" collapsed="false">
      <c r="A432" s="4" t="s">
        <v>4355</v>
      </c>
      <c r="B432" s="6" t="n">
        <v>45993</v>
      </c>
      <c r="C432" s="4" t="s">
        <v>653</v>
      </c>
      <c r="D432" s="4" t="s">
        <v>3928</v>
      </c>
      <c r="E432" s="4" t="s">
        <v>10</v>
      </c>
      <c r="F432" s="4" t="s">
        <v>3929</v>
      </c>
      <c r="G432" s="4" t="s">
        <v>3446</v>
      </c>
      <c r="H432" s="8" t="n">
        <v>3.4</v>
      </c>
      <c r="I432" s="8" t="n">
        <v>126.9</v>
      </c>
      <c r="J432" s="11" t="n">
        <v>5</v>
      </c>
    </row>
    <row r="433" customFormat="false" ht="15" hidden="false" customHeight="false" outlineLevel="0" collapsed="false">
      <c r="A433" s="4" t="s">
        <v>4356</v>
      </c>
      <c r="B433" s="6" t="n">
        <v>45774</v>
      </c>
      <c r="C433" s="4" t="s">
        <v>561</v>
      </c>
      <c r="D433" s="4" t="s">
        <v>3920</v>
      </c>
      <c r="E433" s="4" t="s">
        <v>10</v>
      </c>
      <c r="F433" s="4" t="s">
        <v>3929</v>
      </c>
      <c r="G433" s="4" t="s">
        <v>3394</v>
      </c>
      <c r="H433" s="8" t="n">
        <v>8.1</v>
      </c>
      <c r="I433" s="8" t="n">
        <v>213.4</v>
      </c>
      <c r="J433" s="11" t="n">
        <v>2</v>
      </c>
    </row>
    <row r="434" customFormat="false" ht="15" hidden="false" customHeight="false" outlineLevel="0" collapsed="false">
      <c r="A434" s="4" t="s">
        <v>4357</v>
      </c>
      <c r="B434" s="6" t="n">
        <v>45895</v>
      </c>
      <c r="C434" s="4" t="s">
        <v>512</v>
      </c>
      <c r="D434" s="4" t="s">
        <v>3920</v>
      </c>
      <c r="E434" s="4" t="s">
        <v>16</v>
      </c>
      <c r="F434" s="4" t="s">
        <v>3921</v>
      </c>
      <c r="G434" s="4" t="s">
        <v>3160</v>
      </c>
      <c r="H434" s="8" t="n">
        <v>20.2</v>
      </c>
      <c r="I434" s="8" t="n">
        <v>132.9</v>
      </c>
      <c r="J434" s="11" t="n">
        <v>5</v>
      </c>
    </row>
    <row r="435" customFormat="false" ht="15" hidden="false" customHeight="false" outlineLevel="0" collapsed="false">
      <c r="A435" s="4" t="s">
        <v>4358</v>
      </c>
      <c r="B435" s="6" t="n">
        <v>45962</v>
      </c>
      <c r="C435" s="4" t="s">
        <v>567</v>
      </c>
      <c r="D435" s="4" t="s">
        <v>3938</v>
      </c>
      <c r="E435" s="4" t="s">
        <v>10</v>
      </c>
      <c r="F435" s="4" t="s">
        <v>3929</v>
      </c>
      <c r="G435" s="4" t="s">
        <v>3386</v>
      </c>
      <c r="H435" s="8" t="n">
        <v>22.3</v>
      </c>
      <c r="I435" s="8" t="n">
        <v>76.2</v>
      </c>
      <c r="J435" s="11" t="n">
        <v>4</v>
      </c>
    </row>
    <row r="436" customFormat="false" ht="15" hidden="false" customHeight="false" outlineLevel="0" collapsed="false">
      <c r="A436" s="4" t="s">
        <v>4359</v>
      </c>
      <c r="B436" s="6" t="n">
        <v>45933</v>
      </c>
      <c r="C436" s="4" t="s">
        <v>1223</v>
      </c>
      <c r="D436" s="4" t="s">
        <v>3928</v>
      </c>
      <c r="E436" s="4" t="s">
        <v>10</v>
      </c>
      <c r="F436" s="4" t="s">
        <v>3929</v>
      </c>
      <c r="G436" s="4" t="s">
        <v>3072</v>
      </c>
      <c r="H436" s="8" t="n">
        <v>1.7</v>
      </c>
      <c r="I436" s="8" t="n">
        <v>227.9</v>
      </c>
      <c r="J436" s="11" t="n">
        <v>5</v>
      </c>
    </row>
    <row r="437" customFormat="false" ht="15" hidden="false" customHeight="false" outlineLevel="0" collapsed="false">
      <c r="A437" s="4" t="s">
        <v>4360</v>
      </c>
      <c r="B437" s="6" t="n">
        <v>46146</v>
      </c>
      <c r="C437" s="4" t="s">
        <v>504</v>
      </c>
      <c r="D437" s="4" t="s">
        <v>3938</v>
      </c>
      <c r="E437" s="4" t="s">
        <v>10</v>
      </c>
      <c r="F437" s="4" t="s">
        <v>3921</v>
      </c>
      <c r="G437" s="4" t="s">
        <v>3416</v>
      </c>
      <c r="H437" s="8" t="n">
        <v>8.7</v>
      </c>
      <c r="I437" s="8" t="n">
        <v>131</v>
      </c>
      <c r="J437" s="11" t="n">
        <v>3</v>
      </c>
    </row>
    <row r="438" customFormat="false" ht="15" hidden="false" customHeight="false" outlineLevel="0" collapsed="false">
      <c r="A438" s="4" t="s">
        <v>4361</v>
      </c>
      <c r="B438" s="6" t="n">
        <v>45741</v>
      </c>
      <c r="C438" s="4" t="s">
        <v>807</v>
      </c>
      <c r="D438" s="4" t="s">
        <v>3917</v>
      </c>
      <c r="E438" s="4" t="s">
        <v>16</v>
      </c>
      <c r="F438" s="4" t="s">
        <v>3918</v>
      </c>
      <c r="G438" s="4" t="s">
        <v>3096</v>
      </c>
      <c r="H438" s="8" t="n">
        <v>15.6</v>
      </c>
      <c r="I438" s="8" t="n">
        <v>137.4</v>
      </c>
      <c r="J438" s="11" t="n">
        <v>1</v>
      </c>
    </row>
    <row r="439" customFormat="false" ht="15" hidden="false" customHeight="false" outlineLevel="0" collapsed="false">
      <c r="A439" s="4" t="s">
        <v>4362</v>
      </c>
      <c r="B439" s="6" t="n">
        <v>45881</v>
      </c>
      <c r="C439" s="4" t="s">
        <v>1211</v>
      </c>
      <c r="D439" s="4" t="s">
        <v>3917</v>
      </c>
      <c r="E439" s="4" t="s">
        <v>10</v>
      </c>
      <c r="F439" s="4" t="s">
        <v>3923</v>
      </c>
      <c r="G439" s="4" t="s">
        <v>3088</v>
      </c>
      <c r="H439" s="8" t="n">
        <v>17.7</v>
      </c>
      <c r="I439" s="8" t="n">
        <v>197.7</v>
      </c>
      <c r="J439" s="11" t="n">
        <v>5</v>
      </c>
    </row>
    <row r="440" customFormat="false" ht="15" hidden="false" customHeight="false" outlineLevel="0" collapsed="false">
      <c r="A440" s="4" t="s">
        <v>4363</v>
      </c>
      <c r="B440" s="6" t="n">
        <v>45663</v>
      </c>
      <c r="C440" s="4" t="s">
        <v>1161</v>
      </c>
      <c r="D440" s="4" t="s">
        <v>3926</v>
      </c>
      <c r="E440" s="4" t="s">
        <v>16</v>
      </c>
      <c r="F440" s="4" t="s">
        <v>3923</v>
      </c>
      <c r="G440" s="4" t="s">
        <v>3450</v>
      </c>
      <c r="H440" s="8" t="n">
        <v>6.6</v>
      </c>
      <c r="I440" s="8" t="n">
        <v>191.1</v>
      </c>
      <c r="J440" s="11" t="n">
        <v>2</v>
      </c>
    </row>
    <row r="441" customFormat="false" ht="15" hidden="false" customHeight="false" outlineLevel="0" collapsed="false">
      <c r="A441" s="4" t="s">
        <v>4364</v>
      </c>
      <c r="B441" s="6" t="n">
        <v>45718</v>
      </c>
      <c r="C441" s="4" t="s">
        <v>905</v>
      </c>
      <c r="D441" s="4" t="s">
        <v>3917</v>
      </c>
      <c r="E441" s="4" t="s">
        <v>28</v>
      </c>
      <c r="F441" s="4" t="s">
        <v>3918</v>
      </c>
      <c r="G441" s="4" t="s">
        <v>3314</v>
      </c>
      <c r="H441" s="8" t="n">
        <v>16</v>
      </c>
      <c r="I441" s="8" t="n">
        <v>47.8</v>
      </c>
      <c r="J441" s="11" t="n">
        <v>5</v>
      </c>
    </row>
    <row r="442" customFormat="false" ht="15" hidden="false" customHeight="false" outlineLevel="0" collapsed="false">
      <c r="A442" s="4" t="s">
        <v>4365</v>
      </c>
      <c r="B442" s="6" t="n">
        <v>45797</v>
      </c>
      <c r="C442" s="4" t="s">
        <v>879</v>
      </c>
      <c r="D442" s="4" t="s">
        <v>3926</v>
      </c>
      <c r="E442" s="4" t="s">
        <v>22</v>
      </c>
      <c r="F442" s="4" t="s">
        <v>3929</v>
      </c>
      <c r="G442" s="4" t="s">
        <v>3212</v>
      </c>
      <c r="H442" s="8" t="n">
        <v>21.9</v>
      </c>
      <c r="I442" s="8" t="n">
        <v>70.5</v>
      </c>
      <c r="J442" s="11" t="n">
        <v>2</v>
      </c>
    </row>
    <row r="443" customFormat="false" ht="15" hidden="false" customHeight="false" outlineLevel="0" collapsed="false">
      <c r="A443" s="4" t="s">
        <v>4366</v>
      </c>
      <c r="B443" s="6" t="n">
        <v>45919</v>
      </c>
      <c r="C443" s="4" t="s">
        <v>1127</v>
      </c>
      <c r="D443" s="4" t="s">
        <v>3926</v>
      </c>
      <c r="E443" s="4" t="s">
        <v>10</v>
      </c>
      <c r="F443" s="4" t="s">
        <v>3923</v>
      </c>
      <c r="G443" s="4" t="s">
        <v>3256</v>
      </c>
      <c r="H443" s="8" t="n">
        <v>0.1</v>
      </c>
      <c r="I443" s="8" t="n">
        <v>29.3</v>
      </c>
      <c r="J443" s="11" t="n">
        <v>5</v>
      </c>
    </row>
    <row r="444" customFormat="false" ht="15" hidden="false" customHeight="false" outlineLevel="0" collapsed="false">
      <c r="A444" s="4" t="s">
        <v>4367</v>
      </c>
      <c r="B444" s="6" t="n">
        <v>45789</v>
      </c>
      <c r="C444" s="4" t="s">
        <v>1055</v>
      </c>
      <c r="D444" s="4" t="s">
        <v>3917</v>
      </c>
      <c r="E444" s="4" t="s">
        <v>16</v>
      </c>
      <c r="F444" s="4" t="s">
        <v>3929</v>
      </c>
      <c r="G444" s="4" t="s">
        <v>3418</v>
      </c>
      <c r="H444" s="8" t="n">
        <v>15.4</v>
      </c>
      <c r="I444" s="8" t="n">
        <v>30.6</v>
      </c>
      <c r="J444" s="11" t="n">
        <v>2</v>
      </c>
    </row>
    <row r="445" customFormat="false" ht="15" hidden="false" customHeight="false" outlineLevel="0" collapsed="false">
      <c r="A445" s="4" t="s">
        <v>4368</v>
      </c>
      <c r="B445" s="6" t="n">
        <v>45894</v>
      </c>
      <c r="C445" s="4" t="s">
        <v>719</v>
      </c>
      <c r="D445" s="4" t="s">
        <v>3928</v>
      </c>
      <c r="E445" s="4" t="s">
        <v>16</v>
      </c>
      <c r="F445" s="4" t="s">
        <v>3921</v>
      </c>
      <c r="G445" s="4" t="s">
        <v>3376</v>
      </c>
      <c r="H445" s="8" t="n">
        <v>1.8</v>
      </c>
      <c r="I445" s="8" t="n">
        <v>95.9</v>
      </c>
      <c r="J445" s="11" t="n">
        <v>2</v>
      </c>
    </row>
    <row r="446" customFormat="false" ht="15" hidden="false" customHeight="false" outlineLevel="0" collapsed="false">
      <c r="A446" s="4" t="s">
        <v>4369</v>
      </c>
      <c r="B446" s="6" t="n">
        <v>45660</v>
      </c>
      <c r="C446" s="4" t="s">
        <v>1131</v>
      </c>
      <c r="D446" s="4" t="s">
        <v>3917</v>
      </c>
      <c r="E446" s="4" t="s">
        <v>22</v>
      </c>
      <c r="F446" s="4" t="s">
        <v>3921</v>
      </c>
      <c r="G446" s="4" t="s">
        <v>3368</v>
      </c>
      <c r="H446" s="8" t="n">
        <v>2.7</v>
      </c>
      <c r="I446" s="8" t="n">
        <v>167.7</v>
      </c>
      <c r="J446" s="11" t="n">
        <v>4</v>
      </c>
    </row>
    <row r="447" customFormat="false" ht="15" hidden="false" customHeight="false" outlineLevel="0" collapsed="false">
      <c r="A447" s="4" t="s">
        <v>4370</v>
      </c>
      <c r="B447" s="6" t="n">
        <v>45869</v>
      </c>
      <c r="C447" s="4" t="s">
        <v>921</v>
      </c>
      <c r="D447" s="4" t="s">
        <v>3917</v>
      </c>
      <c r="E447" s="4" t="s">
        <v>10</v>
      </c>
      <c r="F447" s="4" t="s">
        <v>3929</v>
      </c>
      <c r="G447" s="4" t="s">
        <v>3076</v>
      </c>
      <c r="H447" s="8" t="n">
        <v>17.4</v>
      </c>
      <c r="I447" s="8" t="n">
        <v>189</v>
      </c>
      <c r="J447" s="11" t="n">
        <v>3</v>
      </c>
    </row>
    <row r="448" customFormat="false" ht="15" hidden="false" customHeight="false" outlineLevel="0" collapsed="false">
      <c r="A448" s="4" t="s">
        <v>4371</v>
      </c>
      <c r="B448" s="6" t="n">
        <v>46045</v>
      </c>
      <c r="C448" s="4" t="s">
        <v>1139</v>
      </c>
      <c r="D448" s="4" t="s">
        <v>3926</v>
      </c>
      <c r="E448" s="4" t="s">
        <v>22</v>
      </c>
      <c r="F448" s="4" t="s">
        <v>3923</v>
      </c>
      <c r="G448" s="4" t="s">
        <v>3350</v>
      </c>
      <c r="H448" s="8" t="n">
        <v>6.7</v>
      </c>
      <c r="I448" s="8" t="n">
        <v>159.8</v>
      </c>
      <c r="J448" s="11" t="n">
        <v>2</v>
      </c>
    </row>
    <row r="449" customFormat="false" ht="15" hidden="false" customHeight="false" outlineLevel="0" collapsed="false">
      <c r="A449" s="4" t="s">
        <v>4372</v>
      </c>
      <c r="B449" s="6" t="n">
        <v>46019</v>
      </c>
      <c r="C449" s="4" t="s">
        <v>657</v>
      </c>
      <c r="D449" s="4" t="s">
        <v>3917</v>
      </c>
      <c r="E449" s="4" t="s">
        <v>16</v>
      </c>
      <c r="F449" s="4" t="s">
        <v>3923</v>
      </c>
      <c r="G449" s="4" t="s">
        <v>3252</v>
      </c>
      <c r="H449" s="8" t="n">
        <v>11.8</v>
      </c>
      <c r="I449" s="8" t="n">
        <v>67.2</v>
      </c>
      <c r="J449" s="11" t="n">
        <v>1</v>
      </c>
    </row>
    <row r="450" customFormat="false" ht="15" hidden="false" customHeight="false" outlineLevel="0" collapsed="false">
      <c r="A450" s="4" t="s">
        <v>4373</v>
      </c>
      <c r="B450" s="6" t="n">
        <v>46101</v>
      </c>
      <c r="C450" s="4" t="s">
        <v>939</v>
      </c>
      <c r="D450" s="4" t="s">
        <v>3917</v>
      </c>
      <c r="E450" s="4" t="s">
        <v>22</v>
      </c>
      <c r="F450" s="4" t="s">
        <v>3921</v>
      </c>
      <c r="G450" s="4" t="s">
        <v>3032</v>
      </c>
      <c r="H450" s="8" t="n">
        <v>18.8</v>
      </c>
      <c r="I450" s="8" t="n">
        <v>200.4</v>
      </c>
      <c r="J450" s="11" t="n">
        <v>4</v>
      </c>
    </row>
    <row r="451" customFormat="false" ht="15" hidden="false" customHeight="false" outlineLevel="0" collapsed="false">
      <c r="A451" s="4" t="s">
        <v>4374</v>
      </c>
      <c r="B451" s="6" t="n">
        <v>46081</v>
      </c>
      <c r="C451" s="4" t="s">
        <v>577</v>
      </c>
      <c r="D451" s="4" t="s">
        <v>3920</v>
      </c>
      <c r="E451" s="4" t="s">
        <v>22</v>
      </c>
      <c r="F451" s="4" t="s">
        <v>3918</v>
      </c>
      <c r="G451" s="4" t="s">
        <v>3074</v>
      </c>
      <c r="H451" s="8" t="n">
        <v>6.9</v>
      </c>
      <c r="I451" s="8" t="n">
        <v>44.1</v>
      </c>
      <c r="J451" s="11" t="n">
        <v>1</v>
      </c>
    </row>
    <row r="452" customFormat="false" ht="15" hidden="false" customHeight="false" outlineLevel="0" collapsed="false">
      <c r="A452" s="4" t="s">
        <v>4375</v>
      </c>
      <c r="B452" s="6" t="n">
        <v>46123</v>
      </c>
      <c r="C452" s="4" t="s">
        <v>821</v>
      </c>
      <c r="D452" s="4" t="s">
        <v>3920</v>
      </c>
      <c r="E452" s="4" t="s">
        <v>28</v>
      </c>
      <c r="F452" s="4" t="s">
        <v>3921</v>
      </c>
      <c r="G452" s="4" t="s">
        <v>3330</v>
      </c>
      <c r="H452" s="8" t="n">
        <v>5.5</v>
      </c>
      <c r="I452" s="8" t="n">
        <v>49.8</v>
      </c>
      <c r="J452" s="11" t="n">
        <v>3</v>
      </c>
    </row>
    <row r="453" customFormat="false" ht="15" hidden="false" customHeight="false" outlineLevel="0" collapsed="false">
      <c r="A453" s="4" t="s">
        <v>4376</v>
      </c>
      <c r="B453" s="6" t="n">
        <v>45934</v>
      </c>
      <c r="C453" s="4" t="s">
        <v>629</v>
      </c>
      <c r="D453" s="4" t="s">
        <v>3938</v>
      </c>
      <c r="E453" s="4" t="s">
        <v>28</v>
      </c>
      <c r="F453" s="4" t="s">
        <v>3923</v>
      </c>
      <c r="G453" s="4" t="s">
        <v>3114</v>
      </c>
      <c r="H453" s="8" t="n">
        <v>10.6</v>
      </c>
      <c r="I453" s="8" t="n">
        <v>33.8</v>
      </c>
      <c r="J453" s="11" t="n">
        <v>2</v>
      </c>
    </row>
    <row r="454" customFormat="false" ht="15" hidden="false" customHeight="false" outlineLevel="0" collapsed="false">
      <c r="A454" s="4" t="s">
        <v>4377</v>
      </c>
      <c r="B454" s="6" t="n">
        <v>45882</v>
      </c>
      <c r="C454" s="4" t="s">
        <v>1435</v>
      </c>
      <c r="D454" s="4" t="s">
        <v>3926</v>
      </c>
      <c r="E454" s="4" t="s">
        <v>28</v>
      </c>
      <c r="F454" s="4" t="s">
        <v>3923</v>
      </c>
      <c r="G454" s="4" t="s">
        <v>3262</v>
      </c>
      <c r="H454" s="8" t="n">
        <v>15.4</v>
      </c>
      <c r="I454" s="8" t="n">
        <v>36.4</v>
      </c>
      <c r="J454" s="11" t="n">
        <v>3</v>
      </c>
    </row>
    <row r="455" customFormat="false" ht="15" hidden="false" customHeight="false" outlineLevel="0" collapsed="false">
      <c r="A455" s="4" t="s">
        <v>4378</v>
      </c>
      <c r="B455" s="6" t="n">
        <v>45759</v>
      </c>
      <c r="C455" s="4" t="s">
        <v>743</v>
      </c>
      <c r="D455" s="4" t="s">
        <v>3926</v>
      </c>
      <c r="E455" s="4" t="s">
        <v>22</v>
      </c>
      <c r="F455" s="4" t="s">
        <v>3929</v>
      </c>
      <c r="G455" s="4" t="s">
        <v>3410</v>
      </c>
      <c r="H455" s="8" t="n">
        <v>7.5</v>
      </c>
      <c r="I455" s="8" t="n">
        <v>98.1</v>
      </c>
      <c r="J455" s="11" t="n">
        <v>1</v>
      </c>
    </row>
    <row r="456" customFormat="false" ht="15" hidden="false" customHeight="false" outlineLevel="0" collapsed="false">
      <c r="A456" s="4" t="s">
        <v>4379</v>
      </c>
      <c r="B456" s="6" t="n">
        <v>45947</v>
      </c>
      <c r="C456" s="4" t="s">
        <v>723</v>
      </c>
      <c r="D456" s="4" t="s">
        <v>3917</v>
      </c>
      <c r="E456" s="4" t="s">
        <v>10</v>
      </c>
      <c r="F456" s="4" t="s">
        <v>3918</v>
      </c>
      <c r="G456" s="4" t="s">
        <v>3388</v>
      </c>
      <c r="H456" s="8" t="n">
        <v>23</v>
      </c>
      <c r="I456" s="8" t="n">
        <v>223.7</v>
      </c>
      <c r="J456" s="11" t="n">
        <v>5</v>
      </c>
    </row>
    <row r="457" customFormat="false" ht="15" hidden="false" customHeight="false" outlineLevel="0" collapsed="false">
      <c r="A457" s="4" t="s">
        <v>4380</v>
      </c>
      <c r="B457" s="6" t="n">
        <v>46199</v>
      </c>
      <c r="C457" s="4" t="s">
        <v>450</v>
      </c>
      <c r="D457" s="4" t="s">
        <v>3917</v>
      </c>
      <c r="E457" s="4" t="s">
        <v>16</v>
      </c>
      <c r="F457" s="4" t="s">
        <v>3923</v>
      </c>
      <c r="G457" s="4" t="s">
        <v>3492</v>
      </c>
      <c r="H457" s="8" t="n">
        <v>0.6</v>
      </c>
      <c r="I457" s="8" t="n">
        <v>184.9</v>
      </c>
      <c r="J457" s="11" t="n">
        <v>5</v>
      </c>
    </row>
    <row r="458" customFormat="false" ht="15" hidden="false" customHeight="false" outlineLevel="0" collapsed="false">
      <c r="A458" s="4" t="s">
        <v>4381</v>
      </c>
      <c r="B458" s="6" t="n">
        <v>45659</v>
      </c>
      <c r="C458" s="4" t="s">
        <v>957</v>
      </c>
      <c r="D458" s="4" t="s">
        <v>3917</v>
      </c>
      <c r="E458" s="4" t="s">
        <v>28</v>
      </c>
      <c r="F458" s="4" t="s">
        <v>3929</v>
      </c>
      <c r="G458" s="4" t="s">
        <v>3096</v>
      </c>
      <c r="H458" s="8" t="n">
        <v>2.7</v>
      </c>
      <c r="I458" s="8" t="n">
        <v>74.9</v>
      </c>
      <c r="J458" s="11" t="n">
        <v>4</v>
      </c>
    </row>
    <row r="459" customFormat="false" ht="15" hidden="false" customHeight="false" outlineLevel="0" collapsed="false">
      <c r="A459" s="4" t="s">
        <v>4382</v>
      </c>
      <c r="B459" s="6" t="n">
        <v>45862</v>
      </c>
      <c r="C459" s="4" t="s">
        <v>1107</v>
      </c>
      <c r="D459" s="4" t="s">
        <v>3938</v>
      </c>
      <c r="E459" s="4" t="s">
        <v>22</v>
      </c>
      <c r="F459" s="4" t="s">
        <v>3929</v>
      </c>
      <c r="G459" s="4" t="s">
        <v>3344</v>
      </c>
      <c r="H459" s="8" t="n">
        <v>20.2</v>
      </c>
      <c r="I459" s="8" t="n">
        <v>145.2</v>
      </c>
      <c r="J459" s="11" t="n">
        <v>5</v>
      </c>
    </row>
    <row r="460" customFormat="false" ht="15" hidden="false" customHeight="false" outlineLevel="0" collapsed="false">
      <c r="A460" s="4" t="s">
        <v>4383</v>
      </c>
      <c r="B460" s="6" t="n">
        <v>46047</v>
      </c>
      <c r="C460" s="4" t="s">
        <v>947</v>
      </c>
      <c r="D460" s="4" t="s">
        <v>3926</v>
      </c>
      <c r="E460" s="4" t="s">
        <v>22</v>
      </c>
      <c r="F460" s="4" t="s">
        <v>3921</v>
      </c>
      <c r="G460" s="4" t="s">
        <v>3102</v>
      </c>
      <c r="H460" s="8" t="n">
        <v>21.4</v>
      </c>
      <c r="I460" s="8" t="n">
        <v>79.3</v>
      </c>
      <c r="J460" s="11" t="n">
        <v>3</v>
      </c>
    </row>
    <row r="461" customFormat="false" ht="15" hidden="false" customHeight="false" outlineLevel="0" collapsed="false">
      <c r="A461" s="4" t="s">
        <v>4384</v>
      </c>
      <c r="B461" s="6" t="n">
        <v>45904</v>
      </c>
      <c r="C461" s="4" t="s">
        <v>1009</v>
      </c>
      <c r="D461" s="4" t="s">
        <v>3920</v>
      </c>
      <c r="E461" s="4" t="s">
        <v>22</v>
      </c>
      <c r="F461" s="4" t="s">
        <v>3923</v>
      </c>
      <c r="G461" s="4" t="s">
        <v>3254</v>
      </c>
      <c r="H461" s="8" t="n">
        <v>5.5</v>
      </c>
      <c r="I461" s="8" t="n">
        <v>229.9</v>
      </c>
      <c r="J461" s="11" t="n">
        <v>1</v>
      </c>
    </row>
    <row r="462" customFormat="false" ht="15" hidden="false" customHeight="false" outlineLevel="0" collapsed="false">
      <c r="A462" s="4" t="s">
        <v>4385</v>
      </c>
      <c r="B462" s="6" t="n">
        <v>45798</v>
      </c>
      <c r="C462" s="4" t="s">
        <v>701</v>
      </c>
      <c r="D462" s="4" t="s">
        <v>3938</v>
      </c>
      <c r="E462" s="4" t="s">
        <v>10</v>
      </c>
      <c r="F462" s="4" t="s">
        <v>3921</v>
      </c>
      <c r="G462" s="4" t="s">
        <v>3444</v>
      </c>
      <c r="H462" s="8" t="n">
        <v>1.1</v>
      </c>
      <c r="I462" s="8" t="n">
        <v>113.2</v>
      </c>
      <c r="J462" s="11" t="n">
        <v>5</v>
      </c>
    </row>
    <row r="463" customFormat="false" ht="15" hidden="false" customHeight="false" outlineLevel="0" collapsed="false">
      <c r="A463" s="4" t="s">
        <v>4386</v>
      </c>
      <c r="B463" s="6" t="n">
        <v>46109</v>
      </c>
      <c r="C463" s="4" t="s">
        <v>1199</v>
      </c>
      <c r="D463" s="4" t="s">
        <v>3917</v>
      </c>
      <c r="E463" s="4" t="s">
        <v>10</v>
      </c>
      <c r="F463" s="4" t="s">
        <v>3921</v>
      </c>
      <c r="G463" s="4" t="s">
        <v>3114</v>
      </c>
      <c r="H463" s="8" t="n">
        <v>17.7</v>
      </c>
      <c r="I463" s="8" t="n">
        <v>54</v>
      </c>
      <c r="J463" s="11" t="n">
        <v>1</v>
      </c>
    </row>
    <row r="464" customFormat="false" ht="15" hidden="false" customHeight="false" outlineLevel="0" collapsed="false">
      <c r="A464" s="4" t="s">
        <v>4387</v>
      </c>
      <c r="B464" s="6" t="n">
        <v>45669</v>
      </c>
      <c r="C464" s="4" t="s">
        <v>1405</v>
      </c>
      <c r="D464" s="4" t="s">
        <v>3926</v>
      </c>
      <c r="E464" s="4" t="s">
        <v>10</v>
      </c>
      <c r="F464" s="4" t="s">
        <v>3929</v>
      </c>
      <c r="G464" s="4" t="s">
        <v>3210</v>
      </c>
      <c r="H464" s="8" t="n">
        <v>3</v>
      </c>
      <c r="I464" s="8" t="n">
        <v>68.7</v>
      </c>
      <c r="J464" s="11" t="n">
        <v>5</v>
      </c>
    </row>
    <row r="465" customFormat="false" ht="15" hidden="false" customHeight="false" outlineLevel="0" collapsed="false">
      <c r="A465" s="4" t="s">
        <v>4388</v>
      </c>
      <c r="B465" s="6" t="n">
        <v>45753</v>
      </c>
      <c r="C465" s="4" t="s">
        <v>813</v>
      </c>
      <c r="D465" s="4" t="s">
        <v>3917</v>
      </c>
      <c r="E465" s="4" t="s">
        <v>28</v>
      </c>
      <c r="F465" s="4" t="s">
        <v>3918</v>
      </c>
      <c r="G465" s="4" t="s">
        <v>3314</v>
      </c>
      <c r="H465" s="8" t="n">
        <v>2.9</v>
      </c>
      <c r="I465" s="8" t="n">
        <v>193.7</v>
      </c>
      <c r="J465" s="11" t="n">
        <v>5</v>
      </c>
    </row>
    <row r="466" customFormat="false" ht="15" hidden="false" customHeight="false" outlineLevel="0" collapsed="false">
      <c r="A466" s="4" t="s">
        <v>4389</v>
      </c>
      <c r="B466" s="6" t="n">
        <v>46145</v>
      </c>
      <c r="C466" s="4" t="s">
        <v>1169</v>
      </c>
      <c r="D466" s="4" t="s">
        <v>3920</v>
      </c>
      <c r="E466" s="4" t="s">
        <v>16</v>
      </c>
      <c r="F466" s="4" t="s">
        <v>3921</v>
      </c>
      <c r="G466" s="4" t="s">
        <v>3278</v>
      </c>
      <c r="H466" s="8" t="n">
        <v>4.1</v>
      </c>
      <c r="I466" s="8" t="n">
        <v>182.2</v>
      </c>
      <c r="J466" s="11" t="n">
        <v>1</v>
      </c>
    </row>
    <row r="467" customFormat="false" ht="15" hidden="false" customHeight="false" outlineLevel="0" collapsed="false">
      <c r="A467" s="4" t="s">
        <v>4390</v>
      </c>
      <c r="B467" s="6" t="n">
        <v>46079</v>
      </c>
      <c r="C467" s="4" t="s">
        <v>1373</v>
      </c>
      <c r="D467" s="4" t="s">
        <v>3920</v>
      </c>
      <c r="E467" s="4" t="s">
        <v>28</v>
      </c>
      <c r="F467" s="4" t="s">
        <v>3918</v>
      </c>
      <c r="G467" s="4" t="s">
        <v>3052</v>
      </c>
      <c r="H467" s="8" t="n">
        <v>2.2</v>
      </c>
      <c r="I467" s="8" t="n">
        <v>140.7</v>
      </c>
      <c r="J467" s="11" t="n">
        <v>5</v>
      </c>
    </row>
    <row r="468" customFormat="false" ht="15" hidden="false" customHeight="false" outlineLevel="0" collapsed="false">
      <c r="A468" s="4" t="s">
        <v>4391</v>
      </c>
      <c r="B468" s="6" t="n">
        <v>46095</v>
      </c>
      <c r="C468" s="4" t="s">
        <v>1177</v>
      </c>
      <c r="D468" s="4" t="s">
        <v>3920</v>
      </c>
      <c r="E468" s="4" t="s">
        <v>22</v>
      </c>
      <c r="F468" s="4" t="s">
        <v>3921</v>
      </c>
      <c r="G468" s="4" t="s">
        <v>3480</v>
      </c>
      <c r="H468" s="8" t="n">
        <v>8.6</v>
      </c>
      <c r="I468" s="8" t="n">
        <v>109.7</v>
      </c>
      <c r="J468" s="11" t="n">
        <v>2</v>
      </c>
    </row>
    <row r="469" customFormat="false" ht="15" hidden="false" customHeight="false" outlineLevel="0" collapsed="false">
      <c r="A469" s="4" t="s">
        <v>4392</v>
      </c>
      <c r="B469" s="6" t="n">
        <v>45679</v>
      </c>
      <c r="C469" s="4" t="s">
        <v>1147</v>
      </c>
      <c r="D469" s="4" t="s">
        <v>3920</v>
      </c>
      <c r="E469" s="4" t="s">
        <v>10</v>
      </c>
      <c r="F469" s="4" t="s">
        <v>3921</v>
      </c>
      <c r="G469" s="4" t="s">
        <v>3100</v>
      </c>
      <c r="H469" s="8" t="n">
        <v>4.2</v>
      </c>
      <c r="I469" s="8" t="n">
        <v>39.4</v>
      </c>
      <c r="J469" s="11" t="n">
        <v>1</v>
      </c>
    </row>
    <row r="470" customFormat="false" ht="15" hidden="false" customHeight="false" outlineLevel="0" collapsed="false">
      <c r="A470" s="4" t="s">
        <v>4393</v>
      </c>
      <c r="B470" s="6" t="n">
        <v>45872</v>
      </c>
      <c r="C470" s="4" t="s">
        <v>667</v>
      </c>
      <c r="D470" s="4" t="s">
        <v>3917</v>
      </c>
      <c r="E470" s="4" t="s">
        <v>16</v>
      </c>
      <c r="F470" s="4" t="s">
        <v>3918</v>
      </c>
      <c r="G470" s="4" t="s">
        <v>3152</v>
      </c>
      <c r="H470" s="8" t="n">
        <v>11.1</v>
      </c>
      <c r="I470" s="8" t="n">
        <v>159.5</v>
      </c>
      <c r="J470" s="11" t="n">
        <v>2</v>
      </c>
    </row>
    <row r="471" customFormat="false" ht="15" hidden="false" customHeight="false" outlineLevel="0" collapsed="false">
      <c r="A471" s="4" t="s">
        <v>4394</v>
      </c>
      <c r="B471" s="6" t="n">
        <v>45778</v>
      </c>
      <c r="C471" s="4" t="s">
        <v>1207</v>
      </c>
      <c r="D471" s="4" t="s">
        <v>3917</v>
      </c>
      <c r="E471" s="4" t="s">
        <v>16</v>
      </c>
      <c r="F471" s="4" t="s">
        <v>3921</v>
      </c>
      <c r="G471" s="4" t="s">
        <v>3188</v>
      </c>
      <c r="H471" s="8" t="n">
        <v>15.1</v>
      </c>
      <c r="I471" s="8" t="n">
        <v>211.5</v>
      </c>
      <c r="J471" s="11" t="n">
        <v>3</v>
      </c>
    </row>
    <row r="472" customFormat="false" ht="15" hidden="false" customHeight="false" outlineLevel="0" collapsed="false">
      <c r="A472" s="4" t="s">
        <v>4395</v>
      </c>
      <c r="B472" s="6" t="n">
        <v>45722</v>
      </c>
      <c r="C472" s="4" t="s">
        <v>1317</v>
      </c>
      <c r="D472" s="4" t="s">
        <v>3917</v>
      </c>
      <c r="E472" s="4" t="s">
        <v>28</v>
      </c>
      <c r="F472" s="4" t="s">
        <v>3918</v>
      </c>
      <c r="G472" s="4" t="s">
        <v>3244</v>
      </c>
      <c r="H472" s="8" t="n">
        <v>9.1</v>
      </c>
      <c r="I472" s="8" t="n">
        <v>42.8</v>
      </c>
      <c r="J472" s="11" t="n">
        <v>1</v>
      </c>
    </row>
    <row r="473" customFormat="false" ht="15" hidden="false" customHeight="false" outlineLevel="0" collapsed="false">
      <c r="A473" s="4" t="s">
        <v>4396</v>
      </c>
      <c r="B473" s="6" t="n">
        <v>45769</v>
      </c>
      <c r="C473" s="4" t="s">
        <v>551</v>
      </c>
      <c r="D473" s="4" t="s">
        <v>3917</v>
      </c>
      <c r="E473" s="4" t="s">
        <v>16</v>
      </c>
      <c r="F473" s="4" t="s">
        <v>3923</v>
      </c>
      <c r="G473" s="4" t="s">
        <v>3110</v>
      </c>
      <c r="H473" s="8" t="n">
        <v>1.8</v>
      </c>
      <c r="I473" s="8" t="n">
        <v>100.8</v>
      </c>
      <c r="J473" s="11" t="n">
        <v>4</v>
      </c>
    </row>
    <row r="474" customFormat="false" ht="15" hidden="false" customHeight="false" outlineLevel="0" collapsed="false">
      <c r="A474" s="4" t="s">
        <v>4397</v>
      </c>
      <c r="B474" s="6" t="n">
        <v>45930</v>
      </c>
      <c r="C474" s="4" t="s">
        <v>1195</v>
      </c>
      <c r="D474" s="4" t="s">
        <v>3926</v>
      </c>
      <c r="E474" s="4" t="s">
        <v>16</v>
      </c>
      <c r="F474" s="4" t="s">
        <v>3918</v>
      </c>
      <c r="G474" s="4" t="s">
        <v>3366</v>
      </c>
      <c r="H474" s="8" t="n">
        <v>13.4</v>
      </c>
      <c r="I474" s="8" t="n">
        <v>163.2</v>
      </c>
      <c r="J474" s="11" t="n">
        <v>5</v>
      </c>
    </row>
    <row r="475" customFormat="false" ht="15" hidden="false" customHeight="false" outlineLevel="0" collapsed="false">
      <c r="A475" s="4" t="s">
        <v>4398</v>
      </c>
      <c r="B475" s="6" t="n">
        <v>45819</v>
      </c>
      <c r="C475" s="4" t="s">
        <v>1313</v>
      </c>
      <c r="D475" s="4" t="s">
        <v>3926</v>
      </c>
      <c r="E475" s="4" t="s">
        <v>22</v>
      </c>
      <c r="F475" s="4" t="s">
        <v>3923</v>
      </c>
      <c r="G475" s="4" t="s">
        <v>3274</v>
      </c>
      <c r="H475" s="8" t="n">
        <v>15.9</v>
      </c>
      <c r="I475" s="8" t="n">
        <v>53.3</v>
      </c>
      <c r="J475" s="11" t="n">
        <v>4</v>
      </c>
    </row>
    <row r="476" customFormat="false" ht="15" hidden="false" customHeight="false" outlineLevel="0" collapsed="false">
      <c r="A476" s="4" t="s">
        <v>4399</v>
      </c>
      <c r="B476" s="6" t="n">
        <v>46113</v>
      </c>
      <c r="C476" s="4" t="s">
        <v>749</v>
      </c>
      <c r="D476" s="4" t="s">
        <v>3920</v>
      </c>
      <c r="E476" s="4" t="s">
        <v>28</v>
      </c>
      <c r="F476" s="4" t="s">
        <v>3918</v>
      </c>
      <c r="G476" s="4" t="s">
        <v>3134</v>
      </c>
      <c r="H476" s="8" t="n">
        <v>14.6</v>
      </c>
      <c r="I476" s="8" t="n">
        <v>222.4</v>
      </c>
      <c r="J476" s="11" t="n">
        <v>1</v>
      </c>
    </row>
    <row r="477" customFormat="false" ht="15" hidden="false" customHeight="false" outlineLevel="0" collapsed="false">
      <c r="A477" s="4" t="s">
        <v>4400</v>
      </c>
      <c r="B477" s="6" t="n">
        <v>45960</v>
      </c>
      <c r="C477" s="4" t="s">
        <v>849</v>
      </c>
      <c r="D477" s="4" t="s">
        <v>3926</v>
      </c>
      <c r="E477" s="4" t="s">
        <v>16</v>
      </c>
      <c r="F477" s="4" t="s">
        <v>3923</v>
      </c>
      <c r="G477" s="4" t="s">
        <v>3240</v>
      </c>
      <c r="H477" s="8" t="n">
        <v>22.3</v>
      </c>
      <c r="I477" s="8" t="n">
        <v>210.2</v>
      </c>
      <c r="J477" s="11" t="n">
        <v>1</v>
      </c>
    </row>
    <row r="478" customFormat="false" ht="15" hidden="false" customHeight="false" outlineLevel="0" collapsed="false">
      <c r="A478" s="4" t="s">
        <v>4401</v>
      </c>
      <c r="B478" s="6" t="n">
        <v>45893</v>
      </c>
      <c r="C478" s="4" t="s">
        <v>1219</v>
      </c>
      <c r="D478" s="4" t="s">
        <v>3926</v>
      </c>
      <c r="E478" s="4" t="s">
        <v>16</v>
      </c>
      <c r="F478" s="4" t="s">
        <v>3921</v>
      </c>
      <c r="G478" s="4" t="s">
        <v>3488</v>
      </c>
      <c r="H478" s="8" t="n">
        <v>20.6</v>
      </c>
      <c r="I478" s="8" t="n">
        <v>135.3</v>
      </c>
      <c r="J478" s="11" t="n">
        <v>4</v>
      </c>
    </row>
    <row r="479" customFormat="false" ht="15" hidden="false" customHeight="false" outlineLevel="0" collapsed="false">
      <c r="A479" s="4" t="s">
        <v>4402</v>
      </c>
      <c r="B479" s="6" t="n">
        <v>46188</v>
      </c>
      <c r="C479" s="4" t="s">
        <v>649</v>
      </c>
      <c r="D479" s="4" t="s">
        <v>3926</v>
      </c>
      <c r="E479" s="4" t="s">
        <v>16</v>
      </c>
      <c r="F479" s="4" t="s">
        <v>3921</v>
      </c>
      <c r="G479" s="4" t="s">
        <v>3450</v>
      </c>
      <c r="H479" s="8" t="n">
        <v>5.6</v>
      </c>
      <c r="I479" s="8" t="n">
        <v>32.1</v>
      </c>
      <c r="J479" s="11" t="n">
        <v>1</v>
      </c>
    </row>
    <row r="480" customFormat="false" ht="15" hidden="false" customHeight="false" outlineLevel="0" collapsed="false">
      <c r="A480" s="4" t="s">
        <v>4403</v>
      </c>
      <c r="B480" s="6" t="n">
        <v>45743</v>
      </c>
      <c r="C480" s="4" t="s">
        <v>811</v>
      </c>
      <c r="D480" s="4" t="s">
        <v>3926</v>
      </c>
      <c r="E480" s="4" t="s">
        <v>10</v>
      </c>
      <c r="F480" s="4" t="s">
        <v>3918</v>
      </c>
      <c r="G480" s="4" t="s">
        <v>3276</v>
      </c>
      <c r="H480" s="8" t="n">
        <v>2.3</v>
      </c>
      <c r="I480" s="8" t="n">
        <v>64.2</v>
      </c>
      <c r="J480" s="11" t="n">
        <v>5</v>
      </c>
    </row>
    <row r="481" customFormat="false" ht="15" hidden="false" customHeight="false" outlineLevel="0" collapsed="false">
      <c r="A481" s="4" t="s">
        <v>4404</v>
      </c>
      <c r="B481" s="6" t="n">
        <v>45703</v>
      </c>
      <c r="C481" s="4" t="s">
        <v>901</v>
      </c>
      <c r="D481" s="4" t="s">
        <v>3938</v>
      </c>
      <c r="E481" s="4" t="s">
        <v>16</v>
      </c>
      <c r="F481" s="4" t="s">
        <v>3918</v>
      </c>
      <c r="G481" s="4" t="s">
        <v>3436</v>
      </c>
      <c r="H481" s="8" t="n">
        <v>20.1</v>
      </c>
      <c r="I481" s="8" t="n">
        <v>35.3</v>
      </c>
      <c r="J481" s="11" t="n">
        <v>2</v>
      </c>
    </row>
    <row r="482" customFormat="false" ht="15" hidden="false" customHeight="false" outlineLevel="0" collapsed="false">
      <c r="A482" s="4" t="s">
        <v>4405</v>
      </c>
      <c r="B482" s="6" t="n">
        <v>46110</v>
      </c>
      <c r="C482" s="4" t="s">
        <v>535</v>
      </c>
      <c r="D482" s="4" t="s">
        <v>3938</v>
      </c>
      <c r="E482" s="4" t="s">
        <v>10</v>
      </c>
      <c r="F482" s="4" t="s">
        <v>3918</v>
      </c>
      <c r="G482" s="4" t="s">
        <v>3370</v>
      </c>
      <c r="H482" s="8" t="n">
        <v>15.2</v>
      </c>
      <c r="I482" s="8" t="n">
        <v>21.1</v>
      </c>
      <c r="J482" s="11" t="n">
        <v>3</v>
      </c>
    </row>
    <row r="483" customFormat="false" ht="15" hidden="false" customHeight="false" outlineLevel="0" collapsed="false">
      <c r="A483" s="4" t="s">
        <v>4406</v>
      </c>
      <c r="B483" s="6" t="n">
        <v>45940</v>
      </c>
      <c r="C483" s="4" t="s">
        <v>1331</v>
      </c>
      <c r="D483" s="4" t="s">
        <v>3920</v>
      </c>
      <c r="E483" s="4" t="s">
        <v>28</v>
      </c>
      <c r="F483" s="4" t="s">
        <v>3918</v>
      </c>
      <c r="G483" s="4" t="s">
        <v>3014</v>
      </c>
      <c r="H483" s="8" t="n">
        <v>0.9</v>
      </c>
      <c r="I483" s="8" t="n">
        <v>4.7</v>
      </c>
      <c r="J483" s="11" t="n">
        <v>1</v>
      </c>
    </row>
    <row r="484" customFormat="false" ht="15" hidden="false" customHeight="false" outlineLevel="0" collapsed="false">
      <c r="A484" s="4" t="s">
        <v>4407</v>
      </c>
      <c r="B484" s="6" t="n">
        <v>45743</v>
      </c>
      <c r="C484" s="4" t="s">
        <v>795</v>
      </c>
      <c r="D484" s="4" t="s">
        <v>3917</v>
      </c>
      <c r="E484" s="4" t="s">
        <v>10</v>
      </c>
      <c r="F484" s="4" t="s">
        <v>3921</v>
      </c>
      <c r="G484" s="4" t="s">
        <v>3388</v>
      </c>
      <c r="H484" s="8" t="n">
        <v>17.8</v>
      </c>
      <c r="I484" s="8" t="n">
        <v>153.6</v>
      </c>
      <c r="J484" s="11" t="n">
        <v>1</v>
      </c>
    </row>
    <row r="485" customFormat="false" ht="15" hidden="false" customHeight="false" outlineLevel="0" collapsed="false">
      <c r="A485" s="4" t="s">
        <v>4408</v>
      </c>
      <c r="B485" s="6" t="n">
        <v>46150</v>
      </c>
      <c r="C485" s="4" t="s">
        <v>1439</v>
      </c>
      <c r="D485" s="4" t="s">
        <v>3928</v>
      </c>
      <c r="E485" s="4" t="s">
        <v>10</v>
      </c>
      <c r="F485" s="4" t="s">
        <v>3918</v>
      </c>
      <c r="G485" s="4" t="s">
        <v>3226</v>
      </c>
      <c r="H485" s="8" t="n">
        <v>18.8</v>
      </c>
      <c r="I485" s="8" t="n">
        <v>130.3</v>
      </c>
      <c r="J485" s="11" t="n">
        <v>3</v>
      </c>
    </row>
    <row r="486" customFormat="false" ht="15" hidden="false" customHeight="false" outlineLevel="0" collapsed="false">
      <c r="A486" s="4" t="s">
        <v>4409</v>
      </c>
      <c r="B486" s="6" t="n">
        <v>45811</v>
      </c>
      <c r="C486" s="4" t="s">
        <v>825</v>
      </c>
      <c r="D486" s="4" t="s">
        <v>3920</v>
      </c>
      <c r="E486" s="4" t="s">
        <v>10</v>
      </c>
      <c r="F486" s="4" t="s">
        <v>3921</v>
      </c>
      <c r="G486" s="4" t="s">
        <v>3196</v>
      </c>
      <c r="H486" s="8" t="n">
        <v>16.2</v>
      </c>
      <c r="I486" s="8" t="n">
        <v>191.1</v>
      </c>
      <c r="J486" s="11" t="n">
        <v>5</v>
      </c>
    </row>
    <row r="487" customFormat="false" ht="15" hidden="false" customHeight="false" outlineLevel="0" collapsed="false">
      <c r="A487" s="4" t="s">
        <v>4410</v>
      </c>
      <c r="B487" s="6" t="n">
        <v>45925</v>
      </c>
      <c r="C487" s="4" t="s">
        <v>627</v>
      </c>
      <c r="D487" s="4" t="s">
        <v>3928</v>
      </c>
      <c r="E487" s="4" t="s">
        <v>22</v>
      </c>
      <c r="F487" s="4" t="s">
        <v>3929</v>
      </c>
      <c r="G487" s="4" t="s">
        <v>3280</v>
      </c>
      <c r="H487" s="8" t="n">
        <v>19.5</v>
      </c>
      <c r="I487" s="8" t="n">
        <v>144.9</v>
      </c>
      <c r="J487" s="11" t="n">
        <v>5</v>
      </c>
    </row>
    <row r="488" customFormat="false" ht="15" hidden="false" customHeight="false" outlineLevel="0" collapsed="false">
      <c r="A488" s="4" t="s">
        <v>4411</v>
      </c>
      <c r="B488" s="6" t="n">
        <v>46160</v>
      </c>
      <c r="C488" s="4" t="s">
        <v>999</v>
      </c>
      <c r="D488" s="4" t="s">
        <v>3928</v>
      </c>
      <c r="E488" s="4" t="s">
        <v>28</v>
      </c>
      <c r="F488" s="4" t="s">
        <v>3929</v>
      </c>
      <c r="G488" s="4" t="s">
        <v>3078</v>
      </c>
      <c r="H488" s="8" t="n">
        <v>4.3</v>
      </c>
      <c r="I488" s="8" t="n">
        <v>183.6</v>
      </c>
      <c r="J488" s="11" t="n">
        <v>5</v>
      </c>
    </row>
    <row r="489" customFormat="false" ht="15" hidden="false" customHeight="false" outlineLevel="0" collapsed="false">
      <c r="A489" s="4" t="s">
        <v>4412</v>
      </c>
      <c r="B489" s="6" t="n">
        <v>46046</v>
      </c>
      <c r="C489" s="4" t="s">
        <v>945</v>
      </c>
      <c r="D489" s="4" t="s">
        <v>3928</v>
      </c>
      <c r="E489" s="4" t="s">
        <v>10</v>
      </c>
      <c r="F489" s="4" t="s">
        <v>3929</v>
      </c>
      <c r="G489" s="4" t="s">
        <v>3260</v>
      </c>
      <c r="H489" s="8" t="n">
        <v>10.5</v>
      </c>
      <c r="I489" s="8" t="n">
        <v>8.2</v>
      </c>
      <c r="J489" s="11" t="n">
        <v>5</v>
      </c>
    </row>
    <row r="490" customFormat="false" ht="15" hidden="false" customHeight="false" outlineLevel="0" collapsed="false">
      <c r="A490" s="4" t="s">
        <v>4413</v>
      </c>
      <c r="B490" s="6" t="n">
        <v>45925</v>
      </c>
      <c r="C490" s="4" t="s">
        <v>1371</v>
      </c>
      <c r="D490" s="4" t="s">
        <v>3917</v>
      </c>
      <c r="E490" s="4" t="s">
        <v>10</v>
      </c>
      <c r="F490" s="4" t="s">
        <v>3921</v>
      </c>
      <c r="G490" s="4" t="s">
        <v>3194</v>
      </c>
      <c r="H490" s="8" t="n">
        <v>8.4</v>
      </c>
      <c r="I490" s="8" t="n">
        <v>83.3</v>
      </c>
      <c r="J490" s="11" t="n">
        <v>3</v>
      </c>
    </row>
    <row r="491" customFormat="false" ht="15" hidden="false" customHeight="false" outlineLevel="0" collapsed="false">
      <c r="A491" s="4" t="s">
        <v>4414</v>
      </c>
      <c r="B491" s="6" t="n">
        <v>46072</v>
      </c>
      <c r="C491" s="4" t="s">
        <v>851</v>
      </c>
      <c r="D491" s="4" t="s">
        <v>3926</v>
      </c>
      <c r="E491" s="4" t="s">
        <v>22</v>
      </c>
      <c r="F491" s="4" t="s">
        <v>3918</v>
      </c>
      <c r="G491" s="4" t="s">
        <v>3064</v>
      </c>
      <c r="H491" s="8" t="n">
        <v>5.7</v>
      </c>
      <c r="I491" s="8" t="n">
        <v>37.5</v>
      </c>
      <c r="J491" s="11" t="n">
        <v>3</v>
      </c>
    </row>
    <row r="492" customFormat="false" ht="15" hidden="false" customHeight="false" outlineLevel="0" collapsed="false">
      <c r="A492" s="4" t="s">
        <v>4415</v>
      </c>
      <c r="B492" s="6" t="n">
        <v>46036</v>
      </c>
      <c r="C492" s="4" t="s">
        <v>1141</v>
      </c>
      <c r="D492" s="4" t="s">
        <v>3928</v>
      </c>
      <c r="E492" s="4" t="s">
        <v>16</v>
      </c>
      <c r="F492" s="4" t="s">
        <v>3929</v>
      </c>
      <c r="G492" s="4" t="s">
        <v>3188</v>
      </c>
      <c r="H492" s="8" t="n">
        <v>7.5</v>
      </c>
      <c r="I492" s="8" t="n">
        <v>42.5</v>
      </c>
      <c r="J492" s="11" t="n">
        <v>5</v>
      </c>
    </row>
    <row r="493" customFormat="false" ht="15" hidden="false" customHeight="false" outlineLevel="0" collapsed="false">
      <c r="A493" s="4" t="s">
        <v>4416</v>
      </c>
      <c r="B493" s="6" t="n">
        <v>45698</v>
      </c>
      <c r="C493" s="4" t="s">
        <v>1105</v>
      </c>
      <c r="D493" s="4" t="s">
        <v>3938</v>
      </c>
      <c r="E493" s="4" t="s">
        <v>28</v>
      </c>
      <c r="F493" s="4" t="s">
        <v>3921</v>
      </c>
      <c r="G493" s="4" t="s">
        <v>3028</v>
      </c>
      <c r="H493" s="8" t="n">
        <v>9.8</v>
      </c>
      <c r="I493" s="8" t="n">
        <v>59.2</v>
      </c>
      <c r="J493" s="11" t="n">
        <v>5</v>
      </c>
    </row>
    <row r="494" customFormat="false" ht="15" hidden="false" customHeight="false" outlineLevel="0" collapsed="false">
      <c r="A494" s="4" t="s">
        <v>4417</v>
      </c>
      <c r="B494" s="6" t="n">
        <v>45675</v>
      </c>
      <c r="C494" s="4" t="s">
        <v>1255</v>
      </c>
      <c r="D494" s="4" t="s">
        <v>3926</v>
      </c>
      <c r="E494" s="4" t="s">
        <v>28</v>
      </c>
      <c r="F494" s="4" t="s">
        <v>3929</v>
      </c>
      <c r="G494" s="4" t="s">
        <v>3400</v>
      </c>
      <c r="H494" s="8" t="n">
        <v>15.3</v>
      </c>
      <c r="I494" s="8" t="n">
        <v>225.4</v>
      </c>
      <c r="J494" s="11" t="n">
        <v>5</v>
      </c>
    </row>
    <row r="495" customFormat="false" ht="15" hidden="false" customHeight="false" outlineLevel="0" collapsed="false">
      <c r="A495" s="4" t="s">
        <v>4418</v>
      </c>
      <c r="B495" s="6" t="n">
        <v>45724</v>
      </c>
      <c r="C495" s="4" t="s">
        <v>525</v>
      </c>
      <c r="D495" s="4" t="s">
        <v>3920</v>
      </c>
      <c r="E495" s="4" t="s">
        <v>16</v>
      </c>
      <c r="F495" s="4" t="s">
        <v>3918</v>
      </c>
      <c r="G495" s="4" t="s">
        <v>3412</v>
      </c>
      <c r="H495" s="8" t="n">
        <v>1.2</v>
      </c>
      <c r="I495" s="8" t="n">
        <v>31.1</v>
      </c>
      <c r="J495" s="11" t="n">
        <v>4</v>
      </c>
    </row>
    <row r="496" customFormat="false" ht="15" hidden="false" customHeight="false" outlineLevel="0" collapsed="false">
      <c r="A496" s="4" t="s">
        <v>4419</v>
      </c>
      <c r="B496" s="6" t="n">
        <v>46199</v>
      </c>
      <c r="C496" s="4" t="s">
        <v>1221</v>
      </c>
      <c r="D496" s="4" t="s">
        <v>3928</v>
      </c>
      <c r="E496" s="4" t="s">
        <v>22</v>
      </c>
      <c r="F496" s="4" t="s">
        <v>3921</v>
      </c>
      <c r="G496" s="4" t="s">
        <v>3134</v>
      </c>
      <c r="H496" s="8" t="n">
        <v>15.1</v>
      </c>
      <c r="I496" s="8" t="n">
        <v>63.6</v>
      </c>
      <c r="J496" s="11" t="n">
        <v>2</v>
      </c>
    </row>
    <row r="497" customFormat="false" ht="15" hidden="false" customHeight="false" outlineLevel="0" collapsed="false">
      <c r="A497" s="4" t="s">
        <v>4420</v>
      </c>
      <c r="B497" s="6" t="n">
        <v>45912</v>
      </c>
      <c r="C497" s="4" t="s">
        <v>993</v>
      </c>
      <c r="D497" s="4" t="s">
        <v>3917</v>
      </c>
      <c r="E497" s="4" t="s">
        <v>28</v>
      </c>
      <c r="F497" s="4" t="s">
        <v>3923</v>
      </c>
      <c r="G497" s="4" t="s">
        <v>3194</v>
      </c>
      <c r="H497" s="8" t="n">
        <v>17.3</v>
      </c>
      <c r="I497" s="8" t="n">
        <v>46.7</v>
      </c>
      <c r="J497" s="11" t="n">
        <v>1</v>
      </c>
    </row>
    <row r="498" customFormat="false" ht="15" hidden="false" customHeight="false" outlineLevel="0" collapsed="false">
      <c r="A498" s="4" t="s">
        <v>4421</v>
      </c>
      <c r="B498" s="6" t="n">
        <v>45906</v>
      </c>
      <c r="C498" s="4" t="s">
        <v>623</v>
      </c>
      <c r="D498" s="4" t="s">
        <v>3928</v>
      </c>
      <c r="E498" s="4" t="s">
        <v>28</v>
      </c>
      <c r="F498" s="4" t="s">
        <v>3929</v>
      </c>
      <c r="G498" s="4" t="s">
        <v>3074</v>
      </c>
      <c r="H498" s="8" t="n">
        <v>16.7</v>
      </c>
      <c r="I498" s="8" t="n">
        <v>149.3</v>
      </c>
      <c r="J498" s="11" t="n">
        <v>3</v>
      </c>
    </row>
    <row r="499" customFormat="false" ht="15" hidden="false" customHeight="false" outlineLevel="0" collapsed="false">
      <c r="A499" s="4" t="s">
        <v>4422</v>
      </c>
      <c r="B499" s="6" t="n">
        <v>46075</v>
      </c>
      <c r="C499" s="4" t="s">
        <v>769</v>
      </c>
      <c r="D499" s="4" t="s">
        <v>3917</v>
      </c>
      <c r="E499" s="4" t="s">
        <v>16</v>
      </c>
      <c r="F499" s="4" t="s">
        <v>3929</v>
      </c>
      <c r="G499" s="4" t="s">
        <v>3009</v>
      </c>
      <c r="H499" s="8" t="n">
        <v>5.9</v>
      </c>
      <c r="I499" s="8" t="n">
        <v>101.9</v>
      </c>
      <c r="J499" s="11" t="n">
        <v>2</v>
      </c>
    </row>
    <row r="500" customFormat="false" ht="15" hidden="false" customHeight="false" outlineLevel="0" collapsed="false">
      <c r="A500" s="4" t="s">
        <v>4423</v>
      </c>
      <c r="B500" s="6" t="n">
        <v>45877</v>
      </c>
      <c r="C500" s="4" t="s">
        <v>571</v>
      </c>
      <c r="D500" s="4" t="s">
        <v>3920</v>
      </c>
      <c r="E500" s="4" t="s">
        <v>22</v>
      </c>
      <c r="F500" s="4" t="s">
        <v>3923</v>
      </c>
      <c r="G500" s="4" t="s">
        <v>3492</v>
      </c>
      <c r="H500" s="8" t="n">
        <v>18.7</v>
      </c>
      <c r="I500" s="8" t="n">
        <v>21.6</v>
      </c>
      <c r="J500" s="11" t="n">
        <v>1</v>
      </c>
    </row>
    <row r="501" customFormat="false" ht="15" hidden="false" customHeight="false" outlineLevel="0" collapsed="false">
      <c r="A501" s="4" t="s">
        <v>4424</v>
      </c>
      <c r="B501" s="6" t="n">
        <v>46057</v>
      </c>
      <c r="C501" s="4" t="s">
        <v>625</v>
      </c>
      <c r="D501" s="4" t="s">
        <v>3920</v>
      </c>
      <c r="E501" s="4" t="s">
        <v>28</v>
      </c>
      <c r="F501" s="4" t="s">
        <v>3929</v>
      </c>
      <c r="G501" s="4" t="s">
        <v>3486</v>
      </c>
      <c r="H501" s="8" t="n">
        <v>18</v>
      </c>
      <c r="I501" s="8" t="n">
        <v>182.3</v>
      </c>
      <c r="J501" s="11" t="n">
        <v>1</v>
      </c>
    </row>
    <row r="502" customFormat="false" ht="15" hidden="false" customHeight="false" outlineLevel="0" collapsed="false">
      <c r="A502" s="4" t="s">
        <v>4425</v>
      </c>
      <c r="B502" s="6" t="n">
        <v>45892</v>
      </c>
      <c r="C502" s="4" t="s">
        <v>1203</v>
      </c>
      <c r="D502" s="4" t="s">
        <v>3920</v>
      </c>
      <c r="E502" s="4" t="s">
        <v>16</v>
      </c>
      <c r="F502" s="4" t="s">
        <v>3923</v>
      </c>
      <c r="G502" s="4" t="s">
        <v>3176</v>
      </c>
      <c r="H502" s="8" t="n">
        <v>13.1</v>
      </c>
      <c r="I502" s="8" t="n">
        <v>46.5</v>
      </c>
      <c r="J502" s="11" t="n">
        <v>2</v>
      </c>
    </row>
    <row r="503" customFormat="false" ht="15" hidden="false" customHeight="false" outlineLevel="0" collapsed="false">
      <c r="A503" s="4" t="s">
        <v>4426</v>
      </c>
      <c r="B503" s="6" t="n">
        <v>46139</v>
      </c>
      <c r="C503" s="4" t="s">
        <v>851</v>
      </c>
      <c r="D503" s="4" t="s">
        <v>3920</v>
      </c>
      <c r="E503" s="4" t="s">
        <v>10</v>
      </c>
      <c r="F503" s="4" t="s">
        <v>3921</v>
      </c>
      <c r="G503" s="4" t="s">
        <v>3212</v>
      </c>
      <c r="H503" s="8" t="n">
        <v>19</v>
      </c>
      <c r="I503" s="8" t="n">
        <v>207.4</v>
      </c>
      <c r="J503" s="11" t="n">
        <v>5</v>
      </c>
    </row>
    <row r="504" customFormat="false" ht="15" hidden="false" customHeight="false" outlineLevel="0" collapsed="false">
      <c r="A504" s="4" t="s">
        <v>4427</v>
      </c>
      <c r="B504" s="6" t="n">
        <v>45769</v>
      </c>
      <c r="C504" s="4" t="s">
        <v>841</v>
      </c>
      <c r="D504" s="4" t="s">
        <v>3917</v>
      </c>
      <c r="E504" s="4" t="s">
        <v>10</v>
      </c>
      <c r="F504" s="4" t="s">
        <v>3918</v>
      </c>
      <c r="G504" s="4" t="s">
        <v>3286</v>
      </c>
      <c r="H504" s="8" t="n">
        <v>16.8</v>
      </c>
      <c r="I504" s="8" t="n">
        <v>125.5</v>
      </c>
      <c r="J504" s="11" t="n">
        <v>3</v>
      </c>
    </row>
    <row r="505" customFormat="false" ht="15" hidden="false" customHeight="false" outlineLevel="0" collapsed="false">
      <c r="A505" s="4" t="s">
        <v>4428</v>
      </c>
      <c r="B505" s="6" t="n">
        <v>46134</v>
      </c>
      <c r="C505" s="4" t="s">
        <v>1089</v>
      </c>
      <c r="D505" s="4" t="s">
        <v>3928</v>
      </c>
      <c r="E505" s="4" t="s">
        <v>22</v>
      </c>
      <c r="F505" s="4" t="s">
        <v>3918</v>
      </c>
      <c r="G505" s="4" t="s">
        <v>3346</v>
      </c>
      <c r="H505" s="8" t="n">
        <v>16.5</v>
      </c>
      <c r="I505" s="8" t="n">
        <v>10.9</v>
      </c>
      <c r="J505" s="11" t="n">
        <v>1</v>
      </c>
    </row>
    <row r="506" customFormat="false" ht="15" hidden="false" customHeight="false" outlineLevel="0" collapsed="false">
      <c r="A506" s="4" t="s">
        <v>4429</v>
      </c>
      <c r="B506" s="6" t="n">
        <v>45867</v>
      </c>
      <c r="C506" s="4" t="s">
        <v>1403</v>
      </c>
      <c r="D506" s="4" t="s">
        <v>3917</v>
      </c>
      <c r="E506" s="4" t="s">
        <v>22</v>
      </c>
      <c r="F506" s="4" t="s">
        <v>3918</v>
      </c>
      <c r="G506" s="4" t="s">
        <v>3108</v>
      </c>
      <c r="H506" s="8" t="n">
        <v>23.3</v>
      </c>
      <c r="I506" s="8" t="n">
        <v>198.1</v>
      </c>
      <c r="J506" s="11" t="n">
        <v>2</v>
      </c>
    </row>
    <row r="507" customFormat="false" ht="15" hidden="false" customHeight="false" outlineLevel="0" collapsed="false">
      <c r="A507" s="4" t="s">
        <v>4430</v>
      </c>
      <c r="B507" s="6" t="n">
        <v>45783</v>
      </c>
      <c r="C507" s="4" t="s">
        <v>869</v>
      </c>
      <c r="D507" s="4" t="s">
        <v>3917</v>
      </c>
      <c r="E507" s="4" t="s">
        <v>22</v>
      </c>
      <c r="F507" s="4" t="s">
        <v>3929</v>
      </c>
      <c r="G507" s="4" t="s">
        <v>3414</v>
      </c>
      <c r="H507" s="8" t="n">
        <v>3.5</v>
      </c>
      <c r="I507" s="8" t="n">
        <v>26.3</v>
      </c>
      <c r="J507" s="11" t="n">
        <v>1</v>
      </c>
    </row>
    <row r="508" customFormat="false" ht="15" hidden="false" customHeight="false" outlineLevel="0" collapsed="false">
      <c r="A508" s="4" t="s">
        <v>4431</v>
      </c>
      <c r="B508" s="6" t="n">
        <v>45784</v>
      </c>
      <c r="C508" s="4" t="s">
        <v>1021</v>
      </c>
      <c r="D508" s="4" t="s">
        <v>3928</v>
      </c>
      <c r="E508" s="4" t="s">
        <v>28</v>
      </c>
      <c r="F508" s="4" t="s">
        <v>3923</v>
      </c>
      <c r="G508" s="4" t="s">
        <v>3312</v>
      </c>
      <c r="H508" s="8" t="n">
        <v>23.4</v>
      </c>
      <c r="I508" s="8" t="n">
        <v>59.4</v>
      </c>
      <c r="J508" s="11" t="n">
        <v>1</v>
      </c>
    </row>
    <row r="509" customFormat="false" ht="15" hidden="false" customHeight="false" outlineLevel="0" collapsed="false">
      <c r="A509" s="4" t="s">
        <v>4432</v>
      </c>
      <c r="B509" s="6" t="n">
        <v>45879</v>
      </c>
      <c r="C509" s="4" t="s">
        <v>601</v>
      </c>
      <c r="D509" s="4" t="s">
        <v>3938</v>
      </c>
      <c r="E509" s="4" t="s">
        <v>16</v>
      </c>
      <c r="F509" s="4" t="s">
        <v>3923</v>
      </c>
      <c r="G509" s="4" t="s">
        <v>3330</v>
      </c>
      <c r="H509" s="8" t="n">
        <v>7.8</v>
      </c>
      <c r="I509" s="8" t="n">
        <v>55.7</v>
      </c>
      <c r="J509" s="11" t="n">
        <v>4</v>
      </c>
    </row>
    <row r="510" customFormat="false" ht="15" hidden="false" customHeight="false" outlineLevel="0" collapsed="false">
      <c r="A510" s="4" t="s">
        <v>4433</v>
      </c>
      <c r="B510" s="6" t="n">
        <v>45743</v>
      </c>
      <c r="C510" s="4" t="s">
        <v>1405</v>
      </c>
      <c r="D510" s="4" t="s">
        <v>3926</v>
      </c>
      <c r="E510" s="4" t="s">
        <v>10</v>
      </c>
      <c r="F510" s="4" t="s">
        <v>3921</v>
      </c>
      <c r="G510" s="4" t="s">
        <v>3390</v>
      </c>
      <c r="H510" s="8" t="n">
        <v>12.2</v>
      </c>
      <c r="I510" s="8" t="n">
        <v>182.5</v>
      </c>
      <c r="J510" s="11" t="n">
        <v>3</v>
      </c>
    </row>
    <row r="511" customFormat="false" ht="15" hidden="false" customHeight="false" outlineLevel="0" collapsed="false">
      <c r="A511" s="4" t="s">
        <v>4434</v>
      </c>
      <c r="B511" s="6" t="n">
        <v>46130</v>
      </c>
      <c r="C511" s="4" t="s">
        <v>1447</v>
      </c>
      <c r="D511" s="4" t="s">
        <v>3926</v>
      </c>
      <c r="E511" s="4" t="s">
        <v>28</v>
      </c>
      <c r="F511" s="4" t="s">
        <v>3921</v>
      </c>
      <c r="G511" s="4" t="s">
        <v>3440</v>
      </c>
      <c r="H511" s="8" t="n">
        <v>9.8</v>
      </c>
      <c r="I511" s="8" t="n">
        <v>133.5</v>
      </c>
      <c r="J511" s="11" t="n">
        <v>5</v>
      </c>
    </row>
    <row r="512" customFormat="false" ht="15" hidden="false" customHeight="false" outlineLevel="0" collapsed="false">
      <c r="A512" s="4" t="s">
        <v>4435</v>
      </c>
      <c r="B512" s="6" t="n">
        <v>45847</v>
      </c>
      <c r="C512" s="4" t="s">
        <v>677</v>
      </c>
      <c r="D512" s="4" t="s">
        <v>3928</v>
      </c>
      <c r="E512" s="4" t="s">
        <v>10</v>
      </c>
      <c r="F512" s="4" t="s">
        <v>3921</v>
      </c>
      <c r="G512" s="4" t="s">
        <v>3416</v>
      </c>
      <c r="H512" s="8" t="n">
        <v>0.8</v>
      </c>
      <c r="I512" s="8" t="n">
        <v>27.4</v>
      </c>
      <c r="J512" s="11" t="n">
        <v>4</v>
      </c>
    </row>
    <row r="513" customFormat="false" ht="15" hidden="false" customHeight="false" outlineLevel="0" collapsed="false">
      <c r="A513" s="4" t="s">
        <v>4436</v>
      </c>
      <c r="B513" s="6" t="n">
        <v>46194</v>
      </c>
      <c r="C513" s="4" t="s">
        <v>1411</v>
      </c>
      <c r="D513" s="4" t="s">
        <v>3928</v>
      </c>
      <c r="E513" s="4" t="s">
        <v>10</v>
      </c>
      <c r="F513" s="4" t="s">
        <v>3918</v>
      </c>
      <c r="G513" s="4" t="s">
        <v>3126</v>
      </c>
      <c r="H513" s="8" t="n">
        <v>16.6</v>
      </c>
      <c r="I513" s="8" t="n">
        <v>81.5</v>
      </c>
      <c r="J513" s="11" t="n">
        <v>4</v>
      </c>
    </row>
    <row r="514" customFormat="false" ht="15" hidden="false" customHeight="false" outlineLevel="0" collapsed="false">
      <c r="A514" s="4" t="s">
        <v>4437</v>
      </c>
      <c r="B514" s="6" t="n">
        <v>45780</v>
      </c>
      <c r="C514" s="4" t="s">
        <v>1447</v>
      </c>
      <c r="D514" s="4" t="s">
        <v>3938</v>
      </c>
      <c r="E514" s="4" t="s">
        <v>22</v>
      </c>
      <c r="F514" s="4" t="s">
        <v>3929</v>
      </c>
      <c r="G514" s="4" t="s">
        <v>3470</v>
      </c>
      <c r="H514" s="8" t="n">
        <v>0.2</v>
      </c>
      <c r="I514" s="8" t="n">
        <v>149.8</v>
      </c>
      <c r="J514" s="11" t="n">
        <v>2</v>
      </c>
    </row>
    <row r="515" customFormat="false" ht="15" hidden="false" customHeight="false" outlineLevel="0" collapsed="false">
      <c r="A515" s="4" t="s">
        <v>4438</v>
      </c>
      <c r="B515" s="6" t="n">
        <v>46012</v>
      </c>
      <c r="C515" s="4" t="s">
        <v>601</v>
      </c>
      <c r="D515" s="4" t="s">
        <v>3928</v>
      </c>
      <c r="E515" s="4" t="s">
        <v>28</v>
      </c>
      <c r="F515" s="4" t="s">
        <v>3929</v>
      </c>
      <c r="G515" s="4" t="s">
        <v>3040</v>
      </c>
      <c r="H515" s="8" t="n">
        <v>7.5</v>
      </c>
      <c r="I515" s="8" t="n">
        <v>18.9</v>
      </c>
      <c r="J515" s="11" t="n">
        <v>1</v>
      </c>
    </row>
    <row r="516" customFormat="false" ht="15" hidden="false" customHeight="false" outlineLevel="0" collapsed="false">
      <c r="A516" s="4" t="s">
        <v>4439</v>
      </c>
      <c r="B516" s="6" t="n">
        <v>45957</v>
      </c>
      <c r="C516" s="4" t="s">
        <v>695</v>
      </c>
      <c r="D516" s="4" t="s">
        <v>3917</v>
      </c>
      <c r="E516" s="4" t="s">
        <v>22</v>
      </c>
      <c r="F516" s="4" t="s">
        <v>3921</v>
      </c>
      <c r="G516" s="4" t="s">
        <v>3204</v>
      </c>
      <c r="H516" s="8" t="n">
        <v>12.8</v>
      </c>
      <c r="I516" s="8" t="n">
        <v>83.6</v>
      </c>
      <c r="J516" s="11" t="n">
        <v>1</v>
      </c>
    </row>
    <row r="517" customFormat="false" ht="15" hidden="false" customHeight="false" outlineLevel="0" collapsed="false">
      <c r="A517" s="4" t="s">
        <v>4440</v>
      </c>
      <c r="B517" s="6" t="n">
        <v>45857</v>
      </c>
      <c r="C517" s="4" t="s">
        <v>639</v>
      </c>
      <c r="D517" s="4" t="s">
        <v>3917</v>
      </c>
      <c r="E517" s="4" t="s">
        <v>16</v>
      </c>
      <c r="F517" s="4" t="s">
        <v>3923</v>
      </c>
      <c r="G517" s="4" t="s">
        <v>3484</v>
      </c>
      <c r="H517" s="8" t="n">
        <v>5.3</v>
      </c>
      <c r="I517" s="8" t="n">
        <v>145.3</v>
      </c>
      <c r="J517" s="11" t="n">
        <v>2</v>
      </c>
    </row>
    <row r="518" customFormat="false" ht="15" hidden="false" customHeight="false" outlineLevel="0" collapsed="false">
      <c r="A518" s="4" t="s">
        <v>4441</v>
      </c>
      <c r="B518" s="6" t="n">
        <v>46120</v>
      </c>
      <c r="C518" s="4" t="s">
        <v>745</v>
      </c>
      <c r="D518" s="4" t="s">
        <v>3920</v>
      </c>
      <c r="E518" s="4" t="s">
        <v>10</v>
      </c>
      <c r="F518" s="4" t="s">
        <v>3918</v>
      </c>
      <c r="G518" s="4" t="s">
        <v>3174</v>
      </c>
      <c r="H518" s="8" t="n">
        <v>10.1</v>
      </c>
      <c r="I518" s="8" t="n">
        <v>23.9</v>
      </c>
      <c r="J518" s="11" t="n">
        <v>1</v>
      </c>
    </row>
    <row r="519" customFormat="false" ht="15" hidden="false" customHeight="false" outlineLevel="0" collapsed="false">
      <c r="A519" s="4" t="s">
        <v>4442</v>
      </c>
      <c r="B519" s="6" t="n">
        <v>46190</v>
      </c>
      <c r="C519" s="4" t="s">
        <v>1013</v>
      </c>
      <c r="D519" s="4" t="s">
        <v>3938</v>
      </c>
      <c r="E519" s="4" t="s">
        <v>22</v>
      </c>
      <c r="F519" s="4" t="s">
        <v>3918</v>
      </c>
      <c r="G519" s="4" t="s">
        <v>3482</v>
      </c>
      <c r="H519" s="8" t="n">
        <v>18</v>
      </c>
      <c r="I519" s="8" t="n">
        <v>199.4</v>
      </c>
      <c r="J519" s="11" t="n">
        <v>1</v>
      </c>
    </row>
    <row r="520" customFormat="false" ht="15" hidden="false" customHeight="false" outlineLevel="0" collapsed="false">
      <c r="A520" s="4" t="s">
        <v>4443</v>
      </c>
      <c r="B520" s="6" t="n">
        <v>46162</v>
      </c>
      <c r="C520" s="4" t="s">
        <v>1423</v>
      </c>
      <c r="D520" s="4" t="s">
        <v>3938</v>
      </c>
      <c r="E520" s="4" t="s">
        <v>22</v>
      </c>
      <c r="F520" s="4" t="s">
        <v>3918</v>
      </c>
      <c r="G520" s="4" t="s">
        <v>3220</v>
      </c>
      <c r="H520" s="8" t="n">
        <v>10.5</v>
      </c>
      <c r="I520" s="8" t="n">
        <v>190.2</v>
      </c>
      <c r="J520" s="11" t="n">
        <v>1</v>
      </c>
    </row>
    <row r="521" customFormat="false" ht="15" hidden="false" customHeight="false" outlineLevel="0" collapsed="false">
      <c r="A521" s="4" t="s">
        <v>4444</v>
      </c>
      <c r="B521" s="6" t="n">
        <v>45789</v>
      </c>
      <c r="C521" s="4" t="s">
        <v>901</v>
      </c>
      <c r="D521" s="4" t="s">
        <v>3928</v>
      </c>
      <c r="E521" s="4" t="s">
        <v>10</v>
      </c>
      <c r="F521" s="4" t="s">
        <v>3921</v>
      </c>
      <c r="G521" s="4" t="s">
        <v>3482</v>
      </c>
      <c r="H521" s="8" t="n">
        <v>1.1</v>
      </c>
      <c r="I521" s="8" t="n">
        <v>47.9</v>
      </c>
      <c r="J521" s="11" t="n">
        <v>1</v>
      </c>
    </row>
    <row r="522" customFormat="false" ht="15" hidden="false" customHeight="false" outlineLevel="0" collapsed="false">
      <c r="A522" s="4" t="s">
        <v>4445</v>
      </c>
      <c r="B522" s="6" t="n">
        <v>46057</v>
      </c>
      <c r="C522" s="4" t="s">
        <v>871</v>
      </c>
      <c r="D522" s="4" t="s">
        <v>3926</v>
      </c>
      <c r="E522" s="4" t="s">
        <v>16</v>
      </c>
      <c r="F522" s="4" t="s">
        <v>3929</v>
      </c>
      <c r="G522" s="4" t="s">
        <v>3046</v>
      </c>
      <c r="H522" s="8" t="n">
        <v>19.7</v>
      </c>
      <c r="I522" s="8" t="n">
        <v>183.5</v>
      </c>
      <c r="J522" s="11" t="n">
        <v>4</v>
      </c>
    </row>
    <row r="523" customFormat="false" ht="15" hidden="false" customHeight="false" outlineLevel="0" collapsed="false">
      <c r="A523" s="4" t="s">
        <v>4446</v>
      </c>
      <c r="B523" s="6" t="n">
        <v>45732</v>
      </c>
      <c r="C523" s="4" t="s">
        <v>793</v>
      </c>
      <c r="D523" s="4" t="s">
        <v>3917</v>
      </c>
      <c r="E523" s="4" t="s">
        <v>16</v>
      </c>
      <c r="F523" s="4" t="s">
        <v>3923</v>
      </c>
      <c r="G523" s="4" t="s">
        <v>3052</v>
      </c>
      <c r="H523" s="8" t="n">
        <v>22.9</v>
      </c>
      <c r="I523" s="8" t="n">
        <v>184.7</v>
      </c>
      <c r="J523" s="11" t="n">
        <v>3</v>
      </c>
    </row>
    <row r="524" customFormat="false" ht="15" hidden="false" customHeight="false" outlineLevel="0" collapsed="false">
      <c r="A524" s="4" t="s">
        <v>4447</v>
      </c>
      <c r="B524" s="6" t="n">
        <v>45711</v>
      </c>
      <c r="C524" s="4" t="s">
        <v>1301</v>
      </c>
      <c r="D524" s="4" t="s">
        <v>3938</v>
      </c>
      <c r="E524" s="4" t="s">
        <v>22</v>
      </c>
      <c r="F524" s="4" t="s">
        <v>3929</v>
      </c>
      <c r="G524" s="4" t="s">
        <v>3262</v>
      </c>
      <c r="H524" s="8" t="n">
        <v>13.3</v>
      </c>
      <c r="I524" s="8" t="n">
        <v>105.8</v>
      </c>
      <c r="J524" s="11" t="n">
        <v>1</v>
      </c>
    </row>
    <row r="525" customFormat="false" ht="15" hidden="false" customHeight="false" outlineLevel="0" collapsed="false">
      <c r="A525" s="4" t="s">
        <v>4448</v>
      </c>
      <c r="B525" s="6" t="n">
        <v>46092</v>
      </c>
      <c r="C525" s="4" t="s">
        <v>1245</v>
      </c>
      <c r="D525" s="4" t="s">
        <v>3926</v>
      </c>
      <c r="E525" s="4" t="s">
        <v>28</v>
      </c>
      <c r="F525" s="4" t="s">
        <v>3923</v>
      </c>
      <c r="G525" s="4" t="s">
        <v>3330</v>
      </c>
      <c r="H525" s="8" t="n">
        <v>21.7</v>
      </c>
      <c r="I525" s="8" t="n">
        <v>149.8</v>
      </c>
      <c r="J525" s="11" t="n">
        <v>5</v>
      </c>
    </row>
    <row r="526" customFormat="false" ht="15" hidden="false" customHeight="false" outlineLevel="0" collapsed="false">
      <c r="A526" s="4" t="s">
        <v>4449</v>
      </c>
      <c r="B526" s="6" t="n">
        <v>45699</v>
      </c>
      <c r="C526" s="4" t="s">
        <v>583</v>
      </c>
      <c r="D526" s="4" t="s">
        <v>3917</v>
      </c>
      <c r="E526" s="4" t="s">
        <v>22</v>
      </c>
      <c r="F526" s="4" t="s">
        <v>3929</v>
      </c>
      <c r="G526" s="4" t="s">
        <v>3156</v>
      </c>
      <c r="H526" s="8" t="n">
        <v>21.5</v>
      </c>
      <c r="I526" s="8" t="n">
        <v>3.2</v>
      </c>
      <c r="J526" s="11" t="n">
        <v>5</v>
      </c>
    </row>
    <row r="527" customFormat="false" ht="15" hidden="false" customHeight="false" outlineLevel="0" collapsed="false">
      <c r="A527" s="4" t="s">
        <v>4450</v>
      </c>
      <c r="B527" s="6" t="n">
        <v>46008</v>
      </c>
      <c r="C527" s="4" t="s">
        <v>769</v>
      </c>
      <c r="D527" s="4" t="s">
        <v>3917</v>
      </c>
      <c r="E527" s="4" t="s">
        <v>28</v>
      </c>
      <c r="F527" s="4" t="s">
        <v>3918</v>
      </c>
      <c r="G527" s="4" t="s">
        <v>3246</v>
      </c>
      <c r="H527" s="8" t="n">
        <v>20.7</v>
      </c>
      <c r="I527" s="8" t="n">
        <v>219.2</v>
      </c>
      <c r="J527" s="11" t="n">
        <v>5</v>
      </c>
    </row>
    <row r="528" customFormat="false" ht="15" hidden="false" customHeight="false" outlineLevel="0" collapsed="false">
      <c r="A528" s="4" t="s">
        <v>4451</v>
      </c>
      <c r="B528" s="6" t="n">
        <v>45705</v>
      </c>
      <c r="C528" s="4" t="s">
        <v>681</v>
      </c>
      <c r="D528" s="4" t="s">
        <v>3917</v>
      </c>
      <c r="E528" s="4" t="s">
        <v>16</v>
      </c>
      <c r="F528" s="4" t="s">
        <v>3923</v>
      </c>
      <c r="G528" s="4" t="s">
        <v>3332</v>
      </c>
      <c r="H528" s="8" t="n">
        <v>9</v>
      </c>
      <c r="I528" s="8" t="n">
        <v>174.3</v>
      </c>
      <c r="J528" s="11" t="n">
        <v>1</v>
      </c>
    </row>
    <row r="529" customFormat="false" ht="15" hidden="false" customHeight="false" outlineLevel="0" collapsed="false">
      <c r="A529" s="4" t="s">
        <v>4452</v>
      </c>
      <c r="B529" s="6" t="n">
        <v>46120</v>
      </c>
      <c r="C529" s="4" t="s">
        <v>1171</v>
      </c>
      <c r="D529" s="4" t="s">
        <v>3928</v>
      </c>
      <c r="E529" s="4" t="s">
        <v>10</v>
      </c>
      <c r="F529" s="4" t="s">
        <v>3929</v>
      </c>
      <c r="G529" s="4" t="s">
        <v>3312</v>
      </c>
      <c r="H529" s="8" t="n">
        <v>19.8</v>
      </c>
      <c r="I529" s="8" t="n">
        <v>122.8</v>
      </c>
      <c r="J529" s="11" t="n">
        <v>5</v>
      </c>
    </row>
    <row r="530" customFormat="false" ht="15" hidden="false" customHeight="false" outlineLevel="0" collapsed="false">
      <c r="A530" s="4" t="s">
        <v>4453</v>
      </c>
      <c r="B530" s="6" t="n">
        <v>45950</v>
      </c>
      <c r="C530" s="4" t="s">
        <v>1051</v>
      </c>
      <c r="D530" s="4" t="s">
        <v>3917</v>
      </c>
      <c r="E530" s="4" t="s">
        <v>10</v>
      </c>
      <c r="F530" s="4" t="s">
        <v>3929</v>
      </c>
      <c r="G530" s="4" t="s">
        <v>3480</v>
      </c>
      <c r="H530" s="8" t="n">
        <v>0.5</v>
      </c>
      <c r="I530" s="8" t="n">
        <v>238.9</v>
      </c>
      <c r="J530" s="11" t="n">
        <v>3</v>
      </c>
    </row>
    <row r="531" customFormat="false" ht="15" hidden="false" customHeight="false" outlineLevel="0" collapsed="false">
      <c r="A531" s="4" t="s">
        <v>4454</v>
      </c>
      <c r="B531" s="6" t="n">
        <v>46088</v>
      </c>
      <c r="C531" s="4" t="s">
        <v>1249</v>
      </c>
      <c r="D531" s="4" t="s">
        <v>3926</v>
      </c>
      <c r="E531" s="4" t="s">
        <v>16</v>
      </c>
      <c r="F531" s="4" t="s">
        <v>3923</v>
      </c>
      <c r="G531" s="4" t="s">
        <v>3294</v>
      </c>
      <c r="H531" s="8" t="n">
        <v>19.4</v>
      </c>
      <c r="I531" s="8" t="n">
        <v>209</v>
      </c>
      <c r="J531" s="11" t="n">
        <v>3</v>
      </c>
    </row>
    <row r="532" customFormat="false" ht="15" hidden="false" customHeight="false" outlineLevel="0" collapsed="false">
      <c r="A532" s="4" t="s">
        <v>4455</v>
      </c>
      <c r="B532" s="6" t="n">
        <v>46192</v>
      </c>
      <c r="C532" s="4" t="s">
        <v>767</v>
      </c>
      <c r="D532" s="4" t="s">
        <v>3917</v>
      </c>
      <c r="E532" s="4" t="s">
        <v>28</v>
      </c>
      <c r="F532" s="4" t="s">
        <v>3921</v>
      </c>
      <c r="G532" s="4" t="s">
        <v>3276</v>
      </c>
      <c r="H532" s="8" t="n">
        <v>18.8</v>
      </c>
      <c r="I532" s="8" t="n">
        <v>139.9</v>
      </c>
      <c r="J532" s="11" t="n">
        <v>5</v>
      </c>
    </row>
    <row r="533" customFormat="false" ht="15" hidden="false" customHeight="false" outlineLevel="0" collapsed="false">
      <c r="A533" s="4" t="s">
        <v>4456</v>
      </c>
      <c r="B533" s="6" t="n">
        <v>45996</v>
      </c>
      <c r="C533" s="4" t="s">
        <v>1043</v>
      </c>
      <c r="D533" s="4" t="s">
        <v>3928</v>
      </c>
      <c r="E533" s="4" t="s">
        <v>16</v>
      </c>
      <c r="F533" s="4" t="s">
        <v>3918</v>
      </c>
      <c r="G533" s="4" t="s">
        <v>3152</v>
      </c>
      <c r="H533" s="8" t="n">
        <v>0.6</v>
      </c>
      <c r="I533" s="8" t="n">
        <v>121.1</v>
      </c>
      <c r="J533" s="11" t="n">
        <v>3</v>
      </c>
    </row>
    <row r="534" customFormat="false" ht="15" hidden="false" customHeight="false" outlineLevel="0" collapsed="false">
      <c r="A534" s="4" t="s">
        <v>4457</v>
      </c>
      <c r="B534" s="6" t="n">
        <v>45852</v>
      </c>
      <c r="C534" s="4" t="s">
        <v>575</v>
      </c>
      <c r="D534" s="4" t="s">
        <v>3917</v>
      </c>
      <c r="E534" s="4" t="s">
        <v>16</v>
      </c>
      <c r="F534" s="4" t="s">
        <v>3918</v>
      </c>
      <c r="G534" s="4" t="s">
        <v>3430</v>
      </c>
      <c r="H534" s="8" t="n">
        <v>18.8</v>
      </c>
      <c r="I534" s="8" t="n">
        <v>197</v>
      </c>
      <c r="J534" s="11" t="n">
        <v>3</v>
      </c>
    </row>
    <row r="535" customFormat="false" ht="15" hidden="false" customHeight="false" outlineLevel="0" collapsed="false">
      <c r="A535" s="4" t="s">
        <v>4458</v>
      </c>
      <c r="B535" s="6" t="n">
        <v>46071</v>
      </c>
      <c r="C535" s="4" t="s">
        <v>1041</v>
      </c>
      <c r="D535" s="4" t="s">
        <v>3926</v>
      </c>
      <c r="E535" s="4" t="s">
        <v>16</v>
      </c>
      <c r="F535" s="4" t="s">
        <v>3923</v>
      </c>
      <c r="G535" s="4" t="s">
        <v>3492</v>
      </c>
      <c r="H535" s="8" t="n">
        <v>22.5</v>
      </c>
      <c r="I535" s="8" t="n">
        <v>99.1</v>
      </c>
      <c r="J535" s="11" t="n">
        <v>1</v>
      </c>
    </row>
    <row r="536" customFormat="false" ht="15" hidden="false" customHeight="false" outlineLevel="0" collapsed="false">
      <c r="A536" s="4" t="s">
        <v>4459</v>
      </c>
      <c r="B536" s="6" t="n">
        <v>46065</v>
      </c>
      <c r="C536" s="4" t="s">
        <v>1119</v>
      </c>
      <c r="D536" s="4" t="s">
        <v>3928</v>
      </c>
      <c r="E536" s="4" t="s">
        <v>28</v>
      </c>
      <c r="F536" s="4" t="s">
        <v>3918</v>
      </c>
      <c r="G536" s="4" t="s">
        <v>3236</v>
      </c>
      <c r="H536" s="8" t="n">
        <v>18.4</v>
      </c>
      <c r="I536" s="8" t="n">
        <v>233.4</v>
      </c>
      <c r="J536" s="11" t="n">
        <v>1</v>
      </c>
    </row>
    <row r="537" customFormat="false" ht="15" hidden="false" customHeight="false" outlineLevel="0" collapsed="false">
      <c r="A537" s="4" t="s">
        <v>4460</v>
      </c>
      <c r="B537" s="6" t="n">
        <v>45879</v>
      </c>
      <c r="C537" s="4" t="s">
        <v>781</v>
      </c>
      <c r="D537" s="4" t="s">
        <v>3926</v>
      </c>
      <c r="E537" s="4" t="s">
        <v>28</v>
      </c>
      <c r="F537" s="4" t="s">
        <v>3918</v>
      </c>
      <c r="G537" s="4" t="s">
        <v>3484</v>
      </c>
      <c r="H537" s="8" t="n">
        <v>23.9</v>
      </c>
      <c r="I537" s="8" t="n">
        <v>56.3</v>
      </c>
      <c r="J537" s="11" t="n">
        <v>5</v>
      </c>
    </row>
    <row r="538" customFormat="false" ht="15" hidden="false" customHeight="false" outlineLevel="0" collapsed="false">
      <c r="A538" s="4" t="s">
        <v>4461</v>
      </c>
      <c r="B538" s="6" t="n">
        <v>46028</v>
      </c>
      <c r="C538" s="4" t="s">
        <v>1129</v>
      </c>
      <c r="D538" s="4" t="s">
        <v>3917</v>
      </c>
      <c r="E538" s="4" t="s">
        <v>16</v>
      </c>
      <c r="F538" s="4" t="s">
        <v>3929</v>
      </c>
      <c r="G538" s="4" t="s">
        <v>3462</v>
      </c>
      <c r="H538" s="8" t="n">
        <v>22.8</v>
      </c>
      <c r="I538" s="8" t="n">
        <v>35</v>
      </c>
      <c r="J538" s="11" t="n">
        <v>5</v>
      </c>
    </row>
    <row r="539" customFormat="false" ht="15" hidden="false" customHeight="false" outlineLevel="0" collapsed="false">
      <c r="A539" s="4" t="s">
        <v>4462</v>
      </c>
      <c r="B539" s="6" t="n">
        <v>45661</v>
      </c>
      <c r="C539" s="4" t="s">
        <v>1383</v>
      </c>
      <c r="D539" s="4" t="s">
        <v>3920</v>
      </c>
      <c r="E539" s="4" t="s">
        <v>10</v>
      </c>
      <c r="F539" s="4" t="s">
        <v>3929</v>
      </c>
      <c r="G539" s="4" t="s">
        <v>3492</v>
      </c>
      <c r="H539" s="8" t="n">
        <v>9.8</v>
      </c>
      <c r="I539" s="8" t="n">
        <v>159.9</v>
      </c>
      <c r="J539" s="11" t="n">
        <v>2</v>
      </c>
    </row>
    <row r="540" customFormat="false" ht="15" hidden="false" customHeight="false" outlineLevel="0" collapsed="false">
      <c r="A540" s="4" t="s">
        <v>4463</v>
      </c>
      <c r="B540" s="6" t="n">
        <v>45688</v>
      </c>
      <c r="C540" s="4" t="s">
        <v>1027</v>
      </c>
      <c r="D540" s="4" t="s">
        <v>3917</v>
      </c>
      <c r="E540" s="4" t="s">
        <v>28</v>
      </c>
      <c r="F540" s="4" t="s">
        <v>3929</v>
      </c>
      <c r="G540" s="4" t="s">
        <v>3208</v>
      </c>
      <c r="H540" s="8" t="n">
        <v>14.2</v>
      </c>
      <c r="I540" s="8" t="n">
        <v>87.4</v>
      </c>
      <c r="J540" s="11" t="n">
        <v>2</v>
      </c>
    </row>
    <row r="541" customFormat="false" ht="15" hidden="false" customHeight="false" outlineLevel="0" collapsed="false">
      <c r="A541" s="4" t="s">
        <v>4464</v>
      </c>
      <c r="B541" s="6" t="n">
        <v>45753</v>
      </c>
      <c r="C541" s="4" t="s">
        <v>1267</v>
      </c>
      <c r="D541" s="4" t="s">
        <v>3926</v>
      </c>
      <c r="E541" s="4" t="s">
        <v>28</v>
      </c>
      <c r="F541" s="4" t="s">
        <v>3929</v>
      </c>
      <c r="G541" s="4" t="s">
        <v>3196</v>
      </c>
      <c r="H541" s="8" t="n">
        <v>13.8</v>
      </c>
      <c r="I541" s="8" t="n">
        <v>84</v>
      </c>
      <c r="J541" s="11" t="n">
        <v>1</v>
      </c>
    </row>
    <row r="542" customFormat="false" ht="15" hidden="false" customHeight="false" outlineLevel="0" collapsed="false">
      <c r="A542" s="4" t="s">
        <v>4465</v>
      </c>
      <c r="B542" s="6" t="n">
        <v>46151</v>
      </c>
      <c r="C542" s="4" t="s">
        <v>1293</v>
      </c>
      <c r="D542" s="4" t="s">
        <v>3938</v>
      </c>
      <c r="E542" s="4" t="s">
        <v>16</v>
      </c>
      <c r="F542" s="4" t="s">
        <v>3921</v>
      </c>
      <c r="G542" s="4" t="s">
        <v>3052</v>
      </c>
      <c r="H542" s="8" t="n">
        <v>16.2</v>
      </c>
      <c r="I542" s="8" t="n">
        <v>165.2</v>
      </c>
      <c r="J542" s="11" t="n">
        <v>2</v>
      </c>
    </row>
    <row r="543" customFormat="false" ht="15" hidden="false" customHeight="false" outlineLevel="0" collapsed="false">
      <c r="A543" s="4" t="s">
        <v>4466</v>
      </c>
      <c r="B543" s="6" t="n">
        <v>46002</v>
      </c>
      <c r="C543" s="4" t="s">
        <v>1409</v>
      </c>
      <c r="D543" s="4" t="s">
        <v>3928</v>
      </c>
      <c r="E543" s="4" t="s">
        <v>16</v>
      </c>
      <c r="F543" s="4" t="s">
        <v>3929</v>
      </c>
      <c r="G543" s="4" t="s">
        <v>3130</v>
      </c>
      <c r="H543" s="8" t="n">
        <v>20.3</v>
      </c>
      <c r="I543" s="8" t="n">
        <v>187</v>
      </c>
      <c r="J543" s="11" t="n">
        <v>4</v>
      </c>
    </row>
    <row r="544" customFormat="false" ht="15" hidden="false" customHeight="false" outlineLevel="0" collapsed="false">
      <c r="A544" s="4" t="s">
        <v>4467</v>
      </c>
      <c r="B544" s="6" t="n">
        <v>45976</v>
      </c>
      <c r="C544" s="4" t="s">
        <v>1335</v>
      </c>
      <c r="D544" s="4" t="s">
        <v>3926</v>
      </c>
      <c r="E544" s="4" t="s">
        <v>16</v>
      </c>
      <c r="F544" s="4" t="s">
        <v>3918</v>
      </c>
      <c r="G544" s="4" t="s">
        <v>3140</v>
      </c>
      <c r="H544" s="8" t="n">
        <v>15.1</v>
      </c>
      <c r="I544" s="8" t="n">
        <v>11.7</v>
      </c>
      <c r="J544" s="11" t="n">
        <v>1</v>
      </c>
    </row>
    <row r="545" customFormat="false" ht="15" hidden="false" customHeight="false" outlineLevel="0" collapsed="false">
      <c r="A545" s="4" t="s">
        <v>4468</v>
      </c>
      <c r="B545" s="6" t="n">
        <v>45887</v>
      </c>
      <c r="C545" s="4" t="s">
        <v>446</v>
      </c>
      <c r="D545" s="4" t="s">
        <v>3928</v>
      </c>
      <c r="E545" s="4" t="s">
        <v>16</v>
      </c>
      <c r="F545" s="4" t="s">
        <v>3923</v>
      </c>
      <c r="G545" s="4" t="s">
        <v>3342</v>
      </c>
      <c r="H545" s="8" t="n">
        <v>20.5</v>
      </c>
      <c r="I545" s="8" t="n">
        <v>105.4</v>
      </c>
      <c r="J545" s="11" t="n">
        <v>4</v>
      </c>
    </row>
    <row r="546" customFormat="false" ht="15" hidden="false" customHeight="false" outlineLevel="0" collapsed="false">
      <c r="A546" s="4" t="s">
        <v>4469</v>
      </c>
      <c r="B546" s="6" t="n">
        <v>45714</v>
      </c>
      <c r="C546" s="4" t="s">
        <v>583</v>
      </c>
      <c r="D546" s="4" t="s">
        <v>3938</v>
      </c>
      <c r="E546" s="4" t="s">
        <v>28</v>
      </c>
      <c r="F546" s="4" t="s">
        <v>3921</v>
      </c>
      <c r="G546" s="4" t="s">
        <v>3258</v>
      </c>
      <c r="H546" s="8" t="n">
        <v>4.9</v>
      </c>
      <c r="I546" s="8" t="n">
        <v>21.3</v>
      </c>
      <c r="J546" s="11" t="n">
        <v>2</v>
      </c>
    </row>
    <row r="547" customFormat="false" ht="15" hidden="false" customHeight="false" outlineLevel="0" collapsed="false">
      <c r="A547" s="4" t="s">
        <v>4470</v>
      </c>
      <c r="B547" s="6" t="n">
        <v>45707</v>
      </c>
      <c r="C547" s="4" t="s">
        <v>1433</v>
      </c>
      <c r="D547" s="4" t="s">
        <v>3928</v>
      </c>
      <c r="E547" s="4" t="s">
        <v>22</v>
      </c>
      <c r="F547" s="4" t="s">
        <v>3921</v>
      </c>
      <c r="G547" s="4" t="s">
        <v>3194</v>
      </c>
      <c r="H547" s="8" t="n">
        <v>12.7</v>
      </c>
      <c r="I547" s="8" t="n">
        <v>147.7</v>
      </c>
      <c r="J547" s="11" t="n">
        <v>3</v>
      </c>
    </row>
    <row r="548" customFormat="false" ht="15" hidden="false" customHeight="false" outlineLevel="0" collapsed="false">
      <c r="A548" s="4" t="s">
        <v>4471</v>
      </c>
      <c r="B548" s="6" t="n">
        <v>45732</v>
      </c>
      <c r="C548" s="4" t="s">
        <v>1343</v>
      </c>
      <c r="D548" s="4" t="s">
        <v>3920</v>
      </c>
      <c r="E548" s="4" t="s">
        <v>10</v>
      </c>
      <c r="F548" s="4" t="s">
        <v>3929</v>
      </c>
      <c r="G548" s="4" t="s">
        <v>3028</v>
      </c>
      <c r="H548" s="8" t="n">
        <v>10.9</v>
      </c>
      <c r="I548" s="8" t="n">
        <v>186.1</v>
      </c>
      <c r="J548" s="11" t="n">
        <v>5</v>
      </c>
    </row>
    <row r="549" customFormat="false" ht="15" hidden="false" customHeight="false" outlineLevel="0" collapsed="false">
      <c r="A549" s="4" t="s">
        <v>4472</v>
      </c>
      <c r="B549" s="6" t="n">
        <v>46079</v>
      </c>
      <c r="C549" s="4" t="s">
        <v>1107</v>
      </c>
      <c r="D549" s="4" t="s">
        <v>3917</v>
      </c>
      <c r="E549" s="4" t="s">
        <v>16</v>
      </c>
      <c r="F549" s="4" t="s">
        <v>3923</v>
      </c>
      <c r="G549" s="4" t="s">
        <v>3026</v>
      </c>
      <c r="H549" s="8" t="n">
        <v>17.5</v>
      </c>
      <c r="I549" s="8" t="n">
        <v>54.5</v>
      </c>
      <c r="J549" s="11" t="n">
        <v>3</v>
      </c>
    </row>
    <row r="550" customFormat="false" ht="15" hidden="false" customHeight="false" outlineLevel="0" collapsed="false">
      <c r="A550" s="4" t="s">
        <v>4473</v>
      </c>
      <c r="B550" s="6" t="n">
        <v>46165</v>
      </c>
      <c r="C550" s="4" t="s">
        <v>915</v>
      </c>
      <c r="D550" s="4" t="s">
        <v>3938</v>
      </c>
      <c r="E550" s="4" t="s">
        <v>22</v>
      </c>
      <c r="F550" s="4" t="s">
        <v>3921</v>
      </c>
      <c r="G550" s="4" t="s">
        <v>3308</v>
      </c>
      <c r="H550" s="8" t="n">
        <v>6.8</v>
      </c>
      <c r="I550" s="8" t="n">
        <v>40.6</v>
      </c>
      <c r="J550" s="11" t="n">
        <v>4</v>
      </c>
    </row>
    <row r="551" customFormat="false" ht="15" hidden="false" customHeight="false" outlineLevel="0" collapsed="false">
      <c r="A551" s="4" t="s">
        <v>4474</v>
      </c>
      <c r="B551" s="6" t="n">
        <v>46079</v>
      </c>
      <c r="C551" s="4" t="s">
        <v>1151</v>
      </c>
      <c r="D551" s="4" t="s">
        <v>3917</v>
      </c>
      <c r="E551" s="4" t="s">
        <v>16</v>
      </c>
      <c r="F551" s="4" t="s">
        <v>3923</v>
      </c>
      <c r="G551" s="4" t="s">
        <v>3306</v>
      </c>
      <c r="H551" s="8" t="n">
        <v>3.4</v>
      </c>
      <c r="I551" s="8" t="n">
        <v>6.6</v>
      </c>
      <c r="J551" s="11" t="n">
        <v>1</v>
      </c>
    </row>
    <row r="552" customFormat="false" ht="15" hidden="false" customHeight="false" outlineLevel="0" collapsed="false">
      <c r="A552" s="4" t="s">
        <v>4475</v>
      </c>
      <c r="B552" s="6" t="n">
        <v>46051</v>
      </c>
      <c r="C552" s="4" t="s">
        <v>1409</v>
      </c>
      <c r="D552" s="4" t="s">
        <v>3928</v>
      </c>
      <c r="E552" s="4" t="s">
        <v>28</v>
      </c>
      <c r="F552" s="4" t="s">
        <v>3923</v>
      </c>
      <c r="G552" s="4" t="s">
        <v>3084</v>
      </c>
      <c r="H552" s="8" t="n">
        <v>13.6</v>
      </c>
      <c r="I552" s="8" t="n">
        <v>223.9</v>
      </c>
      <c r="J552" s="11" t="n">
        <v>1</v>
      </c>
    </row>
    <row r="553" customFormat="false" ht="15" hidden="false" customHeight="false" outlineLevel="0" collapsed="false">
      <c r="A553" s="4" t="s">
        <v>4476</v>
      </c>
      <c r="B553" s="6" t="n">
        <v>46064</v>
      </c>
      <c r="C553" s="4" t="s">
        <v>1423</v>
      </c>
      <c r="D553" s="4" t="s">
        <v>3926</v>
      </c>
      <c r="E553" s="4" t="s">
        <v>22</v>
      </c>
      <c r="F553" s="4" t="s">
        <v>3921</v>
      </c>
      <c r="G553" s="4" t="s">
        <v>3346</v>
      </c>
      <c r="H553" s="8" t="n">
        <v>12.9</v>
      </c>
      <c r="I553" s="8" t="n">
        <v>18</v>
      </c>
      <c r="J553" s="11" t="n">
        <v>2</v>
      </c>
    </row>
    <row r="554" customFormat="false" ht="15" hidden="false" customHeight="false" outlineLevel="0" collapsed="false">
      <c r="A554" s="4" t="s">
        <v>4477</v>
      </c>
      <c r="B554" s="6" t="n">
        <v>46122</v>
      </c>
      <c r="C554" s="4" t="s">
        <v>701</v>
      </c>
      <c r="D554" s="4" t="s">
        <v>3928</v>
      </c>
      <c r="E554" s="4" t="s">
        <v>16</v>
      </c>
      <c r="F554" s="4" t="s">
        <v>3918</v>
      </c>
      <c r="G554" s="4" t="s">
        <v>3480</v>
      </c>
      <c r="H554" s="8" t="n">
        <v>3.3</v>
      </c>
      <c r="I554" s="8" t="n">
        <v>223.7</v>
      </c>
      <c r="J554" s="11" t="n">
        <v>3</v>
      </c>
    </row>
    <row r="555" customFormat="false" ht="15" hidden="false" customHeight="false" outlineLevel="0" collapsed="false">
      <c r="A555" s="4" t="s">
        <v>4478</v>
      </c>
      <c r="B555" s="6" t="n">
        <v>46011</v>
      </c>
      <c r="C555" s="4" t="s">
        <v>1401</v>
      </c>
      <c r="D555" s="4" t="s">
        <v>3938</v>
      </c>
      <c r="E555" s="4" t="s">
        <v>16</v>
      </c>
      <c r="F555" s="4" t="s">
        <v>3918</v>
      </c>
      <c r="G555" s="4" t="s">
        <v>3056</v>
      </c>
      <c r="H555" s="8" t="n">
        <v>11.3</v>
      </c>
      <c r="I555" s="8" t="n">
        <v>222.7</v>
      </c>
      <c r="J555" s="11" t="n">
        <v>4</v>
      </c>
    </row>
    <row r="556" customFormat="false" ht="15" hidden="false" customHeight="false" outlineLevel="0" collapsed="false">
      <c r="A556" s="4" t="s">
        <v>4479</v>
      </c>
      <c r="B556" s="6" t="n">
        <v>45826</v>
      </c>
      <c r="C556" s="4" t="s">
        <v>1159</v>
      </c>
      <c r="D556" s="4" t="s">
        <v>3928</v>
      </c>
      <c r="E556" s="4" t="s">
        <v>10</v>
      </c>
      <c r="F556" s="4" t="s">
        <v>3918</v>
      </c>
      <c r="G556" s="4" t="s">
        <v>3042</v>
      </c>
      <c r="H556" s="8" t="n">
        <v>14.5</v>
      </c>
      <c r="I556" s="8" t="n">
        <v>2.1</v>
      </c>
      <c r="J556" s="11" t="n">
        <v>1</v>
      </c>
    </row>
    <row r="557" customFormat="false" ht="15" hidden="false" customHeight="false" outlineLevel="0" collapsed="false">
      <c r="A557" s="4" t="s">
        <v>4480</v>
      </c>
      <c r="B557" s="6" t="n">
        <v>45901</v>
      </c>
      <c r="C557" s="4" t="s">
        <v>1309</v>
      </c>
      <c r="D557" s="4" t="s">
        <v>3926</v>
      </c>
      <c r="E557" s="4" t="s">
        <v>16</v>
      </c>
      <c r="F557" s="4" t="s">
        <v>3923</v>
      </c>
      <c r="G557" s="4" t="s">
        <v>3344</v>
      </c>
      <c r="H557" s="8" t="n">
        <v>7.7</v>
      </c>
      <c r="I557" s="8" t="n">
        <v>113.3</v>
      </c>
      <c r="J557" s="11" t="n">
        <v>5</v>
      </c>
    </row>
    <row r="558" customFormat="false" ht="15" hidden="false" customHeight="false" outlineLevel="0" collapsed="false">
      <c r="A558" s="4" t="s">
        <v>4481</v>
      </c>
      <c r="B558" s="6" t="n">
        <v>45782</v>
      </c>
      <c r="C558" s="4" t="s">
        <v>659</v>
      </c>
      <c r="D558" s="4" t="s">
        <v>3917</v>
      </c>
      <c r="E558" s="4" t="s">
        <v>22</v>
      </c>
      <c r="F558" s="4" t="s">
        <v>3923</v>
      </c>
      <c r="G558" s="4" t="s">
        <v>3230</v>
      </c>
      <c r="H558" s="8" t="n">
        <v>1.9</v>
      </c>
      <c r="I558" s="8" t="n">
        <v>161</v>
      </c>
      <c r="J558" s="11" t="n">
        <v>3</v>
      </c>
    </row>
    <row r="559" customFormat="false" ht="15" hidden="false" customHeight="false" outlineLevel="0" collapsed="false">
      <c r="A559" s="4" t="s">
        <v>4482</v>
      </c>
      <c r="B559" s="6" t="n">
        <v>45708</v>
      </c>
      <c r="C559" s="4" t="s">
        <v>1207</v>
      </c>
      <c r="D559" s="4" t="s">
        <v>3917</v>
      </c>
      <c r="E559" s="4" t="s">
        <v>22</v>
      </c>
      <c r="F559" s="4" t="s">
        <v>3929</v>
      </c>
      <c r="G559" s="4" t="s">
        <v>3444</v>
      </c>
      <c r="H559" s="8" t="n">
        <v>13.9</v>
      </c>
      <c r="I559" s="8" t="n">
        <v>13.4</v>
      </c>
      <c r="J559" s="11" t="n">
        <v>4</v>
      </c>
    </row>
    <row r="560" customFormat="false" ht="15" hidden="false" customHeight="false" outlineLevel="0" collapsed="false">
      <c r="A560" s="4" t="s">
        <v>4483</v>
      </c>
      <c r="B560" s="6" t="n">
        <v>45754</v>
      </c>
      <c r="C560" s="4" t="s">
        <v>905</v>
      </c>
      <c r="D560" s="4" t="s">
        <v>3920</v>
      </c>
      <c r="E560" s="4" t="s">
        <v>22</v>
      </c>
      <c r="F560" s="4" t="s">
        <v>3921</v>
      </c>
      <c r="G560" s="4" t="s">
        <v>3146</v>
      </c>
      <c r="H560" s="8" t="n">
        <v>23.9</v>
      </c>
      <c r="I560" s="8" t="n">
        <v>58.3</v>
      </c>
      <c r="J560" s="11" t="n">
        <v>2</v>
      </c>
    </row>
    <row r="561" customFormat="false" ht="15" hidden="false" customHeight="false" outlineLevel="0" collapsed="false">
      <c r="A561" s="4" t="s">
        <v>4484</v>
      </c>
      <c r="B561" s="6" t="n">
        <v>46065</v>
      </c>
      <c r="C561" s="4" t="s">
        <v>945</v>
      </c>
      <c r="D561" s="4" t="s">
        <v>3926</v>
      </c>
      <c r="E561" s="4" t="s">
        <v>22</v>
      </c>
      <c r="F561" s="4" t="s">
        <v>3921</v>
      </c>
      <c r="G561" s="4" t="s">
        <v>3056</v>
      </c>
      <c r="H561" s="8" t="n">
        <v>22.3</v>
      </c>
      <c r="I561" s="8" t="n">
        <v>217.4</v>
      </c>
      <c r="J561" s="11" t="n">
        <v>4</v>
      </c>
    </row>
    <row r="562" customFormat="false" ht="15" hidden="false" customHeight="false" outlineLevel="0" collapsed="false">
      <c r="A562" s="4" t="s">
        <v>4485</v>
      </c>
      <c r="B562" s="6" t="n">
        <v>45734</v>
      </c>
      <c r="C562" s="4" t="s">
        <v>470</v>
      </c>
      <c r="D562" s="4" t="s">
        <v>3917</v>
      </c>
      <c r="E562" s="4" t="s">
        <v>16</v>
      </c>
      <c r="F562" s="4" t="s">
        <v>3918</v>
      </c>
      <c r="G562" s="4" t="s">
        <v>3328</v>
      </c>
      <c r="H562" s="8" t="n">
        <v>2.3</v>
      </c>
      <c r="I562" s="8" t="n">
        <v>119</v>
      </c>
      <c r="J562" s="11" t="n">
        <v>5</v>
      </c>
    </row>
    <row r="563" customFormat="false" ht="15" hidden="false" customHeight="false" outlineLevel="0" collapsed="false">
      <c r="A563" s="4" t="s">
        <v>4486</v>
      </c>
      <c r="B563" s="6" t="n">
        <v>45856</v>
      </c>
      <c r="C563" s="4" t="s">
        <v>731</v>
      </c>
      <c r="D563" s="4" t="s">
        <v>3926</v>
      </c>
      <c r="E563" s="4" t="s">
        <v>16</v>
      </c>
      <c r="F563" s="4" t="s">
        <v>3921</v>
      </c>
      <c r="G563" s="4" t="s">
        <v>3478</v>
      </c>
      <c r="H563" s="8" t="n">
        <v>23.4</v>
      </c>
      <c r="I563" s="8" t="n">
        <v>42.8</v>
      </c>
      <c r="J563" s="11" t="n">
        <v>5</v>
      </c>
    </row>
    <row r="564" customFormat="false" ht="15" hidden="false" customHeight="false" outlineLevel="0" collapsed="false">
      <c r="A564" s="4" t="s">
        <v>4487</v>
      </c>
      <c r="B564" s="6" t="n">
        <v>46106</v>
      </c>
      <c r="C564" s="4" t="s">
        <v>703</v>
      </c>
      <c r="D564" s="4" t="s">
        <v>3938</v>
      </c>
      <c r="E564" s="4" t="s">
        <v>22</v>
      </c>
      <c r="F564" s="4" t="s">
        <v>3923</v>
      </c>
      <c r="G564" s="4" t="s">
        <v>3444</v>
      </c>
      <c r="H564" s="8" t="n">
        <v>19.8</v>
      </c>
      <c r="I564" s="8" t="n">
        <v>210.2</v>
      </c>
      <c r="J564" s="11" t="n">
        <v>5</v>
      </c>
    </row>
    <row r="565" customFormat="false" ht="15" hidden="false" customHeight="false" outlineLevel="0" collapsed="false">
      <c r="A565" s="4" t="s">
        <v>4488</v>
      </c>
      <c r="B565" s="6" t="n">
        <v>46185</v>
      </c>
      <c r="C565" s="4" t="s">
        <v>645</v>
      </c>
      <c r="D565" s="4" t="s">
        <v>3926</v>
      </c>
      <c r="E565" s="4" t="s">
        <v>16</v>
      </c>
      <c r="F565" s="4" t="s">
        <v>3921</v>
      </c>
      <c r="G565" s="4" t="s">
        <v>3350</v>
      </c>
      <c r="H565" s="8" t="n">
        <v>23.9</v>
      </c>
      <c r="I565" s="8" t="n">
        <v>99.2</v>
      </c>
      <c r="J565" s="11" t="n">
        <v>3</v>
      </c>
    </row>
    <row r="566" customFormat="false" ht="15" hidden="false" customHeight="false" outlineLevel="0" collapsed="false">
      <c r="A566" s="4" t="s">
        <v>4489</v>
      </c>
      <c r="B566" s="6" t="n">
        <v>45681</v>
      </c>
      <c r="C566" s="4" t="s">
        <v>969</v>
      </c>
      <c r="D566" s="4" t="s">
        <v>3926</v>
      </c>
      <c r="E566" s="4" t="s">
        <v>16</v>
      </c>
      <c r="F566" s="4" t="s">
        <v>3923</v>
      </c>
      <c r="G566" s="4" t="s">
        <v>3280</v>
      </c>
      <c r="H566" s="8" t="n">
        <v>17.3</v>
      </c>
      <c r="I566" s="8" t="n">
        <v>104</v>
      </c>
      <c r="J566" s="11" t="n">
        <v>1</v>
      </c>
    </row>
    <row r="567" customFormat="false" ht="15" hidden="false" customHeight="false" outlineLevel="0" collapsed="false">
      <c r="A567" s="4" t="s">
        <v>4490</v>
      </c>
      <c r="B567" s="6" t="n">
        <v>45720</v>
      </c>
      <c r="C567" s="4" t="s">
        <v>877</v>
      </c>
      <c r="D567" s="4" t="s">
        <v>3938</v>
      </c>
      <c r="E567" s="4" t="s">
        <v>28</v>
      </c>
      <c r="F567" s="4" t="s">
        <v>3923</v>
      </c>
      <c r="G567" s="4" t="s">
        <v>3122</v>
      </c>
      <c r="H567" s="8" t="n">
        <v>21.6</v>
      </c>
      <c r="I567" s="8" t="n">
        <v>125.4</v>
      </c>
      <c r="J567" s="11" t="n">
        <v>2</v>
      </c>
    </row>
    <row r="568" customFormat="false" ht="15" hidden="false" customHeight="false" outlineLevel="0" collapsed="false">
      <c r="A568" s="4" t="s">
        <v>4491</v>
      </c>
      <c r="B568" s="6" t="n">
        <v>45660</v>
      </c>
      <c r="C568" s="4" t="s">
        <v>849</v>
      </c>
      <c r="D568" s="4" t="s">
        <v>3926</v>
      </c>
      <c r="E568" s="4" t="s">
        <v>10</v>
      </c>
      <c r="F568" s="4" t="s">
        <v>3929</v>
      </c>
      <c r="G568" s="4" t="s">
        <v>3074</v>
      </c>
      <c r="H568" s="8" t="n">
        <v>2.1</v>
      </c>
      <c r="I568" s="8" t="n">
        <v>202.1</v>
      </c>
      <c r="J568" s="11" t="n">
        <v>2</v>
      </c>
    </row>
    <row r="569" customFormat="false" ht="15" hidden="false" customHeight="false" outlineLevel="0" collapsed="false">
      <c r="A569" s="4" t="s">
        <v>4492</v>
      </c>
      <c r="B569" s="6" t="n">
        <v>45993</v>
      </c>
      <c r="C569" s="4" t="s">
        <v>1155</v>
      </c>
      <c r="D569" s="4" t="s">
        <v>3917</v>
      </c>
      <c r="E569" s="4" t="s">
        <v>16</v>
      </c>
      <c r="F569" s="4" t="s">
        <v>3929</v>
      </c>
      <c r="G569" s="4" t="s">
        <v>3046</v>
      </c>
      <c r="H569" s="8" t="n">
        <v>23.8</v>
      </c>
      <c r="I569" s="8" t="n">
        <v>163.5</v>
      </c>
      <c r="J569" s="11" t="n">
        <v>3</v>
      </c>
    </row>
    <row r="570" customFormat="false" ht="15" hidden="false" customHeight="false" outlineLevel="0" collapsed="false">
      <c r="A570" s="4" t="s">
        <v>4493</v>
      </c>
      <c r="B570" s="6" t="n">
        <v>46116</v>
      </c>
      <c r="C570" s="4" t="s">
        <v>1423</v>
      </c>
      <c r="D570" s="4" t="s">
        <v>3928</v>
      </c>
      <c r="E570" s="4" t="s">
        <v>10</v>
      </c>
      <c r="F570" s="4" t="s">
        <v>3929</v>
      </c>
      <c r="G570" s="4" t="s">
        <v>3352</v>
      </c>
      <c r="H570" s="8" t="n">
        <v>6.4</v>
      </c>
      <c r="I570" s="8" t="n">
        <v>137.5</v>
      </c>
      <c r="J570" s="11" t="n">
        <v>1</v>
      </c>
    </row>
    <row r="571" customFormat="false" ht="15" hidden="false" customHeight="false" outlineLevel="0" collapsed="false">
      <c r="A571" s="4" t="s">
        <v>4494</v>
      </c>
      <c r="B571" s="6" t="n">
        <v>45800</v>
      </c>
      <c r="C571" s="4" t="s">
        <v>799</v>
      </c>
      <c r="D571" s="4" t="s">
        <v>3926</v>
      </c>
      <c r="E571" s="4" t="s">
        <v>16</v>
      </c>
      <c r="F571" s="4" t="s">
        <v>3921</v>
      </c>
      <c r="G571" s="4" t="s">
        <v>3204</v>
      </c>
      <c r="H571" s="8" t="n">
        <v>23.3</v>
      </c>
      <c r="I571" s="8" t="n">
        <v>181.7</v>
      </c>
      <c r="J571" s="11" t="n">
        <v>1</v>
      </c>
    </row>
    <row r="572" customFormat="false" ht="15" hidden="false" customHeight="false" outlineLevel="0" collapsed="false">
      <c r="A572" s="4" t="s">
        <v>4495</v>
      </c>
      <c r="B572" s="6" t="n">
        <v>46098</v>
      </c>
      <c r="C572" s="4" t="s">
        <v>1103</v>
      </c>
      <c r="D572" s="4" t="s">
        <v>3926</v>
      </c>
      <c r="E572" s="4" t="s">
        <v>22</v>
      </c>
      <c r="F572" s="4" t="s">
        <v>3918</v>
      </c>
      <c r="G572" s="4" t="s">
        <v>3278</v>
      </c>
      <c r="H572" s="8" t="n">
        <v>7</v>
      </c>
      <c r="I572" s="8" t="n">
        <v>132.1</v>
      </c>
      <c r="J572" s="11" t="n">
        <v>1</v>
      </c>
    </row>
    <row r="573" customFormat="false" ht="15" hidden="false" customHeight="false" outlineLevel="0" collapsed="false">
      <c r="A573" s="4" t="s">
        <v>4496</v>
      </c>
      <c r="B573" s="6" t="n">
        <v>45696</v>
      </c>
      <c r="C573" s="4" t="s">
        <v>1335</v>
      </c>
      <c r="D573" s="4" t="s">
        <v>3920</v>
      </c>
      <c r="E573" s="4" t="s">
        <v>16</v>
      </c>
      <c r="F573" s="4" t="s">
        <v>3918</v>
      </c>
      <c r="G573" s="4" t="s">
        <v>3410</v>
      </c>
      <c r="H573" s="8" t="n">
        <v>0.9</v>
      </c>
      <c r="I573" s="8" t="n">
        <v>146</v>
      </c>
      <c r="J573" s="11" t="n">
        <v>2</v>
      </c>
    </row>
    <row r="574" customFormat="false" ht="15" hidden="false" customHeight="false" outlineLevel="0" collapsed="false">
      <c r="A574" s="4" t="s">
        <v>4497</v>
      </c>
      <c r="B574" s="6" t="n">
        <v>46177</v>
      </c>
      <c r="C574" s="4" t="s">
        <v>1457</v>
      </c>
      <c r="D574" s="4" t="s">
        <v>3920</v>
      </c>
      <c r="E574" s="4" t="s">
        <v>28</v>
      </c>
      <c r="F574" s="4" t="s">
        <v>3929</v>
      </c>
      <c r="G574" s="4" t="s">
        <v>3332</v>
      </c>
      <c r="H574" s="8" t="n">
        <v>3.2</v>
      </c>
      <c r="I574" s="8" t="n">
        <v>212</v>
      </c>
      <c r="J574" s="11" t="n">
        <v>3</v>
      </c>
    </row>
    <row r="575" customFormat="false" ht="15" hidden="false" customHeight="false" outlineLevel="0" collapsed="false">
      <c r="A575" s="4" t="s">
        <v>4498</v>
      </c>
      <c r="B575" s="6" t="n">
        <v>45948</v>
      </c>
      <c r="C575" s="4" t="s">
        <v>819</v>
      </c>
      <c r="D575" s="4" t="s">
        <v>3938</v>
      </c>
      <c r="E575" s="4" t="s">
        <v>10</v>
      </c>
      <c r="F575" s="4" t="s">
        <v>3921</v>
      </c>
      <c r="G575" s="4" t="s">
        <v>3322</v>
      </c>
      <c r="H575" s="8" t="n">
        <v>13.1</v>
      </c>
      <c r="I575" s="8" t="n">
        <v>111</v>
      </c>
      <c r="J575" s="11" t="n">
        <v>1</v>
      </c>
    </row>
    <row r="576" customFormat="false" ht="15" hidden="false" customHeight="false" outlineLevel="0" collapsed="false">
      <c r="A576" s="4" t="s">
        <v>4499</v>
      </c>
      <c r="B576" s="6" t="n">
        <v>46023</v>
      </c>
      <c r="C576" s="4" t="s">
        <v>1409</v>
      </c>
      <c r="D576" s="4" t="s">
        <v>3917</v>
      </c>
      <c r="E576" s="4" t="s">
        <v>28</v>
      </c>
      <c r="F576" s="4" t="s">
        <v>3921</v>
      </c>
      <c r="G576" s="4" t="s">
        <v>3122</v>
      </c>
      <c r="H576" s="8" t="n">
        <v>21.5</v>
      </c>
      <c r="I576" s="8" t="n">
        <v>97.6</v>
      </c>
      <c r="J576" s="11" t="n">
        <v>4</v>
      </c>
    </row>
    <row r="577" customFormat="false" ht="15" hidden="false" customHeight="false" outlineLevel="0" collapsed="false">
      <c r="A577" s="4" t="s">
        <v>4500</v>
      </c>
      <c r="B577" s="6" t="n">
        <v>45849</v>
      </c>
      <c r="C577" s="4" t="s">
        <v>485</v>
      </c>
      <c r="D577" s="4" t="s">
        <v>3926</v>
      </c>
      <c r="E577" s="4" t="s">
        <v>28</v>
      </c>
      <c r="F577" s="4" t="s">
        <v>3918</v>
      </c>
      <c r="G577" s="4" t="s">
        <v>3232</v>
      </c>
      <c r="H577" s="8" t="n">
        <v>6.7</v>
      </c>
      <c r="I577" s="8" t="n">
        <v>187.7</v>
      </c>
      <c r="J577" s="11" t="n">
        <v>5</v>
      </c>
    </row>
    <row r="578" customFormat="false" ht="15" hidden="false" customHeight="false" outlineLevel="0" collapsed="false">
      <c r="A578" s="4" t="s">
        <v>4501</v>
      </c>
      <c r="B578" s="6" t="n">
        <v>46164</v>
      </c>
      <c r="C578" s="4" t="s">
        <v>1089</v>
      </c>
      <c r="D578" s="4" t="s">
        <v>3926</v>
      </c>
      <c r="E578" s="4" t="s">
        <v>10</v>
      </c>
      <c r="F578" s="4" t="s">
        <v>3923</v>
      </c>
      <c r="G578" s="4" t="s">
        <v>3254</v>
      </c>
      <c r="H578" s="8" t="n">
        <v>9.3</v>
      </c>
      <c r="I578" s="8" t="n">
        <v>37.7</v>
      </c>
      <c r="J578" s="11" t="n">
        <v>5</v>
      </c>
    </row>
    <row r="579" customFormat="false" ht="15" hidden="false" customHeight="false" outlineLevel="0" collapsed="false">
      <c r="A579" s="4" t="s">
        <v>4502</v>
      </c>
      <c r="B579" s="6" t="n">
        <v>45815</v>
      </c>
      <c r="C579" s="4" t="s">
        <v>1321</v>
      </c>
      <c r="D579" s="4" t="s">
        <v>3917</v>
      </c>
      <c r="E579" s="4" t="s">
        <v>28</v>
      </c>
      <c r="F579" s="4" t="s">
        <v>3923</v>
      </c>
      <c r="G579" s="4" t="s">
        <v>3164</v>
      </c>
      <c r="H579" s="8" t="n">
        <v>12.4</v>
      </c>
      <c r="I579" s="8" t="n">
        <v>48.7</v>
      </c>
      <c r="J579" s="11" t="n">
        <v>1</v>
      </c>
    </row>
    <row r="580" customFormat="false" ht="15" hidden="false" customHeight="false" outlineLevel="0" collapsed="false">
      <c r="A580" s="4" t="s">
        <v>4503</v>
      </c>
      <c r="B580" s="6" t="n">
        <v>46066</v>
      </c>
      <c r="C580" s="4" t="s">
        <v>1123</v>
      </c>
      <c r="D580" s="4" t="s">
        <v>3917</v>
      </c>
      <c r="E580" s="4" t="s">
        <v>22</v>
      </c>
      <c r="F580" s="4" t="s">
        <v>3921</v>
      </c>
      <c r="G580" s="4" t="s">
        <v>3350</v>
      </c>
      <c r="H580" s="8" t="n">
        <v>15</v>
      </c>
      <c r="I580" s="8" t="n">
        <v>58.5</v>
      </c>
      <c r="J580" s="11" t="n">
        <v>1</v>
      </c>
    </row>
    <row r="581" customFormat="false" ht="15" hidden="false" customHeight="false" outlineLevel="0" collapsed="false">
      <c r="A581" s="4" t="s">
        <v>4504</v>
      </c>
      <c r="B581" s="6" t="n">
        <v>46027</v>
      </c>
      <c r="C581" s="4" t="s">
        <v>1237</v>
      </c>
      <c r="D581" s="4" t="s">
        <v>3938</v>
      </c>
      <c r="E581" s="4" t="s">
        <v>22</v>
      </c>
      <c r="F581" s="4" t="s">
        <v>3921</v>
      </c>
      <c r="G581" s="4" t="s">
        <v>3196</v>
      </c>
      <c r="H581" s="8" t="n">
        <v>17.5</v>
      </c>
      <c r="I581" s="8" t="n">
        <v>81</v>
      </c>
      <c r="J581" s="11" t="n">
        <v>4</v>
      </c>
    </row>
    <row r="582" customFormat="false" ht="15" hidden="false" customHeight="false" outlineLevel="0" collapsed="false">
      <c r="A582" s="4" t="s">
        <v>4505</v>
      </c>
      <c r="B582" s="6" t="n">
        <v>45785</v>
      </c>
      <c r="C582" s="4" t="s">
        <v>635</v>
      </c>
      <c r="D582" s="4" t="s">
        <v>3920</v>
      </c>
      <c r="E582" s="4" t="s">
        <v>10</v>
      </c>
      <c r="F582" s="4" t="s">
        <v>3921</v>
      </c>
      <c r="G582" s="4" t="s">
        <v>3462</v>
      </c>
      <c r="H582" s="8" t="n">
        <v>13</v>
      </c>
      <c r="I582" s="8" t="n">
        <v>187.3</v>
      </c>
      <c r="J582" s="11" t="n">
        <v>3</v>
      </c>
    </row>
    <row r="583" customFormat="false" ht="15" hidden="false" customHeight="false" outlineLevel="0" collapsed="false">
      <c r="A583" s="4" t="s">
        <v>4506</v>
      </c>
      <c r="B583" s="6" t="n">
        <v>45915</v>
      </c>
      <c r="C583" s="4" t="s">
        <v>651</v>
      </c>
      <c r="D583" s="4" t="s">
        <v>3926</v>
      </c>
      <c r="E583" s="4" t="s">
        <v>22</v>
      </c>
      <c r="F583" s="4" t="s">
        <v>3929</v>
      </c>
      <c r="G583" s="4" t="s">
        <v>3202</v>
      </c>
      <c r="H583" s="8" t="n">
        <v>11.1</v>
      </c>
      <c r="I583" s="8" t="n">
        <v>95.8</v>
      </c>
      <c r="J583" s="11" t="n">
        <v>2</v>
      </c>
    </row>
    <row r="584" customFormat="false" ht="15" hidden="false" customHeight="false" outlineLevel="0" collapsed="false">
      <c r="A584" s="4" t="s">
        <v>4507</v>
      </c>
      <c r="B584" s="6" t="n">
        <v>45848</v>
      </c>
      <c r="C584" s="4" t="s">
        <v>1117</v>
      </c>
      <c r="D584" s="4" t="s">
        <v>3917</v>
      </c>
      <c r="E584" s="4" t="s">
        <v>22</v>
      </c>
      <c r="F584" s="4" t="s">
        <v>3929</v>
      </c>
      <c r="G584" s="4" t="s">
        <v>3326</v>
      </c>
      <c r="H584" s="8" t="n">
        <v>22.8</v>
      </c>
      <c r="I584" s="8" t="n">
        <v>164.7</v>
      </c>
      <c r="J584" s="11" t="n">
        <v>5</v>
      </c>
    </row>
    <row r="585" customFormat="false" ht="15" hidden="false" customHeight="false" outlineLevel="0" collapsed="false">
      <c r="A585" s="4" t="s">
        <v>4508</v>
      </c>
      <c r="B585" s="6" t="n">
        <v>45885</v>
      </c>
      <c r="C585" s="4" t="s">
        <v>1351</v>
      </c>
      <c r="D585" s="4" t="s">
        <v>3917</v>
      </c>
      <c r="E585" s="4" t="s">
        <v>22</v>
      </c>
      <c r="F585" s="4" t="s">
        <v>3923</v>
      </c>
      <c r="G585" s="4" t="s">
        <v>3280</v>
      </c>
      <c r="H585" s="8" t="n">
        <v>23.1</v>
      </c>
      <c r="I585" s="8" t="n">
        <v>221.9</v>
      </c>
      <c r="J585" s="11" t="n">
        <v>1</v>
      </c>
    </row>
    <row r="586" customFormat="false" ht="15" hidden="false" customHeight="false" outlineLevel="0" collapsed="false">
      <c r="A586" s="4" t="s">
        <v>4509</v>
      </c>
      <c r="B586" s="6" t="n">
        <v>45826</v>
      </c>
      <c r="C586" s="4" t="s">
        <v>731</v>
      </c>
      <c r="D586" s="4" t="s">
        <v>3928</v>
      </c>
      <c r="E586" s="4" t="s">
        <v>22</v>
      </c>
      <c r="F586" s="4" t="s">
        <v>3923</v>
      </c>
      <c r="G586" s="4" t="s">
        <v>3352</v>
      </c>
      <c r="H586" s="8" t="n">
        <v>16.4</v>
      </c>
      <c r="I586" s="8" t="n">
        <v>80</v>
      </c>
      <c r="J586" s="11" t="n">
        <v>5</v>
      </c>
    </row>
    <row r="587" customFormat="false" ht="15" hidden="false" customHeight="false" outlineLevel="0" collapsed="false">
      <c r="A587" s="4" t="s">
        <v>4510</v>
      </c>
      <c r="B587" s="6" t="n">
        <v>45840</v>
      </c>
      <c r="C587" s="4" t="s">
        <v>1399</v>
      </c>
      <c r="D587" s="4" t="s">
        <v>3920</v>
      </c>
      <c r="E587" s="4" t="s">
        <v>22</v>
      </c>
      <c r="F587" s="4" t="s">
        <v>3923</v>
      </c>
      <c r="G587" s="4" t="s">
        <v>3200</v>
      </c>
      <c r="H587" s="8" t="n">
        <v>4.1</v>
      </c>
      <c r="I587" s="8" t="n">
        <v>139</v>
      </c>
      <c r="J587" s="11" t="n">
        <v>4</v>
      </c>
    </row>
    <row r="588" customFormat="false" ht="15" hidden="false" customHeight="false" outlineLevel="0" collapsed="false">
      <c r="A588" s="4" t="s">
        <v>4511</v>
      </c>
      <c r="B588" s="6" t="n">
        <v>46009</v>
      </c>
      <c r="C588" s="4" t="s">
        <v>1007</v>
      </c>
      <c r="D588" s="4" t="s">
        <v>3926</v>
      </c>
      <c r="E588" s="4" t="s">
        <v>16</v>
      </c>
      <c r="F588" s="4" t="s">
        <v>3918</v>
      </c>
      <c r="G588" s="4" t="s">
        <v>3402</v>
      </c>
      <c r="H588" s="8" t="n">
        <v>16.5</v>
      </c>
      <c r="I588" s="8" t="n">
        <v>26.3</v>
      </c>
      <c r="J588" s="11" t="n">
        <v>5</v>
      </c>
    </row>
    <row r="589" customFormat="false" ht="15" hidden="false" customHeight="false" outlineLevel="0" collapsed="false">
      <c r="A589" s="4" t="s">
        <v>4512</v>
      </c>
      <c r="B589" s="6" t="n">
        <v>46036</v>
      </c>
      <c r="C589" s="4" t="s">
        <v>839</v>
      </c>
      <c r="D589" s="4" t="s">
        <v>3928</v>
      </c>
      <c r="E589" s="4" t="s">
        <v>10</v>
      </c>
      <c r="F589" s="4" t="s">
        <v>3923</v>
      </c>
      <c r="G589" s="4" t="s">
        <v>3488</v>
      </c>
      <c r="H589" s="8" t="n">
        <v>15.5</v>
      </c>
      <c r="I589" s="8" t="n">
        <v>125.5</v>
      </c>
      <c r="J589" s="11" t="n">
        <v>4</v>
      </c>
    </row>
    <row r="590" customFormat="false" ht="15" hidden="false" customHeight="false" outlineLevel="0" collapsed="false">
      <c r="A590" s="4" t="s">
        <v>4513</v>
      </c>
      <c r="B590" s="6" t="n">
        <v>45986</v>
      </c>
      <c r="C590" s="4" t="s">
        <v>1239</v>
      </c>
      <c r="D590" s="4" t="s">
        <v>3938</v>
      </c>
      <c r="E590" s="4" t="s">
        <v>22</v>
      </c>
      <c r="F590" s="4" t="s">
        <v>3921</v>
      </c>
      <c r="G590" s="4" t="s">
        <v>3396</v>
      </c>
      <c r="H590" s="8" t="n">
        <v>16.4</v>
      </c>
      <c r="I590" s="8" t="n">
        <v>198.3</v>
      </c>
      <c r="J590" s="11" t="n">
        <v>2</v>
      </c>
    </row>
    <row r="591" customFormat="false" ht="15" hidden="false" customHeight="false" outlineLevel="0" collapsed="false">
      <c r="A591" s="4" t="s">
        <v>4514</v>
      </c>
      <c r="B591" s="6" t="n">
        <v>45971</v>
      </c>
      <c r="C591" s="4" t="s">
        <v>1107</v>
      </c>
      <c r="D591" s="4" t="s">
        <v>3926</v>
      </c>
      <c r="E591" s="4" t="s">
        <v>10</v>
      </c>
      <c r="F591" s="4" t="s">
        <v>3918</v>
      </c>
      <c r="G591" s="4" t="s">
        <v>3062</v>
      </c>
      <c r="H591" s="8" t="n">
        <v>21.1</v>
      </c>
      <c r="I591" s="8" t="n">
        <v>214.7</v>
      </c>
      <c r="J591" s="11" t="n">
        <v>5</v>
      </c>
    </row>
    <row r="592" customFormat="false" ht="15" hidden="false" customHeight="false" outlineLevel="0" collapsed="false">
      <c r="A592" s="4" t="s">
        <v>4515</v>
      </c>
      <c r="B592" s="6" t="n">
        <v>46150</v>
      </c>
      <c r="C592" s="4" t="s">
        <v>1077</v>
      </c>
      <c r="D592" s="4" t="s">
        <v>3938</v>
      </c>
      <c r="E592" s="4" t="s">
        <v>10</v>
      </c>
      <c r="F592" s="4" t="s">
        <v>3921</v>
      </c>
      <c r="G592" s="4" t="s">
        <v>3086</v>
      </c>
      <c r="H592" s="8" t="n">
        <v>1.2</v>
      </c>
      <c r="I592" s="8" t="n">
        <v>126.1</v>
      </c>
      <c r="J592" s="11" t="n">
        <v>3</v>
      </c>
    </row>
    <row r="593" customFormat="false" ht="15" hidden="false" customHeight="false" outlineLevel="0" collapsed="false">
      <c r="A593" s="4" t="s">
        <v>4516</v>
      </c>
      <c r="B593" s="6" t="n">
        <v>45696</v>
      </c>
      <c r="C593" s="4" t="s">
        <v>553</v>
      </c>
      <c r="D593" s="4" t="s">
        <v>3920</v>
      </c>
      <c r="E593" s="4" t="s">
        <v>16</v>
      </c>
      <c r="F593" s="4" t="s">
        <v>3929</v>
      </c>
      <c r="G593" s="4" t="s">
        <v>3108</v>
      </c>
      <c r="H593" s="8" t="n">
        <v>9.5</v>
      </c>
      <c r="I593" s="8" t="n">
        <v>23</v>
      </c>
      <c r="J593" s="11" t="n">
        <v>3</v>
      </c>
    </row>
    <row r="594" customFormat="false" ht="15" hidden="false" customHeight="false" outlineLevel="0" collapsed="false">
      <c r="A594" s="4" t="s">
        <v>4517</v>
      </c>
      <c r="B594" s="6" t="n">
        <v>45992</v>
      </c>
      <c r="C594" s="4" t="s">
        <v>1311</v>
      </c>
      <c r="D594" s="4" t="s">
        <v>3920</v>
      </c>
      <c r="E594" s="4" t="s">
        <v>28</v>
      </c>
      <c r="F594" s="4" t="s">
        <v>3921</v>
      </c>
      <c r="G594" s="4" t="s">
        <v>3104</v>
      </c>
      <c r="H594" s="8" t="n">
        <v>2.7</v>
      </c>
      <c r="I594" s="8" t="n">
        <v>175.5</v>
      </c>
      <c r="J594" s="11" t="n">
        <v>3</v>
      </c>
    </row>
    <row r="595" customFormat="false" ht="15" hidden="false" customHeight="false" outlineLevel="0" collapsed="false">
      <c r="A595" s="4" t="s">
        <v>4518</v>
      </c>
      <c r="B595" s="6" t="n">
        <v>46145</v>
      </c>
      <c r="C595" s="4" t="s">
        <v>1209</v>
      </c>
      <c r="D595" s="4" t="s">
        <v>3926</v>
      </c>
      <c r="E595" s="4" t="s">
        <v>16</v>
      </c>
      <c r="F595" s="4" t="s">
        <v>3923</v>
      </c>
      <c r="G595" s="4" t="s">
        <v>3050</v>
      </c>
      <c r="H595" s="8" t="n">
        <v>5.8</v>
      </c>
      <c r="I595" s="8" t="n">
        <v>103.4</v>
      </c>
      <c r="J595" s="11" t="n">
        <v>3</v>
      </c>
    </row>
    <row r="596" customFormat="false" ht="15" hidden="false" customHeight="false" outlineLevel="0" collapsed="false">
      <c r="A596" s="4" t="s">
        <v>4519</v>
      </c>
      <c r="B596" s="6" t="n">
        <v>45930</v>
      </c>
      <c r="C596" s="4" t="s">
        <v>1439</v>
      </c>
      <c r="D596" s="4" t="s">
        <v>3917</v>
      </c>
      <c r="E596" s="4" t="s">
        <v>10</v>
      </c>
      <c r="F596" s="4" t="s">
        <v>3921</v>
      </c>
      <c r="G596" s="4" t="s">
        <v>3358</v>
      </c>
      <c r="H596" s="8" t="n">
        <v>20.8</v>
      </c>
      <c r="I596" s="8" t="n">
        <v>193</v>
      </c>
      <c r="J596" s="11" t="n">
        <v>3</v>
      </c>
    </row>
    <row r="597" customFormat="false" ht="15" hidden="false" customHeight="false" outlineLevel="0" collapsed="false">
      <c r="A597" s="4" t="s">
        <v>4520</v>
      </c>
      <c r="B597" s="6" t="n">
        <v>46020</v>
      </c>
      <c r="C597" s="4" t="s">
        <v>645</v>
      </c>
      <c r="D597" s="4" t="s">
        <v>3938</v>
      </c>
      <c r="E597" s="4" t="s">
        <v>10</v>
      </c>
      <c r="F597" s="4" t="s">
        <v>3921</v>
      </c>
      <c r="G597" s="4" t="s">
        <v>3198</v>
      </c>
      <c r="H597" s="8" t="n">
        <v>14.8</v>
      </c>
      <c r="I597" s="8" t="n">
        <v>227.6</v>
      </c>
      <c r="J597" s="11" t="n">
        <v>1</v>
      </c>
    </row>
    <row r="598" customFormat="false" ht="15" hidden="false" customHeight="false" outlineLevel="0" collapsed="false">
      <c r="A598" s="4" t="s">
        <v>4521</v>
      </c>
      <c r="B598" s="6" t="n">
        <v>45792</v>
      </c>
      <c r="C598" s="4" t="s">
        <v>1239</v>
      </c>
      <c r="D598" s="4" t="s">
        <v>3938</v>
      </c>
      <c r="E598" s="4" t="s">
        <v>28</v>
      </c>
      <c r="F598" s="4" t="s">
        <v>3921</v>
      </c>
      <c r="G598" s="4" t="s">
        <v>2996</v>
      </c>
      <c r="H598" s="8" t="n">
        <v>6.6</v>
      </c>
      <c r="I598" s="8" t="n">
        <v>32.9</v>
      </c>
      <c r="J598" s="11" t="n">
        <v>5</v>
      </c>
    </row>
    <row r="599" customFormat="false" ht="15" hidden="false" customHeight="false" outlineLevel="0" collapsed="false">
      <c r="A599" s="4" t="s">
        <v>4522</v>
      </c>
      <c r="B599" s="6" t="n">
        <v>45824</v>
      </c>
      <c r="C599" s="4" t="s">
        <v>1375</v>
      </c>
      <c r="D599" s="4" t="s">
        <v>3917</v>
      </c>
      <c r="E599" s="4" t="s">
        <v>22</v>
      </c>
      <c r="F599" s="4" t="s">
        <v>3923</v>
      </c>
      <c r="G599" s="4" t="s">
        <v>3480</v>
      </c>
      <c r="H599" s="8" t="n">
        <v>8</v>
      </c>
      <c r="I599" s="8" t="n">
        <v>194.6</v>
      </c>
      <c r="J599" s="11" t="n">
        <v>4</v>
      </c>
    </row>
    <row r="600" customFormat="false" ht="15" hidden="false" customHeight="false" outlineLevel="0" collapsed="false">
      <c r="A600" s="4" t="s">
        <v>4523</v>
      </c>
      <c r="B600" s="6" t="n">
        <v>45990</v>
      </c>
      <c r="C600" s="4" t="s">
        <v>1349</v>
      </c>
      <c r="D600" s="4" t="s">
        <v>3926</v>
      </c>
      <c r="E600" s="4" t="s">
        <v>28</v>
      </c>
      <c r="F600" s="4" t="s">
        <v>3921</v>
      </c>
      <c r="G600" s="4" t="s">
        <v>3260</v>
      </c>
      <c r="H600" s="8" t="n">
        <v>10</v>
      </c>
      <c r="I600" s="8" t="n">
        <v>181.5</v>
      </c>
      <c r="J600" s="11" t="n">
        <v>5</v>
      </c>
    </row>
    <row r="601" customFormat="false" ht="15" hidden="false" customHeight="false" outlineLevel="0" collapsed="false">
      <c r="A601" s="4" t="s">
        <v>4524</v>
      </c>
      <c r="B601" s="6" t="n">
        <v>45963</v>
      </c>
      <c r="C601" s="4" t="s">
        <v>1347</v>
      </c>
      <c r="D601" s="4" t="s">
        <v>3917</v>
      </c>
      <c r="E601" s="4" t="s">
        <v>28</v>
      </c>
      <c r="F601" s="4" t="s">
        <v>3929</v>
      </c>
      <c r="G601" s="4" t="s">
        <v>3072</v>
      </c>
      <c r="H601" s="8" t="n">
        <v>11.9</v>
      </c>
      <c r="I601" s="8" t="n">
        <v>82.4</v>
      </c>
      <c r="J601" s="11" t="n">
        <v>3</v>
      </c>
    </row>
    <row r="602" customFormat="false" ht="15" hidden="false" customHeight="false" outlineLevel="0" collapsed="false">
      <c r="A602" s="4" t="s">
        <v>4525</v>
      </c>
      <c r="B602" s="6" t="n">
        <v>46090</v>
      </c>
      <c r="C602" s="4" t="s">
        <v>1451</v>
      </c>
      <c r="D602" s="4" t="s">
        <v>3920</v>
      </c>
      <c r="E602" s="4" t="s">
        <v>22</v>
      </c>
      <c r="F602" s="4" t="s">
        <v>3929</v>
      </c>
      <c r="G602" s="4" t="s">
        <v>3408</v>
      </c>
      <c r="H602" s="8" t="n">
        <v>20.8</v>
      </c>
      <c r="I602" s="8" t="n">
        <v>189.5</v>
      </c>
      <c r="J602" s="11" t="n">
        <v>5</v>
      </c>
    </row>
    <row r="603" customFormat="false" ht="15" hidden="false" customHeight="false" outlineLevel="0" collapsed="false">
      <c r="A603" s="4" t="s">
        <v>4526</v>
      </c>
      <c r="B603" s="6" t="n">
        <v>46172</v>
      </c>
      <c r="C603" s="4" t="s">
        <v>595</v>
      </c>
      <c r="D603" s="4" t="s">
        <v>3920</v>
      </c>
      <c r="E603" s="4" t="s">
        <v>22</v>
      </c>
      <c r="F603" s="4" t="s">
        <v>3918</v>
      </c>
      <c r="G603" s="4" t="s">
        <v>3492</v>
      </c>
      <c r="H603" s="8" t="n">
        <v>14.8</v>
      </c>
      <c r="I603" s="8" t="n">
        <v>30.2</v>
      </c>
      <c r="J603" s="11" t="n">
        <v>1</v>
      </c>
    </row>
    <row r="604" customFormat="false" ht="15" hidden="false" customHeight="false" outlineLevel="0" collapsed="false">
      <c r="A604" s="4" t="s">
        <v>4527</v>
      </c>
      <c r="B604" s="6" t="n">
        <v>45684</v>
      </c>
      <c r="C604" s="4" t="s">
        <v>603</v>
      </c>
      <c r="D604" s="4" t="s">
        <v>3928</v>
      </c>
      <c r="E604" s="4" t="s">
        <v>28</v>
      </c>
      <c r="F604" s="4" t="s">
        <v>3929</v>
      </c>
      <c r="G604" s="4" t="s">
        <v>3452</v>
      </c>
      <c r="H604" s="8" t="n">
        <v>1</v>
      </c>
      <c r="I604" s="8" t="n">
        <v>39.1</v>
      </c>
      <c r="J604" s="11" t="n">
        <v>3</v>
      </c>
    </row>
    <row r="605" customFormat="false" ht="15" hidden="false" customHeight="false" outlineLevel="0" collapsed="false">
      <c r="A605" s="4" t="s">
        <v>4528</v>
      </c>
      <c r="B605" s="6" t="n">
        <v>45895</v>
      </c>
      <c r="C605" s="4" t="s">
        <v>537</v>
      </c>
      <c r="D605" s="4" t="s">
        <v>3917</v>
      </c>
      <c r="E605" s="4" t="s">
        <v>22</v>
      </c>
      <c r="F605" s="4" t="s">
        <v>3918</v>
      </c>
      <c r="G605" s="4" t="s">
        <v>3068</v>
      </c>
      <c r="H605" s="8" t="n">
        <v>15.5</v>
      </c>
      <c r="I605" s="8" t="n">
        <v>198.5</v>
      </c>
      <c r="J605" s="11" t="n">
        <v>1</v>
      </c>
    </row>
    <row r="606" customFormat="false" ht="15" hidden="false" customHeight="false" outlineLevel="0" collapsed="false">
      <c r="A606" s="4" t="s">
        <v>4529</v>
      </c>
      <c r="B606" s="6" t="n">
        <v>45728</v>
      </c>
      <c r="C606" s="4" t="s">
        <v>677</v>
      </c>
      <c r="D606" s="4" t="s">
        <v>3928</v>
      </c>
      <c r="E606" s="4" t="s">
        <v>22</v>
      </c>
      <c r="F606" s="4" t="s">
        <v>3929</v>
      </c>
      <c r="G606" s="4" t="s">
        <v>3166</v>
      </c>
      <c r="H606" s="8" t="n">
        <v>8.2</v>
      </c>
      <c r="I606" s="8" t="n">
        <v>10</v>
      </c>
      <c r="J606" s="11" t="n">
        <v>2</v>
      </c>
    </row>
    <row r="607" customFormat="false" ht="15" hidden="false" customHeight="false" outlineLevel="0" collapsed="false">
      <c r="A607" s="4" t="s">
        <v>4530</v>
      </c>
      <c r="B607" s="6" t="n">
        <v>45760</v>
      </c>
      <c r="C607" s="4" t="s">
        <v>755</v>
      </c>
      <c r="D607" s="4" t="s">
        <v>3920</v>
      </c>
      <c r="E607" s="4" t="s">
        <v>28</v>
      </c>
      <c r="F607" s="4" t="s">
        <v>3918</v>
      </c>
      <c r="G607" s="4" t="s">
        <v>3146</v>
      </c>
      <c r="H607" s="8" t="n">
        <v>20.4</v>
      </c>
      <c r="I607" s="8" t="n">
        <v>126.9</v>
      </c>
      <c r="J607" s="11" t="n">
        <v>4</v>
      </c>
    </row>
    <row r="608" customFormat="false" ht="15" hidden="false" customHeight="false" outlineLevel="0" collapsed="false">
      <c r="A608" s="4" t="s">
        <v>4531</v>
      </c>
      <c r="B608" s="6" t="n">
        <v>45805</v>
      </c>
      <c r="C608" s="4" t="s">
        <v>975</v>
      </c>
      <c r="D608" s="4" t="s">
        <v>3917</v>
      </c>
      <c r="E608" s="4" t="s">
        <v>28</v>
      </c>
      <c r="F608" s="4" t="s">
        <v>3923</v>
      </c>
      <c r="G608" s="4" t="s">
        <v>3218</v>
      </c>
      <c r="H608" s="8" t="n">
        <v>10.8</v>
      </c>
      <c r="I608" s="8" t="n">
        <v>153.7</v>
      </c>
      <c r="J608" s="11" t="n">
        <v>4</v>
      </c>
    </row>
    <row r="609" customFormat="false" ht="15" hidden="false" customHeight="false" outlineLevel="0" collapsed="false">
      <c r="A609" s="4" t="s">
        <v>4532</v>
      </c>
      <c r="B609" s="6" t="n">
        <v>45811</v>
      </c>
      <c r="C609" s="4" t="s">
        <v>1229</v>
      </c>
      <c r="D609" s="4" t="s">
        <v>3928</v>
      </c>
      <c r="E609" s="4" t="s">
        <v>22</v>
      </c>
      <c r="F609" s="4" t="s">
        <v>3923</v>
      </c>
      <c r="G609" s="4" t="s">
        <v>3068</v>
      </c>
      <c r="H609" s="8" t="n">
        <v>8.9</v>
      </c>
      <c r="I609" s="8" t="n">
        <v>124.6</v>
      </c>
      <c r="J609" s="11" t="n">
        <v>2</v>
      </c>
    </row>
    <row r="610" customFormat="false" ht="15" hidden="false" customHeight="false" outlineLevel="0" collapsed="false">
      <c r="A610" s="4" t="s">
        <v>4533</v>
      </c>
      <c r="B610" s="6" t="n">
        <v>45872</v>
      </c>
      <c r="C610" s="4" t="s">
        <v>1437</v>
      </c>
      <c r="D610" s="4" t="s">
        <v>3928</v>
      </c>
      <c r="E610" s="4" t="s">
        <v>22</v>
      </c>
      <c r="F610" s="4" t="s">
        <v>3929</v>
      </c>
      <c r="G610" s="4" t="s">
        <v>3270</v>
      </c>
      <c r="H610" s="8" t="n">
        <v>5.3</v>
      </c>
      <c r="I610" s="8" t="n">
        <v>195.6</v>
      </c>
      <c r="J610" s="11" t="n">
        <v>5</v>
      </c>
    </row>
    <row r="611" customFormat="false" ht="15" hidden="false" customHeight="false" outlineLevel="0" collapsed="false">
      <c r="A611" s="4" t="s">
        <v>4534</v>
      </c>
      <c r="B611" s="6" t="n">
        <v>45852</v>
      </c>
      <c r="C611" s="4" t="s">
        <v>1321</v>
      </c>
      <c r="D611" s="4" t="s">
        <v>3928</v>
      </c>
      <c r="E611" s="4" t="s">
        <v>10</v>
      </c>
      <c r="F611" s="4" t="s">
        <v>3918</v>
      </c>
      <c r="G611" s="4" t="s">
        <v>3066</v>
      </c>
      <c r="H611" s="8" t="n">
        <v>4.9</v>
      </c>
      <c r="I611" s="8" t="n">
        <v>36.1</v>
      </c>
      <c r="J611" s="11" t="n">
        <v>1</v>
      </c>
    </row>
    <row r="612" customFormat="false" ht="15" hidden="false" customHeight="false" outlineLevel="0" collapsed="false">
      <c r="A612" s="4" t="s">
        <v>4535</v>
      </c>
      <c r="B612" s="6" t="n">
        <v>45718</v>
      </c>
      <c r="C612" s="4" t="s">
        <v>851</v>
      </c>
      <c r="D612" s="4" t="s">
        <v>3928</v>
      </c>
      <c r="E612" s="4" t="s">
        <v>22</v>
      </c>
      <c r="F612" s="4" t="s">
        <v>3921</v>
      </c>
      <c r="G612" s="4" t="s">
        <v>3454</v>
      </c>
      <c r="H612" s="8" t="n">
        <v>2.2</v>
      </c>
      <c r="I612" s="8" t="n">
        <v>60.3</v>
      </c>
      <c r="J612" s="11" t="n">
        <v>3</v>
      </c>
    </row>
    <row r="613" customFormat="false" ht="15" hidden="false" customHeight="false" outlineLevel="0" collapsed="false">
      <c r="A613" s="4" t="s">
        <v>4536</v>
      </c>
      <c r="B613" s="6" t="n">
        <v>45866</v>
      </c>
      <c r="C613" s="4" t="s">
        <v>1199</v>
      </c>
      <c r="D613" s="4" t="s">
        <v>3926</v>
      </c>
      <c r="E613" s="4" t="s">
        <v>28</v>
      </c>
      <c r="F613" s="4" t="s">
        <v>3918</v>
      </c>
      <c r="G613" s="4" t="s">
        <v>3238</v>
      </c>
      <c r="H613" s="8" t="n">
        <v>8.3</v>
      </c>
      <c r="I613" s="8" t="n">
        <v>128.7</v>
      </c>
      <c r="J613" s="11" t="n">
        <v>4</v>
      </c>
    </row>
    <row r="614" customFormat="false" ht="15" hidden="false" customHeight="false" outlineLevel="0" collapsed="false">
      <c r="A614" s="4" t="s">
        <v>4537</v>
      </c>
      <c r="B614" s="6" t="n">
        <v>46124</v>
      </c>
      <c r="C614" s="4" t="s">
        <v>645</v>
      </c>
      <c r="D614" s="4" t="s">
        <v>3917</v>
      </c>
      <c r="E614" s="4" t="s">
        <v>28</v>
      </c>
      <c r="F614" s="4" t="s">
        <v>3921</v>
      </c>
      <c r="G614" s="4" t="s">
        <v>3462</v>
      </c>
      <c r="H614" s="8" t="n">
        <v>8.5</v>
      </c>
      <c r="I614" s="8" t="n">
        <v>112.5</v>
      </c>
      <c r="J614" s="11" t="n">
        <v>3</v>
      </c>
    </row>
    <row r="615" customFormat="false" ht="15" hidden="false" customHeight="false" outlineLevel="0" collapsed="false">
      <c r="A615" s="4" t="s">
        <v>4538</v>
      </c>
      <c r="B615" s="6" t="n">
        <v>46153</v>
      </c>
      <c r="C615" s="4" t="s">
        <v>603</v>
      </c>
      <c r="D615" s="4" t="s">
        <v>3938</v>
      </c>
      <c r="E615" s="4" t="s">
        <v>22</v>
      </c>
      <c r="F615" s="4" t="s">
        <v>3929</v>
      </c>
      <c r="G615" s="4" t="s">
        <v>3080</v>
      </c>
      <c r="H615" s="8" t="n">
        <v>20.7</v>
      </c>
      <c r="I615" s="8" t="n">
        <v>226.2</v>
      </c>
      <c r="J615" s="11" t="n">
        <v>3</v>
      </c>
    </row>
    <row r="616" customFormat="false" ht="15" hidden="false" customHeight="false" outlineLevel="0" collapsed="false">
      <c r="A616" s="4" t="s">
        <v>4539</v>
      </c>
      <c r="B616" s="6" t="n">
        <v>46181</v>
      </c>
      <c r="C616" s="4" t="s">
        <v>1301</v>
      </c>
      <c r="D616" s="4" t="s">
        <v>3938</v>
      </c>
      <c r="E616" s="4" t="s">
        <v>16</v>
      </c>
      <c r="F616" s="4" t="s">
        <v>3921</v>
      </c>
      <c r="G616" s="4" t="s">
        <v>3196</v>
      </c>
      <c r="H616" s="8" t="n">
        <v>21.6</v>
      </c>
      <c r="I616" s="8" t="n">
        <v>133.8</v>
      </c>
      <c r="J616" s="11" t="n">
        <v>1</v>
      </c>
    </row>
    <row r="617" customFormat="false" ht="15" hidden="false" customHeight="false" outlineLevel="0" collapsed="false">
      <c r="A617" s="4" t="s">
        <v>4540</v>
      </c>
      <c r="B617" s="6" t="n">
        <v>45844</v>
      </c>
      <c r="C617" s="4" t="s">
        <v>1199</v>
      </c>
      <c r="D617" s="4" t="s">
        <v>3938</v>
      </c>
      <c r="E617" s="4" t="s">
        <v>28</v>
      </c>
      <c r="F617" s="4" t="s">
        <v>3921</v>
      </c>
      <c r="G617" s="4" t="s">
        <v>3492</v>
      </c>
      <c r="H617" s="8" t="n">
        <v>3</v>
      </c>
      <c r="I617" s="8" t="n">
        <v>113.6</v>
      </c>
      <c r="J617" s="11" t="n">
        <v>1</v>
      </c>
    </row>
    <row r="618" customFormat="false" ht="15" hidden="false" customHeight="false" outlineLevel="0" collapsed="false">
      <c r="A618" s="4" t="s">
        <v>4541</v>
      </c>
      <c r="B618" s="6" t="n">
        <v>45861</v>
      </c>
      <c r="C618" s="4" t="s">
        <v>917</v>
      </c>
      <c r="D618" s="4" t="s">
        <v>3917</v>
      </c>
      <c r="E618" s="4" t="s">
        <v>28</v>
      </c>
      <c r="F618" s="4" t="s">
        <v>3918</v>
      </c>
      <c r="G618" s="4" t="s">
        <v>3476</v>
      </c>
      <c r="H618" s="8" t="n">
        <v>13.6</v>
      </c>
      <c r="I618" s="8" t="n">
        <v>140.6</v>
      </c>
      <c r="J618" s="11" t="n">
        <v>2</v>
      </c>
    </row>
    <row r="619" customFormat="false" ht="15" hidden="false" customHeight="false" outlineLevel="0" collapsed="false">
      <c r="A619" s="4" t="s">
        <v>4542</v>
      </c>
      <c r="B619" s="6" t="n">
        <v>45844</v>
      </c>
      <c r="C619" s="4" t="s">
        <v>641</v>
      </c>
      <c r="D619" s="4" t="s">
        <v>3917</v>
      </c>
      <c r="E619" s="4" t="s">
        <v>10</v>
      </c>
      <c r="F619" s="4" t="s">
        <v>3929</v>
      </c>
      <c r="G619" s="4" t="s">
        <v>3296</v>
      </c>
      <c r="H619" s="8" t="n">
        <v>22.9</v>
      </c>
      <c r="I619" s="8" t="n">
        <v>218.5</v>
      </c>
      <c r="J619" s="11" t="n">
        <v>2</v>
      </c>
    </row>
    <row r="620" customFormat="false" ht="15" hidden="false" customHeight="false" outlineLevel="0" collapsed="false">
      <c r="A620" s="4" t="s">
        <v>4543</v>
      </c>
      <c r="B620" s="6" t="n">
        <v>45761</v>
      </c>
      <c r="C620" s="4" t="s">
        <v>1215</v>
      </c>
      <c r="D620" s="4" t="s">
        <v>3938</v>
      </c>
      <c r="E620" s="4" t="s">
        <v>28</v>
      </c>
      <c r="F620" s="4" t="s">
        <v>3918</v>
      </c>
      <c r="G620" s="4" t="s">
        <v>3410</v>
      </c>
      <c r="H620" s="8" t="n">
        <v>7.9</v>
      </c>
      <c r="I620" s="8" t="n">
        <v>205.2</v>
      </c>
      <c r="J620" s="11" t="n">
        <v>1</v>
      </c>
    </row>
    <row r="621" customFormat="false" ht="15" hidden="false" customHeight="false" outlineLevel="0" collapsed="false">
      <c r="A621" s="4" t="s">
        <v>4544</v>
      </c>
      <c r="B621" s="6" t="n">
        <v>45805</v>
      </c>
      <c r="C621" s="4" t="s">
        <v>707</v>
      </c>
      <c r="D621" s="4" t="s">
        <v>3917</v>
      </c>
      <c r="E621" s="4" t="s">
        <v>22</v>
      </c>
      <c r="F621" s="4" t="s">
        <v>3918</v>
      </c>
      <c r="G621" s="4" t="s">
        <v>3168</v>
      </c>
      <c r="H621" s="8" t="n">
        <v>15.7</v>
      </c>
      <c r="I621" s="8" t="n">
        <v>169.2</v>
      </c>
      <c r="J621" s="11" t="n">
        <v>2</v>
      </c>
    </row>
    <row r="622" customFormat="false" ht="15" hidden="false" customHeight="false" outlineLevel="0" collapsed="false">
      <c r="A622" s="4" t="s">
        <v>4545</v>
      </c>
      <c r="B622" s="6" t="n">
        <v>45973</v>
      </c>
      <c r="C622" s="4" t="s">
        <v>737</v>
      </c>
      <c r="D622" s="4" t="s">
        <v>3938</v>
      </c>
      <c r="E622" s="4" t="s">
        <v>16</v>
      </c>
      <c r="F622" s="4" t="s">
        <v>3929</v>
      </c>
      <c r="G622" s="4" t="s">
        <v>3064</v>
      </c>
      <c r="H622" s="8" t="n">
        <v>11.8</v>
      </c>
      <c r="I622" s="8" t="n">
        <v>155.4</v>
      </c>
      <c r="J622" s="11" t="n">
        <v>4</v>
      </c>
    </row>
    <row r="623" customFormat="false" ht="15" hidden="false" customHeight="false" outlineLevel="0" collapsed="false">
      <c r="A623" s="4" t="s">
        <v>4546</v>
      </c>
      <c r="B623" s="6" t="n">
        <v>46060</v>
      </c>
      <c r="C623" s="4" t="s">
        <v>761</v>
      </c>
      <c r="D623" s="4" t="s">
        <v>3917</v>
      </c>
      <c r="E623" s="4" t="s">
        <v>16</v>
      </c>
      <c r="F623" s="4" t="s">
        <v>3918</v>
      </c>
      <c r="G623" s="4" t="s">
        <v>3484</v>
      </c>
      <c r="H623" s="8" t="n">
        <v>0.6</v>
      </c>
      <c r="I623" s="8" t="n">
        <v>81.2</v>
      </c>
      <c r="J623" s="11" t="n">
        <v>3</v>
      </c>
    </row>
    <row r="624" customFormat="false" ht="15" hidden="false" customHeight="false" outlineLevel="0" collapsed="false">
      <c r="A624" s="4" t="s">
        <v>4547</v>
      </c>
      <c r="B624" s="6" t="n">
        <v>45842</v>
      </c>
      <c r="C624" s="4" t="s">
        <v>1379</v>
      </c>
      <c r="D624" s="4" t="s">
        <v>3938</v>
      </c>
      <c r="E624" s="4" t="s">
        <v>28</v>
      </c>
      <c r="F624" s="4" t="s">
        <v>3921</v>
      </c>
      <c r="G624" s="4" t="s">
        <v>3310</v>
      </c>
      <c r="H624" s="8" t="n">
        <v>19.8</v>
      </c>
      <c r="I624" s="8" t="n">
        <v>206.8</v>
      </c>
      <c r="J624" s="11" t="n">
        <v>4</v>
      </c>
    </row>
    <row r="625" customFormat="false" ht="15" hidden="false" customHeight="false" outlineLevel="0" collapsed="false">
      <c r="A625" s="4" t="s">
        <v>4548</v>
      </c>
      <c r="B625" s="6" t="n">
        <v>45836</v>
      </c>
      <c r="C625" s="4" t="s">
        <v>915</v>
      </c>
      <c r="D625" s="4" t="s">
        <v>3928</v>
      </c>
      <c r="E625" s="4" t="s">
        <v>10</v>
      </c>
      <c r="F625" s="4" t="s">
        <v>3918</v>
      </c>
      <c r="G625" s="4" t="s">
        <v>3084</v>
      </c>
      <c r="H625" s="8" t="n">
        <v>1.4</v>
      </c>
      <c r="I625" s="8" t="n">
        <v>60.7</v>
      </c>
      <c r="J625" s="11" t="n">
        <v>5</v>
      </c>
    </row>
    <row r="626" customFormat="false" ht="15" hidden="false" customHeight="false" outlineLevel="0" collapsed="false">
      <c r="A626" s="4" t="s">
        <v>4549</v>
      </c>
      <c r="B626" s="6" t="n">
        <v>45773</v>
      </c>
      <c r="C626" s="4" t="s">
        <v>683</v>
      </c>
      <c r="D626" s="4" t="s">
        <v>3938</v>
      </c>
      <c r="E626" s="4" t="s">
        <v>28</v>
      </c>
      <c r="F626" s="4" t="s">
        <v>3923</v>
      </c>
      <c r="G626" s="4" t="s">
        <v>3364</v>
      </c>
      <c r="H626" s="8" t="n">
        <v>21.5</v>
      </c>
      <c r="I626" s="8" t="n">
        <v>79.8</v>
      </c>
      <c r="J626" s="11" t="n">
        <v>5</v>
      </c>
    </row>
    <row r="627" customFormat="false" ht="15" hidden="false" customHeight="false" outlineLevel="0" collapsed="false">
      <c r="A627" s="4" t="s">
        <v>4550</v>
      </c>
      <c r="B627" s="6" t="n">
        <v>45810</v>
      </c>
      <c r="C627" s="4" t="s">
        <v>487</v>
      </c>
      <c r="D627" s="4" t="s">
        <v>3928</v>
      </c>
      <c r="E627" s="4" t="s">
        <v>16</v>
      </c>
      <c r="F627" s="4" t="s">
        <v>3918</v>
      </c>
      <c r="G627" s="4" t="s">
        <v>3070</v>
      </c>
      <c r="H627" s="8" t="n">
        <v>19.1</v>
      </c>
      <c r="I627" s="8" t="n">
        <v>96.5</v>
      </c>
      <c r="J627" s="11" t="n">
        <v>1</v>
      </c>
    </row>
    <row r="628" customFormat="false" ht="15" hidden="false" customHeight="false" outlineLevel="0" collapsed="false">
      <c r="A628" s="4" t="s">
        <v>4551</v>
      </c>
      <c r="B628" s="6" t="n">
        <v>45696</v>
      </c>
      <c r="C628" s="4" t="s">
        <v>1369</v>
      </c>
      <c r="D628" s="4" t="s">
        <v>3928</v>
      </c>
      <c r="E628" s="4" t="s">
        <v>16</v>
      </c>
      <c r="F628" s="4" t="s">
        <v>3918</v>
      </c>
      <c r="G628" s="4" t="s">
        <v>3136</v>
      </c>
      <c r="H628" s="8" t="n">
        <v>18.3</v>
      </c>
      <c r="I628" s="8" t="n">
        <v>118.4</v>
      </c>
      <c r="J628" s="11" t="n">
        <v>4</v>
      </c>
    </row>
    <row r="629" customFormat="false" ht="15" hidden="false" customHeight="false" outlineLevel="0" collapsed="false">
      <c r="A629" s="4" t="s">
        <v>4552</v>
      </c>
      <c r="B629" s="6" t="n">
        <v>45873</v>
      </c>
      <c r="C629" s="4" t="s">
        <v>1173</v>
      </c>
      <c r="D629" s="4" t="s">
        <v>3920</v>
      </c>
      <c r="E629" s="4" t="s">
        <v>28</v>
      </c>
      <c r="F629" s="4" t="s">
        <v>3929</v>
      </c>
      <c r="G629" s="4" t="s">
        <v>3342</v>
      </c>
      <c r="H629" s="8" t="n">
        <v>12.4</v>
      </c>
      <c r="I629" s="8" t="n">
        <v>45.9</v>
      </c>
      <c r="J629" s="11" t="n">
        <v>5</v>
      </c>
    </row>
    <row r="630" customFormat="false" ht="15" hidden="false" customHeight="false" outlineLevel="0" collapsed="false">
      <c r="A630" s="4" t="s">
        <v>4553</v>
      </c>
      <c r="B630" s="6" t="n">
        <v>45699</v>
      </c>
      <c r="C630" s="4" t="s">
        <v>671</v>
      </c>
      <c r="D630" s="4" t="s">
        <v>3928</v>
      </c>
      <c r="E630" s="4" t="s">
        <v>28</v>
      </c>
      <c r="F630" s="4" t="s">
        <v>3921</v>
      </c>
      <c r="G630" s="4" t="s">
        <v>3144</v>
      </c>
      <c r="H630" s="8" t="n">
        <v>23.5</v>
      </c>
      <c r="I630" s="8" t="n">
        <v>58.2</v>
      </c>
      <c r="J630" s="11" t="n">
        <v>4</v>
      </c>
    </row>
    <row r="631" customFormat="false" ht="15" hidden="false" customHeight="false" outlineLevel="0" collapsed="false">
      <c r="A631" s="4" t="s">
        <v>4554</v>
      </c>
      <c r="B631" s="6" t="n">
        <v>45770</v>
      </c>
      <c r="C631" s="4" t="s">
        <v>935</v>
      </c>
      <c r="D631" s="4" t="s">
        <v>3928</v>
      </c>
      <c r="E631" s="4" t="s">
        <v>10</v>
      </c>
      <c r="F631" s="4" t="s">
        <v>3929</v>
      </c>
      <c r="G631" s="4" t="s">
        <v>3178</v>
      </c>
      <c r="H631" s="8" t="n">
        <v>20.1</v>
      </c>
      <c r="I631" s="8" t="n">
        <v>40.8</v>
      </c>
      <c r="J631" s="11" t="n">
        <v>2</v>
      </c>
    </row>
    <row r="632" customFormat="false" ht="15" hidden="false" customHeight="false" outlineLevel="0" collapsed="false">
      <c r="A632" s="4" t="s">
        <v>4555</v>
      </c>
      <c r="B632" s="6" t="n">
        <v>45810</v>
      </c>
      <c r="C632" s="4" t="s">
        <v>1123</v>
      </c>
      <c r="D632" s="4" t="s">
        <v>3926</v>
      </c>
      <c r="E632" s="4" t="s">
        <v>10</v>
      </c>
      <c r="F632" s="4" t="s">
        <v>3921</v>
      </c>
      <c r="G632" s="4" t="s">
        <v>3086</v>
      </c>
      <c r="H632" s="8" t="n">
        <v>18.7</v>
      </c>
      <c r="I632" s="8" t="n">
        <v>175.7</v>
      </c>
      <c r="J632" s="11" t="n">
        <v>5</v>
      </c>
    </row>
    <row r="633" customFormat="false" ht="15" hidden="false" customHeight="false" outlineLevel="0" collapsed="false">
      <c r="A633" s="4" t="s">
        <v>4556</v>
      </c>
      <c r="B633" s="6" t="n">
        <v>45752</v>
      </c>
      <c r="C633" s="4" t="s">
        <v>775</v>
      </c>
      <c r="D633" s="4" t="s">
        <v>3917</v>
      </c>
      <c r="E633" s="4" t="s">
        <v>22</v>
      </c>
      <c r="F633" s="4" t="s">
        <v>3921</v>
      </c>
      <c r="G633" s="4" t="s">
        <v>3246</v>
      </c>
      <c r="H633" s="8" t="n">
        <v>6.7</v>
      </c>
      <c r="I633" s="8" t="n">
        <v>208.5</v>
      </c>
      <c r="J633" s="11" t="n">
        <v>5</v>
      </c>
    </row>
    <row r="634" customFormat="false" ht="15" hidden="false" customHeight="false" outlineLevel="0" collapsed="false">
      <c r="A634" s="4" t="s">
        <v>4557</v>
      </c>
      <c r="B634" s="6" t="n">
        <v>45859</v>
      </c>
      <c r="C634" s="4" t="s">
        <v>1397</v>
      </c>
      <c r="D634" s="4" t="s">
        <v>3928</v>
      </c>
      <c r="E634" s="4" t="s">
        <v>16</v>
      </c>
      <c r="F634" s="4" t="s">
        <v>3921</v>
      </c>
      <c r="G634" s="4" t="s">
        <v>3296</v>
      </c>
      <c r="H634" s="8" t="n">
        <v>10</v>
      </c>
      <c r="I634" s="8" t="n">
        <v>113.9</v>
      </c>
      <c r="J634" s="11" t="n">
        <v>2</v>
      </c>
    </row>
    <row r="635" customFormat="false" ht="15" hidden="false" customHeight="false" outlineLevel="0" collapsed="false">
      <c r="A635" s="4" t="s">
        <v>4558</v>
      </c>
      <c r="B635" s="6" t="n">
        <v>45775</v>
      </c>
      <c r="C635" s="4" t="s">
        <v>613</v>
      </c>
      <c r="D635" s="4" t="s">
        <v>3938</v>
      </c>
      <c r="E635" s="4" t="s">
        <v>28</v>
      </c>
      <c r="F635" s="4" t="s">
        <v>3921</v>
      </c>
      <c r="G635" s="4" t="s">
        <v>3026</v>
      </c>
      <c r="H635" s="8" t="n">
        <v>15.2</v>
      </c>
      <c r="I635" s="8" t="n">
        <v>176.2</v>
      </c>
      <c r="J635" s="11" t="n">
        <v>1</v>
      </c>
    </row>
    <row r="636" customFormat="false" ht="15" hidden="false" customHeight="false" outlineLevel="0" collapsed="false">
      <c r="A636" s="4" t="s">
        <v>4559</v>
      </c>
      <c r="B636" s="6" t="n">
        <v>45778</v>
      </c>
      <c r="C636" s="4" t="s">
        <v>1351</v>
      </c>
      <c r="D636" s="4" t="s">
        <v>3938</v>
      </c>
      <c r="E636" s="4" t="s">
        <v>16</v>
      </c>
      <c r="F636" s="4" t="s">
        <v>3918</v>
      </c>
      <c r="G636" s="4" t="s">
        <v>3210</v>
      </c>
      <c r="H636" s="8" t="n">
        <v>11.3</v>
      </c>
      <c r="I636" s="8" t="n">
        <v>159.1</v>
      </c>
      <c r="J636" s="11" t="n">
        <v>1</v>
      </c>
    </row>
    <row r="637" customFormat="false" ht="15" hidden="false" customHeight="false" outlineLevel="0" collapsed="false">
      <c r="A637" s="4" t="s">
        <v>4560</v>
      </c>
      <c r="B637" s="6" t="n">
        <v>45776</v>
      </c>
      <c r="C637" s="4" t="s">
        <v>579</v>
      </c>
      <c r="D637" s="4" t="s">
        <v>3938</v>
      </c>
      <c r="E637" s="4" t="s">
        <v>10</v>
      </c>
      <c r="F637" s="4" t="s">
        <v>3921</v>
      </c>
      <c r="G637" s="4" t="s">
        <v>3208</v>
      </c>
      <c r="H637" s="8" t="n">
        <v>2.6</v>
      </c>
      <c r="I637" s="8" t="n">
        <v>219.4</v>
      </c>
      <c r="J637" s="11" t="n">
        <v>1</v>
      </c>
    </row>
    <row r="638" customFormat="false" ht="15" hidden="false" customHeight="false" outlineLevel="0" collapsed="false">
      <c r="A638" s="4" t="s">
        <v>4561</v>
      </c>
      <c r="B638" s="6" t="n">
        <v>46115</v>
      </c>
      <c r="C638" s="4" t="s">
        <v>603</v>
      </c>
      <c r="D638" s="4" t="s">
        <v>3920</v>
      </c>
      <c r="E638" s="4" t="s">
        <v>10</v>
      </c>
      <c r="F638" s="4" t="s">
        <v>3921</v>
      </c>
      <c r="G638" s="4" t="s">
        <v>3340</v>
      </c>
      <c r="H638" s="8" t="n">
        <v>17.8</v>
      </c>
      <c r="I638" s="8" t="n">
        <v>127.9</v>
      </c>
      <c r="J638" s="11" t="n">
        <v>4</v>
      </c>
    </row>
    <row r="639" customFormat="false" ht="15" hidden="false" customHeight="false" outlineLevel="0" collapsed="false">
      <c r="A639" s="4" t="s">
        <v>4562</v>
      </c>
      <c r="B639" s="6" t="n">
        <v>45877</v>
      </c>
      <c r="C639" s="4" t="s">
        <v>498</v>
      </c>
      <c r="D639" s="4" t="s">
        <v>3920</v>
      </c>
      <c r="E639" s="4" t="s">
        <v>16</v>
      </c>
      <c r="F639" s="4" t="s">
        <v>3918</v>
      </c>
      <c r="G639" s="4" t="s">
        <v>3294</v>
      </c>
      <c r="H639" s="8" t="n">
        <v>4.7</v>
      </c>
      <c r="I639" s="8" t="n">
        <v>92.5</v>
      </c>
      <c r="J639" s="11" t="n">
        <v>2</v>
      </c>
    </row>
    <row r="640" customFormat="false" ht="15" hidden="false" customHeight="false" outlineLevel="0" collapsed="false">
      <c r="A640" s="4" t="s">
        <v>4563</v>
      </c>
      <c r="B640" s="6" t="n">
        <v>46124</v>
      </c>
      <c r="C640" s="4" t="s">
        <v>1131</v>
      </c>
      <c r="D640" s="4" t="s">
        <v>3920</v>
      </c>
      <c r="E640" s="4" t="s">
        <v>10</v>
      </c>
      <c r="F640" s="4" t="s">
        <v>3918</v>
      </c>
      <c r="G640" s="4" t="s">
        <v>3398</v>
      </c>
      <c r="H640" s="8" t="n">
        <v>12.6</v>
      </c>
      <c r="I640" s="8" t="n">
        <v>37.6</v>
      </c>
      <c r="J640" s="11" t="n">
        <v>3</v>
      </c>
    </row>
    <row r="641" customFormat="false" ht="15" hidden="false" customHeight="false" outlineLevel="0" collapsed="false">
      <c r="A641" s="4" t="s">
        <v>4564</v>
      </c>
      <c r="B641" s="6" t="n">
        <v>45750</v>
      </c>
      <c r="C641" s="4" t="s">
        <v>755</v>
      </c>
      <c r="D641" s="4" t="s">
        <v>3928</v>
      </c>
      <c r="E641" s="4" t="s">
        <v>16</v>
      </c>
      <c r="F641" s="4" t="s">
        <v>3921</v>
      </c>
      <c r="G641" s="4" t="s">
        <v>3406</v>
      </c>
      <c r="H641" s="8" t="n">
        <v>13.4</v>
      </c>
      <c r="I641" s="8" t="n">
        <v>96</v>
      </c>
      <c r="J641" s="11" t="n">
        <v>5</v>
      </c>
    </row>
    <row r="642" customFormat="false" ht="15" hidden="false" customHeight="false" outlineLevel="0" collapsed="false">
      <c r="A642" s="4" t="s">
        <v>4565</v>
      </c>
      <c r="B642" s="6" t="n">
        <v>45666</v>
      </c>
      <c r="C642" s="4" t="s">
        <v>1055</v>
      </c>
      <c r="D642" s="4" t="s">
        <v>3920</v>
      </c>
      <c r="E642" s="4" t="s">
        <v>16</v>
      </c>
      <c r="F642" s="4" t="s">
        <v>3929</v>
      </c>
      <c r="G642" s="4" t="s">
        <v>3070</v>
      </c>
      <c r="H642" s="8" t="n">
        <v>3.7</v>
      </c>
      <c r="I642" s="8" t="n">
        <v>70.2</v>
      </c>
      <c r="J642" s="11" t="n">
        <v>2</v>
      </c>
    </row>
    <row r="643" customFormat="false" ht="15" hidden="false" customHeight="false" outlineLevel="0" collapsed="false">
      <c r="A643" s="4" t="s">
        <v>4566</v>
      </c>
      <c r="B643" s="6" t="n">
        <v>46033</v>
      </c>
      <c r="C643" s="4" t="s">
        <v>1455</v>
      </c>
      <c r="D643" s="4" t="s">
        <v>3920</v>
      </c>
      <c r="E643" s="4" t="s">
        <v>10</v>
      </c>
      <c r="F643" s="4" t="s">
        <v>3918</v>
      </c>
      <c r="G643" s="4" t="s">
        <v>3370</v>
      </c>
      <c r="H643" s="8" t="n">
        <v>9.2</v>
      </c>
      <c r="I643" s="8" t="n">
        <v>190.3</v>
      </c>
      <c r="J643" s="11" t="n">
        <v>1</v>
      </c>
    </row>
    <row r="644" customFormat="false" ht="15" hidden="false" customHeight="false" outlineLevel="0" collapsed="false">
      <c r="A644" s="4" t="s">
        <v>4567</v>
      </c>
      <c r="B644" s="6" t="n">
        <v>45789</v>
      </c>
      <c r="C644" s="4" t="s">
        <v>1261</v>
      </c>
      <c r="D644" s="4" t="s">
        <v>3926</v>
      </c>
      <c r="E644" s="4" t="s">
        <v>16</v>
      </c>
      <c r="F644" s="4" t="s">
        <v>3929</v>
      </c>
      <c r="G644" s="4" t="s">
        <v>3256</v>
      </c>
      <c r="H644" s="8" t="n">
        <v>19.8</v>
      </c>
      <c r="I644" s="8" t="n">
        <v>186.8</v>
      </c>
      <c r="J644" s="11" t="n">
        <v>2</v>
      </c>
    </row>
    <row r="645" customFormat="false" ht="15" hidden="false" customHeight="false" outlineLevel="0" collapsed="false">
      <c r="A645" s="4" t="s">
        <v>4568</v>
      </c>
      <c r="B645" s="6" t="n">
        <v>45803</v>
      </c>
      <c r="C645" s="4" t="s">
        <v>747</v>
      </c>
      <c r="D645" s="4" t="s">
        <v>3917</v>
      </c>
      <c r="E645" s="4" t="s">
        <v>28</v>
      </c>
      <c r="F645" s="4" t="s">
        <v>3921</v>
      </c>
      <c r="G645" s="4" t="s">
        <v>3218</v>
      </c>
      <c r="H645" s="8" t="n">
        <v>22.5</v>
      </c>
      <c r="I645" s="8" t="n">
        <v>132.8</v>
      </c>
      <c r="J645" s="11" t="n">
        <v>5</v>
      </c>
    </row>
    <row r="646" customFormat="false" ht="15" hidden="false" customHeight="false" outlineLevel="0" collapsed="false">
      <c r="A646" s="4" t="s">
        <v>4569</v>
      </c>
      <c r="B646" s="6" t="n">
        <v>45972</v>
      </c>
      <c r="C646" s="4" t="s">
        <v>1245</v>
      </c>
      <c r="D646" s="4" t="s">
        <v>3917</v>
      </c>
      <c r="E646" s="4" t="s">
        <v>22</v>
      </c>
      <c r="F646" s="4" t="s">
        <v>3923</v>
      </c>
      <c r="G646" s="4" t="s">
        <v>3110</v>
      </c>
      <c r="H646" s="8" t="n">
        <v>20.3</v>
      </c>
      <c r="I646" s="8" t="n">
        <v>63.7</v>
      </c>
      <c r="J646" s="11" t="n">
        <v>1</v>
      </c>
    </row>
    <row r="647" customFormat="false" ht="15" hidden="false" customHeight="false" outlineLevel="0" collapsed="false">
      <c r="A647" s="4" t="s">
        <v>4570</v>
      </c>
      <c r="B647" s="6" t="n">
        <v>45802</v>
      </c>
      <c r="C647" s="4" t="s">
        <v>957</v>
      </c>
      <c r="D647" s="4" t="s">
        <v>3928</v>
      </c>
      <c r="E647" s="4" t="s">
        <v>16</v>
      </c>
      <c r="F647" s="4" t="s">
        <v>3921</v>
      </c>
      <c r="G647" s="4" t="s">
        <v>3218</v>
      </c>
      <c r="H647" s="8" t="n">
        <v>3</v>
      </c>
      <c r="I647" s="8" t="n">
        <v>148.2</v>
      </c>
      <c r="J647" s="11" t="n">
        <v>4</v>
      </c>
    </row>
    <row r="648" customFormat="false" ht="15" hidden="false" customHeight="false" outlineLevel="0" collapsed="false">
      <c r="A648" s="4" t="s">
        <v>4571</v>
      </c>
      <c r="B648" s="6" t="n">
        <v>45942</v>
      </c>
      <c r="C648" s="4" t="s">
        <v>522</v>
      </c>
      <c r="D648" s="4" t="s">
        <v>3917</v>
      </c>
      <c r="E648" s="4" t="s">
        <v>16</v>
      </c>
      <c r="F648" s="4" t="s">
        <v>3923</v>
      </c>
      <c r="G648" s="4" t="s">
        <v>3308</v>
      </c>
      <c r="H648" s="8" t="n">
        <v>14.9</v>
      </c>
      <c r="I648" s="8" t="n">
        <v>107.5</v>
      </c>
      <c r="J648" s="11" t="n">
        <v>1</v>
      </c>
    </row>
    <row r="649" customFormat="false" ht="15" hidden="false" customHeight="false" outlineLevel="0" collapsed="false">
      <c r="A649" s="4" t="s">
        <v>4572</v>
      </c>
      <c r="B649" s="6" t="n">
        <v>45680</v>
      </c>
      <c r="C649" s="4" t="s">
        <v>887</v>
      </c>
      <c r="D649" s="4" t="s">
        <v>3917</v>
      </c>
      <c r="E649" s="4" t="s">
        <v>28</v>
      </c>
      <c r="F649" s="4" t="s">
        <v>3923</v>
      </c>
      <c r="G649" s="4" t="s">
        <v>3068</v>
      </c>
      <c r="H649" s="8" t="n">
        <v>3.1</v>
      </c>
      <c r="I649" s="8" t="n">
        <v>69</v>
      </c>
      <c r="J649" s="11" t="n">
        <v>1</v>
      </c>
    </row>
    <row r="650" customFormat="false" ht="15" hidden="false" customHeight="false" outlineLevel="0" collapsed="false">
      <c r="A650" s="4" t="s">
        <v>4573</v>
      </c>
      <c r="B650" s="6" t="n">
        <v>45925</v>
      </c>
      <c r="C650" s="4" t="s">
        <v>1439</v>
      </c>
      <c r="D650" s="4" t="s">
        <v>3917</v>
      </c>
      <c r="E650" s="4" t="s">
        <v>22</v>
      </c>
      <c r="F650" s="4" t="s">
        <v>3929</v>
      </c>
      <c r="G650" s="4" t="s">
        <v>3424</v>
      </c>
      <c r="H650" s="8" t="n">
        <v>21.1</v>
      </c>
      <c r="I650" s="8" t="n">
        <v>152.4</v>
      </c>
      <c r="J650" s="11" t="n">
        <v>1</v>
      </c>
    </row>
    <row r="651" customFormat="false" ht="15" hidden="false" customHeight="false" outlineLevel="0" collapsed="false">
      <c r="A651" s="4" t="s">
        <v>4574</v>
      </c>
      <c r="B651" s="6" t="n">
        <v>45691</v>
      </c>
      <c r="C651" s="4" t="s">
        <v>719</v>
      </c>
      <c r="D651" s="4" t="s">
        <v>3928</v>
      </c>
      <c r="E651" s="4" t="s">
        <v>16</v>
      </c>
      <c r="F651" s="4" t="s">
        <v>3929</v>
      </c>
      <c r="G651" s="4" t="s">
        <v>3064</v>
      </c>
      <c r="H651" s="8" t="n">
        <v>0.5</v>
      </c>
      <c r="I651" s="8" t="n">
        <v>88.4</v>
      </c>
      <c r="J651" s="11" t="n">
        <v>4</v>
      </c>
    </row>
    <row r="652" customFormat="false" ht="15" hidden="false" customHeight="false" outlineLevel="0" collapsed="false">
      <c r="A652" s="4" t="s">
        <v>4575</v>
      </c>
      <c r="B652" s="6" t="n">
        <v>46035</v>
      </c>
      <c r="C652" s="4" t="s">
        <v>897</v>
      </c>
      <c r="D652" s="4" t="s">
        <v>3920</v>
      </c>
      <c r="E652" s="4" t="s">
        <v>28</v>
      </c>
      <c r="F652" s="4" t="s">
        <v>3923</v>
      </c>
      <c r="G652" s="4" t="s">
        <v>3320</v>
      </c>
      <c r="H652" s="8" t="n">
        <v>1.7</v>
      </c>
      <c r="I652" s="8" t="n">
        <v>107.4</v>
      </c>
      <c r="J652" s="11" t="n">
        <v>3</v>
      </c>
    </row>
    <row r="653" customFormat="false" ht="15" hidden="false" customHeight="false" outlineLevel="0" collapsed="false">
      <c r="A653" s="4" t="s">
        <v>4576</v>
      </c>
      <c r="B653" s="6" t="n">
        <v>46093</v>
      </c>
      <c r="C653" s="4" t="s">
        <v>1327</v>
      </c>
      <c r="D653" s="4" t="s">
        <v>3917</v>
      </c>
      <c r="E653" s="4" t="s">
        <v>22</v>
      </c>
      <c r="F653" s="4" t="s">
        <v>3929</v>
      </c>
      <c r="G653" s="4" t="s">
        <v>3486</v>
      </c>
      <c r="H653" s="8" t="n">
        <v>6</v>
      </c>
      <c r="I653" s="8" t="n">
        <v>116.1</v>
      </c>
      <c r="J653" s="11" t="n">
        <v>1</v>
      </c>
    </row>
    <row r="654" customFormat="false" ht="15" hidden="false" customHeight="false" outlineLevel="0" collapsed="false">
      <c r="A654" s="4" t="s">
        <v>4577</v>
      </c>
      <c r="B654" s="6" t="n">
        <v>46130</v>
      </c>
      <c r="C654" s="4" t="s">
        <v>909</v>
      </c>
      <c r="D654" s="4" t="s">
        <v>3928</v>
      </c>
      <c r="E654" s="4" t="s">
        <v>16</v>
      </c>
      <c r="F654" s="4" t="s">
        <v>3929</v>
      </c>
      <c r="G654" s="4" t="s">
        <v>3058</v>
      </c>
      <c r="H654" s="8" t="n">
        <v>1.2</v>
      </c>
      <c r="I654" s="8" t="n">
        <v>16.1</v>
      </c>
      <c r="J654" s="11" t="n">
        <v>1</v>
      </c>
    </row>
    <row r="655" customFormat="false" ht="15" hidden="false" customHeight="false" outlineLevel="0" collapsed="false">
      <c r="A655" s="4" t="s">
        <v>4578</v>
      </c>
      <c r="B655" s="6" t="n">
        <v>45870</v>
      </c>
      <c r="C655" s="4" t="s">
        <v>485</v>
      </c>
      <c r="D655" s="4" t="s">
        <v>3938</v>
      </c>
      <c r="E655" s="4" t="s">
        <v>10</v>
      </c>
      <c r="F655" s="4" t="s">
        <v>3921</v>
      </c>
      <c r="G655" s="4" t="s">
        <v>3284</v>
      </c>
      <c r="H655" s="8" t="n">
        <v>5.6</v>
      </c>
      <c r="I655" s="8" t="n">
        <v>108.9</v>
      </c>
      <c r="J655" s="11" t="n">
        <v>3</v>
      </c>
    </row>
    <row r="656" customFormat="false" ht="15" hidden="false" customHeight="false" outlineLevel="0" collapsed="false">
      <c r="A656" s="4" t="s">
        <v>4579</v>
      </c>
      <c r="B656" s="6" t="n">
        <v>45823</v>
      </c>
      <c r="C656" s="4" t="s">
        <v>897</v>
      </c>
      <c r="D656" s="4" t="s">
        <v>3926</v>
      </c>
      <c r="E656" s="4" t="s">
        <v>10</v>
      </c>
      <c r="F656" s="4" t="s">
        <v>3923</v>
      </c>
      <c r="G656" s="4" t="s">
        <v>3022</v>
      </c>
      <c r="H656" s="8" t="n">
        <v>13.1</v>
      </c>
      <c r="I656" s="8" t="n">
        <v>125</v>
      </c>
      <c r="J656" s="11" t="n">
        <v>3</v>
      </c>
    </row>
    <row r="657" customFormat="false" ht="15" hidden="false" customHeight="false" outlineLevel="0" collapsed="false">
      <c r="A657" s="4" t="s">
        <v>4580</v>
      </c>
      <c r="B657" s="6" t="n">
        <v>45809</v>
      </c>
      <c r="C657" s="4" t="s">
        <v>1071</v>
      </c>
      <c r="D657" s="4" t="s">
        <v>3928</v>
      </c>
      <c r="E657" s="4" t="s">
        <v>28</v>
      </c>
      <c r="F657" s="4" t="s">
        <v>3921</v>
      </c>
      <c r="G657" s="4" t="s">
        <v>3446</v>
      </c>
      <c r="H657" s="8" t="n">
        <v>17.3</v>
      </c>
      <c r="I657" s="8" t="n">
        <v>233.9</v>
      </c>
      <c r="J657" s="11" t="n">
        <v>1</v>
      </c>
    </row>
    <row r="658" customFormat="false" ht="15" hidden="false" customHeight="false" outlineLevel="0" collapsed="false">
      <c r="A658" s="4" t="s">
        <v>4581</v>
      </c>
      <c r="B658" s="6" t="n">
        <v>45858</v>
      </c>
      <c r="C658" s="4" t="s">
        <v>985</v>
      </c>
      <c r="D658" s="4" t="s">
        <v>3928</v>
      </c>
      <c r="E658" s="4" t="s">
        <v>28</v>
      </c>
      <c r="F658" s="4" t="s">
        <v>3921</v>
      </c>
      <c r="G658" s="4" t="s">
        <v>3210</v>
      </c>
      <c r="H658" s="8" t="n">
        <v>10.9</v>
      </c>
      <c r="I658" s="8" t="n">
        <v>60.7</v>
      </c>
      <c r="J658" s="11" t="n">
        <v>4</v>
      </c>
    </row>
    <row r="659" customFormat="false" ht="15" hidden="false" customHeight="false" outlineLevel="0" collapsed="false">
      <c r="A659" s="4" t="s">
        <v>4582</v>
      </c>
      <c r="B659" s="6" t="n">
        <v>45739</v>
      </c>
      <c r="C659" s="4" t="s">
        <v>1457</v>
      </c>
      <c r="D659" s="4" t="s">
        <v>3928</v>
      </c>
      <c r="E659" s="4" t="s">
        <v>16</v>
      </c>
      <c r="F659" s="4" t="s">
        <v>3929</v>
      </c>
      <c r="G659" s="4" t="s">
        <v>3418</v>
      </c>
      <c r="H659" s="8" t="n">
        <v>20.9</v>
      </c>
      <c r="I659" s="8" t="n">
        <v>87.9</v>
      </c>
      <c r="J659" s="11" t="n">
        <v>5</v>
      </c>
    </row>
    <row r="660" customFormat="false" ht="15" hidden="false" customHeight="false" outlineLevel="0" collapsed="false">
      <c r="A660" s="4" t="s">
        <v>4583</v>
      </c>
      <c r="B660" s="6" t="n">
        <v>45965</v>
      </c>
      <c r="C660" s="4" t="s">
        <v>669</v>
      </c>
      <c r="D660" s="4" t="s">
        <v>3938</v>
      </c>
      <c r="E660" s="4" t="s">
        <v>22</v>
      </c>
      <c r="F660" s="4" t="s">
        <v>3923</v>
      </c>
      <c r="G660" s="4" t="s">
        <v>3090</v>
      </c>
      <c r="H660" s="8" t="n">
        <v>2.8</v>
      </c>
      <c r="I660" s="8" t="n">
        <v>48.8</v>
      </c>
      <c r="J660" s="11" t="n">
        <v>1</v>
      </c>
    </row>
    <row r="661" customFormat="false" ht="15" hidden="false" customHeight="false" outlineLevel="0" collapsed="false">
      <c r="A661" s="4" t="s">
        <v>4584</v>
      </c>
      <c r="B661" s="6" t="n">
        <v>46015</v>
      </c>
      <c r="C661" s="4" t="s">
        <v>1009</v>
      </c>
      <c r="D661" s="4" t="s">
        <v>3926</v>
      </c>
      <c r="E661" s="4" t="s">
        <v>28</v>
      </c>
      <c r="F661" s="4" t="s">
        <v>3918</v>
      </c>
      <c r="G661" s="4" t="s">
        <v>3348</v>
      </c>
      <c r="H661" s="8" t="n">
        <v>8.6</v>
      </c>
      <c r="I661" s="8" t="n">
        <v>103.4</v>
      </c>
      <c r="J661" s="11" t="n">
        <v>4</v>
      </c>
    </row>
    <row r="662" customFormat="false" ht="15" hidden="false" customHeight="false" outlineLevel="0" collapsed="false">
      <c r="A662" s="4" t="s">
        <v>4585</v>
      </c>
      <c r="B662" s="6" t="n">
        <v>45688</v>
      </c>
      <c r="C662" s="4" t="s">
        <v>673</v>
      </c>
      <c r="D662" s="4" t="s">
        <v>3928</v>
      </c>
      <c r="E662" s="4" t="s">
        <v>22</v>
      </c>
      <c r="F662" s="4" t="s">
        <v>3923</v>
      </c>
      <c r="G662" s="4" t="s">
        <v>3288</v>
      </c>
      <c r="H662" s="8" t="n">
        <v>0.2</v>
      </c>
      <c r="I662" s="8" t="n">
        <v>49.4</v>
      </c>
      <c r="J662" s="11" t="n">
        <v>2</v>
      </c>
    </row>
    <row r="663" customFormat="false" ht="15" hidden="false" customHeight="false" outlineLevel="0" collapsed="false">
      <c r="A663" s="4" t="s">
        <v>4586</v>
      </c>
      <c r="B663" s="6" t="n">
        <v>46108</v>
      </c>
      <c r="C663" s="4" t="s">
        <v>1409</v>
      </c>
      <c r="D663" s="4" t="s">
        <v>3920</v>
      </c>
      <c r="E663" s="4" t="s">
        <v>28</v>
      </c>
      <c r="F663" s="4" t="s">
        <v>3918</v>
      </c>
      <c r="G663" s="4" t="s">
        <v>3430</v>
      </c>
      <c r="H663" s="8" t="n">
        <v>10.6</v>
      </c>
      <c r="I663" s="8" t="n">
        <v>95.7</v>
      </c>
      <c r="J663" s="11" t="n">
        <v>2</v>
      </c>
    </row>
    <row r="664" customFormat="false" ht="15" hidden="false" customHeight="false" outlineLevel="0" collapsed="false">
      <c r="A664" s="4" t="s">
        <v>4587</v>
      </c>
      <c r="B664" s="6" t="n">
        <v>45723</v>
      </c>
      <c r="C664" s="4" t="s">
        <v>1001</v>
      </c>
      <c r="D664" s="4" t="s">
        <v>3917</v>
      </c>
      <c r="E664" s="4" t="s">
        <v>10</v>
      </c>
      <c r="F664" s="4" t="s">
        <v>3929</v>
      </c>
      <c r="G664" s="4" t="s">
        <v>3426</v>
      </c>
      <c r="H664" s="8" t="n">
        <v>3.4</v>
      </c>
      <c r="I664" s="8" t="n">
        <v>205.2</v>
      </c>
      <c r="J664" s="11" t="n">
        <v>1</v>
      </c>
    </row>
    <row r="665" customFormat="false" ht="15" hidden="false" customHeight="false" outlineLevel="0" collapsed="false">
      <c r="A665" s="4" t="s">
        <v>4588</v>
      </c>
      <c r="B665" s="6" t="n">
        <v>45930</v>
      </c>
      <c r="C665" s="4" t="s">
        <v>877</v>
      </c>
      <c r="D665" s="4" t="s">
        <v>3938</v>
      </c>
      <c r="E665" s="4" t="s">
        <v>10</v>
      </c>
      <c r="F665" s="4" t="s">
        <v>3921</v>
      </c>
      <c r="G665" s="4" t="s">
        <v>3218</v>
      </c>
      <c r="H665" s="8" t="n">
        <v>2.5</v>
      </c>
      <c r="I665" s="8" t="n">
        <v>231.7</v>
      </c>
      <c r="J665" s="11" t="n">
        <v>5</v>
      </c>
    </row>
    <row r="666" customFormat="false" ht="15" hidden="false" customHeight="false" outlineLevel="0" collapsed="false">
      <c r="A666" s="4" t="s">
        <v>4589</v>
      </c>
      <c r="B666" s="6" t="n">
        <v>45777</v>
      </c>
      <c r="C666" s="4" t="s">
        <v>512</v>
      </c>
      <c r="D666" s="4" t="s">
        <v>3938</v>
      </c>
      <c r="E666" s="4" t="s">
        <v>10</v>
      </c>
      <c r="F666" s="4" t="s">
        <v>3921</v>
      </c>
      <c r="G666" s="4" t="s">
        <v>3302</v>
      </c>
      <c r="H666" s="8" t="n">
        <v>11.7</v>
      </c>
      <c r="I666" s="8" t="n">
        <v>113.2</v>
      </c>
      <c r="J666" s="11" t="n">
        <v>3</v>
      </c>
    </row>
    <row r="667" customFormat="false" ht="15" hidden="false" customHeight="false" outlineLevel="0" collapsed="false">
      <c r="A667" s="4" t="s">
        <v>4590</v>
      </c>
      <c r="B667" s="6" t="n">
        <v>45926</v>
      </c>
      <c r="C667" s="4" t="s">
        <v>1063</v>
      </c>
      <c r="D667" s="4" t="s">
        <v>3917</v>
      </c>
      <c r="E667" s="4" t="s">
        <v>10</v>
      </c>
      <c r="F667" s="4" t="s">
        <v>3921</v>
      </c>
      <c r="G667" s="4" t="s">
        <v>3280</v>
      </c>
      <c r="H667" s="8" t="n">
        <v>18.5</v>
      </c>
      <c r="I667" s="8" t="n">
        <v>133.4</v>
      </c>
      <c r="J667" s="11" t="n">
        <v>5</v>
      </c>
    </row>
    <row r="668" customFormat="false" ht="15" hidden="false" customHeight="false" outlineLevel="0" collapsed="false">
      <c r="A668" s="4" t="s">
        <v>4591</v>
      </c>
      <c r="B668" s="6" t="n">
        <v>45980</v>
      </c>
      <c r="C668" s="4" t="s">
        <v>719</v>
      </c>
      <c r="D668" s="4" t="s">
        <v>3928</v>
      </c>
      <c r="E668" s="4" t="s">
        <v>22</v>
      </c>
      <c r="F668" s="4" t="s">
        <v>3921</v>
      </c>
      <c r="G668" s="4" t="s">
        <v>3164</v>
      </c>
      <c r="H668" s="8" t="n">
        <v>18.8</v>
      </c>
      <c r="I668" s="8" t="n">
        <v>12.1</v>
      </c>
      <c r="J668" s="11" t="n">
        <v>5</v>
      </c>
    </row>
    <row r="669" customFormat="false" ht="15" hidden="false" customHeight="false" outlineLevel="0" collapsed="false">
      <c r="A669" s="4" t="s">
        <v>4592</v>
      </c>
      <c r="B669" s="6" t="n">
        <v>46166</v>
      </c>
      <c r="C669" s="4" t="s">
        <v>1415</v>
      </c>
      <c r="D669" s="4" t="s">
        <v>3938</v>
      </c>
      <c r="E669" s="4" t="s">
        <v>10</v>
      </c>
      <c r="F669" s="4" t="s">
        <v>3929</v>
      </c>
      <c r="G669" s="4" t="s">
        <v>3402</v>
      </c>
      <c r="H669" s="8" t="n">
        <v>14.6</v>
      </c>
      <c r="I669" s="8" t="n">
        <v>237.5</v>
      </c>
      <c r="J669" s="11" t="n">
        <v>2</v>
      </c>
    </row>
    <row r="670" customFormat="false" ht="15" hidden="false" customHeight="false" outlineLevel="0" collapsed="false">
      <c r="A670" s="4" t="s">
        <v>4593</v>
      </c>
      <c r="B670" s="6" t="n">
        <v>46132</v>
      </c>
      <c r="C670" s="4" t="s">
        <v>1069</v>
      </c>
      <c r="D670" s="4" t="s">
        <v>3938</v>
      </c>
      <c r="E670" s="4" t="s">
        <v>10</v>
      </c>
      <c r="F670" s="4" t="s">
        <v>3918</v>
      </c>
      <c r="G670" s="4" t="s">
        <v>3352</v>
      </c>
      <c r="H670" s="8" t="n">
        <v>3</v>
      </c>
      <c r="I670" s="8" t="n">
        <v>100.7</v>
      </c>
      <c r="J670" s="11" t="n">
        <v>5</v>
      </c>
    </row>
    <row r="671" customFormat="false" ht="15" hidden="false" customHeight="false" outlineLevel="0" collapsed="false">
      <c r="A671" s="4" t="s">
        <v>4594</v>
      </c>
      <c r="B671" s="6" t="n">
        <v>46078</v>
      </c>
      <c r="C671" s="4" t="s">
        <v>1393</v>
      </c>
      <c r="D671" s="4" t="s">
        <v>3938</v>
      </c>
      <c r="E671" s="4" t="s">
        <v>22</v>
      </c>
      <c r="F671" s="4" t="s">
        <v>3921</v>
      </c>
      <c r="G671" s="4" t="s">
        <v>3490</v>
      </c>
      <c r="H671" s="8" t="n">
        <v>2.5</v>
      </c>
      <c r="I671" s="8" t="n">
        <v>53.5</v>
      </c>
      <c r="J671" s="11" t="n">
        <v>3</v>
      </c>
    </row>
    <row r="672" customFormat="false" ht="15" hidden="false" customHeight="false" outlineLevel="0" collapsed="false">
      <c r="A672" s="4" t="s">
        <v>4595</v>
      </c>
      <c r="B672" s="6" t="n">
        <v>46149</v>
      </c>
      <c r="C672" s="4" t="s">
        <v>1049</v>
      </c>
      <c r="D672" s="4" t="s">
        <v>3920</v>
      </c>
      <c r="E672" s="4" t="s">
        <v>10</v>
      </c>
      <c r="F672" s="4" t="s">
        <v>3923</v>
      </c>
      <c r="G672" s="4" t="s">
        <v>3128</v>
      </c>
      <c r="H672" s="8" t="n">
        <v>5.7</v>
      </c>
      <c r="I672" s="8" t="n">
        <v>43.5</v>
      </c>
      <c r="J672" s="11" t="n">
        <v>3</v>
      </c>
    </row>
    <row r="673" customFormat="false" ht="15" hidden="false" customHeight="false" outlineLevel="0" collapsed="false">
      <c r="A673" s="4" t="s">
        <v>4596</v>
      </c>
      <c r="B673" s="6" t="n">
        <v>45873</v>
      </c>
      <c r="C673" s="4" t="s">
        <v>1219</v>
      </c>
      <c r="D673" s="4" t="s">
        <v>3926</v>
      </c>
      <c r="E673" s="4" t="s">
        <v>28</v>
      </c>
      <c r="F673" s="4" t="s">
        <v>3918</v>
      </c>
      <c r="G673" s="4" t="s">
        <v>3344</v>
      </c>
      <c r="H673" s="8" t="n">
        <v>14.2</v>
      </c>
      <c r="I673" s="8" t="n">
        <v>70.8</v>
      </c>
      <c r="J673" s="11" t="n">
        <v>5</v>
      </c>
    </row>
    <row r="674" customFormat="false" ht="15" hidden="false" customHeight="false" outlineLevel="0" collapsed="false">
      <c r="A674" s="4" t="s">
        <v>4597</v>
      </c>
      <c r="B674" s="6" t="n">
        <v>45673</v>
      </c>
      <c r="C674" s="4" t="s">
        <v>531</v>
      </c>
      <c r="D674" s="4" t="s">
        <v>3920</v>
      </c>
      <c r="E674" s="4" t="s">
        <v>10</v>
      </c>
      <c r="F674" s="4" t="s">
        <v>3923</v>
      </c>
      <c r="G674" s="4" t="s">
        <v>3086</v>
      </c>
      <c r="H674" s="8" t="n">
        <v>21.2</v>
      </c>
      <c r="I674" s="8" t="n">
        <v>203.9</v>
      </c>
      <c r="J674" s="11" t="n">
        <v>2</v>
      </c>
    </row>
    <row r="675" customFormat="false" ht="15" hidden="false" customHeight="false" outlineLevel="0" collapsed="false">
      <c r="A675" s="4" t="s">
        <v>4598</v>
      </c>
      <c r="B675" s="6" t="n">
        <v>46136</v>
      </c>
      <c r="C675" s="4" t="s">
        <v>514</v>
      </c>
      <c r="D675" s="4" t="s">
        <v>3926</v>
      </c>
      <c r="E675" s="4" t="s">
        <v>10</v>
      </c>
      <c r="F675" s="4" t="s">
        <v>3918</v>
      </c>
      <c r="G675" s="4" t="s">
        <v>3236</v>
      </c>
      <c r="H675" s="8" t="n">
        <v>19.7</v>
      </c>
      <c r="I675" s="8" t="n">
        <v>130.7</v>
      </c>
      <c r="J675" s="11" t="n">
        <v>2</v>
      </c>
    </row>
    <row r="676" customFormat="false" ht="15" hidden="false" customHeight="false" outlineLevel="0" collapsed="false">
      <c r="A676" s="4" t="s">
        <v>4599</v>
      </c>
      <c r="B676" s="6" t="n">
        <v>46078</v>
      </c>
      <c r="C676" s="4" t="s">
        <v>518</v>
      </c>
      <c r="D676" s="4" t="s">
        <v>3917</v>
      </c>
      <c r="E676" s="4" t="s">
        <v>10</v>
      </c>
      <c r="F676" s="4" t="s">
        <v>3921</v>
      </c>
      <c r="G676" s="4" t="s">
        <v>3340</v>
      </c>
      <c r="H676" s="8" t="n">
        <v>16</v>
      </c>
      <c r="I676" s="8" t="n">
        <v>8.5</v>
      </c>
      <c r="J676" s="11" t="n">
        <v>3</v>
      </c>
    </row>
    <row r="677" customFormat="false" ht="15" hidden="false" customHeight="false" outlineLevel="0" collapsed="false">
      <c r="A677" s="4" t="s">
        <v>4600</v>
      </c>
      <c r="B677" s="6" t="n">
        <v>45898</v>
      </c>
      <c r="C677" s="4" t="s">
        <v>843</v>
      </c>
      <c r="D677" s="4" t="s">
        <v>3926</v>
      </c>
      <c r="E677" s="4" t="s">
        <v>10</v>
      </c>
      <c r="F677" s="4" t="s">
        <v>3921</v>
      </c>
      <c r="G677" s="4" t="s">
        <v>3294</v>
      </c>
      <c r="H677" s="8" t="n">
        <v>12.4</v>
      </c>
      <c r="I677" s="8" t="n">
        <v>122.1</v>
      </c>
      <c r="J677" s="11" t="n">
        <v>5</v>
      </c>
    </row>
    <row r="678" customFormat="false" ht="15" hidden="false" customHeight="false" outlineLevel="0" collapsed="false">
      <c r="A678" s="4" t="s">
        <v>4601</v>
      </c>
      <c r="B678" s="6" t="n">
        <v>45772</v>
      </c>
      <c r="C678" s="4" t="s">
        <v>548</v>
      </c>
      <c r="D678" s="4" t="s">
        <v>3938</v>
      </c>
      <c r="E678" s="4" t="s">
        <v>28</v>
      </c>
      <c r="F678" s="4" t="s">
        <v>3918</v>
      </c>
      <c r="G678" s="4" t="s">
        <v>3494</v>
      </c>
      <c r="H678" s="8" t="n">
        <v>0.6</v>
      </c>
      <c r="I678" s="8" t="n">
        <v>201</v>
      </c>
      <c r="J678" s="11" t="n">
        <v>5</v>
      </c>
    </row>
    <row r="679" customFormat="false" ht="15" hidden="false" customHeight="false" outlineLevel="0" collapsed="false">
      <c r="A679" s="4" t="s">
        <v>4602</v>
      </c>
      <c r="B679" s="6" t="n">
        <v>45730</v>
      </c>
      <c r="C679" s="4" t="s">
        <v>1457</v>
      </c>
      <c r="D679" s="4" t="s">
        <v>3926</v>
      </c>
      <c r="E679" s="4" t="s">
        <v>22</v>
      </c>
      <c r="F679" s="4" t="s">
        <v>3921</v>
      </c>
      <c r="G679" s="4" t="s">
        <v>3476</v>
      </c>
      <c r="H679" s="8" t="n">
        <v>9.6</v>
      </c>
      <c r="I679" s="8" t="n">
        <v>63.9</v>
      </c>
      <c r="J679" s="11" t="n">
        <v>5</v>
      </c>
    </row>
    <row r="680" customFormat="false" ht="15" hidden="false" customHeight="false" outlineLevel="0" collapsed="false">
      <c r="A680" s="4" t="s">
        <v>4603</v>
      </c>
      <c r="B680" s="6" t="n">
        <v>45781</v>
      </c>
      <c r="C680" s="4" t="s">
        <v>927</v>
      </c>
      <c r="D680" s="4" t="s">
        <v>3920</v>
      </c>
      <c r="E680" s="4" t="s">
        <v>16</v>
      </c>
      <c r="F680" s="4" t="s">
        <v>3918</v>
      </c>
      <c r="G680" s="4" t="s">
        <v>3268</v>
      </c>
      <c r="H680" s="8" t="n">
        <v>12.4</v>
      </c>
      <c r="I680" s="8" t="n">
        <v>222.7</v>
      </c>
      <c r="J680" s="11" t="n">
        <v>5</v>
      </c>
    </row>
    <row r="681" customFormat="false" ht="15" hidden="false" customHeight="false" outlineLevel="0" collapsed="false">
      <c r="A681" s="4" t="s">
        <v>4604</v>
      </c>
      <c r="B681" s="6" t="n">
        <v>46106</v>
      </c>
      <c r="C681" s="4" t="s">
        <v>1419</v>
      </c>
      <c r="D681" s="4" t="s">
        <v>3928</v>
      </c>
      <c r="E681" s="4" t="s">
        <v>28</v>
      </c>
      <c r="F681" s="4" t="s">
        <v>3929</v>
      </c>
      <c r="G681" s="4" t="s">
        <v>3278</v>
      </c>
      <c r="H681" s="8" t="n">
        <v>4.2</v>
      </c>
      <c r="I681" s="8" t="n">
        <v>195.2</v>
      </c>
      <c r="J681" s="11" t="n">
        <v>3</v>
      </c>
    </row>
    <row r="682" customFormat="false" ht="15" hidden="false" customHeight="false" outlineLevel="0" collapsed="false">
      <c r="A682" s="4" t="s">
        <v>4605</v>
      </c>
      <c r="B682" s="6" t="n">
        <v>46143</v>
      </c>
      <c r="C682" s="4" t="s">
        <v>791</v>
      </c>
      <c r="D682" s="4" t="s">
        <v>3938</v>
      </c>
      <c r="E682" s="4" t="s">
        <v>10</v>
      </c>
      <c r="F682" s="4" t="s">
        <v>3923</v>
      </c>
      <c r="G682" s="4" t="s">
        <v>3342</v>
      </c>
      <c r="H682" s="8" t="n">
        <v>2.3</v>
      </c>
      <c r="I682" s="8" t="n">
        <v>202.5</v>
      </c>
      <c r="J682" s="11" t="n">
        <v>2</v>
      </c>
    </row>
    <row r="683" customFormat="false" ht="15" hidden="false" customHeight="false" outlineLevel="0" collapsed="false">
      <c r="A683" s="4" t="s">
        <v>4606</v>
      </c>
      <c r="B683" s="6" t="n">
        <v>45964</v>
      </c>
      <c r="C683" s="4" t="s">
        <v>1073</v>
      </c>
      <c r="D683" s="4" t="s">
        <v>3938</v>
      </c>
      <c r="E683" s="4" t="s">
        <v>28</v>
      </c>
      <c r="F683" s="4" t="s">
        <v>3921</v>
      </c>
      <c r="G683" s="4" t="s">
        <v>3048</v>
      </c>
      <c r="H683" s="8" t="n">
        <v>18.4</v>
      </c>
      <c r="I683" s="8" t="n">
        <v>161</v>
      </c>
      <c r="J683" s="11" t="n">
        <v>2</v>
      </c>
    </row>
    <row r="684" customFormat="false" ht="15" hidden="false" customHeight="false" outlineLevel="0" collapsed="false">
      <c r="A684" s="4" t="s">
        <v>4607</v>
      </c>
      <c r="B684" s="6" t="n">
        <v>45827</v>
      </c>
      <c r="C684" s="4" t="s">
        <v>1079</v>
      </c>
      <c r="D684" s="4" t="s">
        <v>3938</v>
      </c>
      <c r="E684" s="4" t="s">
        <v>28</v>
      </c>
      <c r="F684" s="4" t="s">
        <v>3929</v>
      </c>
      <c r="G684" s="4" t="s">
        <v>3288</v>
      </c>
      <c r="H684" s="8" t="n">
        <v>21.7</v>
      </c>
      <c r="I684" s="8" t="n">
        <v>37.8</v>
      </c>
      <c r="J684" s="11" t="n">
        <v>4</v>
      </c>
    </row>
    <row r="685" customFormat="false" ht="15" hidden="false" customHeight="false" outlineLevel="0" collapsed="false">
      <c r="A685" s="4" t="s">
        <v>4608</v>
      </c>
      <c r="B685" s="6" t="n">
        <v>45931</v>
      </c>
      <c r="C685" s="4" t="s">
        <v>506</v>
      </c>
      <c r="D685" s="4" t="s">
        <v>3926</v>
      </c>
      <c r="E685" s="4" t="s">
        <v>28</v>
      </c>
      <c r="F685" s="4" t="s">
        <v>3921</v>
      </c>
      <c r="G685" s="4" t="s">
        <v>3182</v>
      </c>
      <c r="H685" s="8" t="n">
        <v>5.6</v>
      </c>
      <c r="I685" s="8" t="n">
        <v>30.1</v>
      </c>
      <c r="J685" s="11" t="n">
        <v>1</v>
      </c>
    </row>
    <row r="686" customFormat="false" ht="15" hidden="false" customHeight="false" outlineLevel="0" collapsed="false">
      <c r="A686" s="4" t="s">
        <v>4609</v>
      </c>
      <c r="B686" s="6" t="n">
        <v>46021</v>
      </c>
      <c r="C686" s="4" t="s">
        <v>901</v>
      </c>
      <c r="D686" s="4" t="s">
        <v>3928</v>
      </c>
      <c r="E686" s="4" t="s">
        <v>28</v>
      </c>
      <c r="F686" s="4" t="s">
        <v>3921</v>
      </c>
      <c r="G686" s="4" t="s">
        <v>3254</v>
      </c>
      <c r="H686" s="8" t="n">
        <v>21.6</v>
      </c>
      <c r="I686" s="8" t="n">
        <v>154.9</v>
      </c>
      <c r="J686" s="11" t="n">
        <v>2</v>
      </c>
    </row>
    <row r="687" customFormat="false" ht="15" hidden="false" customHeight="false" outlineLevel="0" collapsed="false">
      <c r="A687" s="4" t="s">
        <v>4610</v>
      </c>
      <c r="B687" s="6" t="n">
        <v>45887</v>
      </c>
      <c r="C687" s="4" t="s">
        <v>805</v>
      </c>
      <c r="D687" s="4" t="s">
        <v>3938</v>
      </c>
      <c r="E687" s="4" t="s">
        <v>28</v>
      </c>
      <c r="F687" s="4" t="s">
        <v>3929</v>
      </c>
      <c r="G687" s="4" t="s">
        <v>3182</v>
      </c>
      <c r="H687" s="8" t="n">
        <v>2.7</v>
      </c>
      <c r="I687" s="8" t="n">
        <v>223.6</v>
      </c>
      <c r="J687" s="11" t="n">
        <v>5</v>
      </c>
    </row>
    <row r="688" customFormat="false" ht="15" hidden="false" customHeight="false" outlineLevel="0" collapsed="false">
      <c r="A688" s="4" t="s">
        <v>4611</v>
      </c>
      <c r="B688" s="6" t="n">
        <v>45957</v>
      </c>
      <c r="C688" s="4" t="s">
        <v>1119</v>
      </c>
      <c r="D688" s="4" t="s">
        <v>3928</v>
      </c>
      <c r="E688" s="4" t="s">
        <v>28</v>
      </c>
      <c r="F688" s="4" t="s">
        <v>3918</v>
      </c>
      <c r="G688" s="4" t="s">
        <v>3454</v>
      </c>
      <c r="H688" s="8" t="n">
        <v>14.6</v>
      </c>
      <c r="I688" s="8" t="n">
        <v>102.3</v>
      </c>
      <c r="J688" s="11" t="n">
        <v>3</v>
      </c>
    </row>
    <row r="689" customFormat="false" ht="15" hidden="false" customHeight="false" outlineLevel="0" collapsed="false">
      <c r="A689" s="4" t="s">
        <v>4612</v>
      </c>
      <c r="B689" s="6" t="n">
        <v>45912</v>
      </c>
      <c r="C689" s="4" t="s">
        <v>1201</v>
      </c>
      <c r="D689" s="4" t="s">
        <v>3920</v>
      </c>
      <c r="E689" s="4" t="s">
        <v>28</v>
      </c>
      <c r="F689" s="4" t="s">
        <v>3923</v>
      </c>
      <c r="G689" s="4" t="s">
        <v>3480</v>
      </c>
      <c r="H689" s="8" t="n">
        <v>14.7</v>
      </c>
      <c r="I689" s="8" t="n">
        <v>8.1</v>
      </c>
      <c r="J689" s="11" t="n">
        <v>4</v>
      </c>
    </row>
    <row r="690" customFormat="false" ht="15" hidden="false" customHeight="false" outlineLevel="0" collapsed="false">
      <c r="A690" s="4" t="s">
        <v>4613</v>
      </c>
      <c r="B690" s="6" t="n">
        <v>45724</v>
      </c>
      <c r="C690" s="4" t="s">
        <v>919</v>
      </c>
      <c r="D690" s="4" t="s">
        <v>3928</v>
      </c>
      <c r="E690" s="4" t="s">
        <v>22</v>
      </c>
      <c r="F690" s="4" t="s">
        <v>3918</v>
      </c>
      <c r="G690" s="4" t="s">
        <v>3080</v>
      </c>
      <c r="H690" s="8" t="n">
        <v>13.5</v>
      </c>
      <c r="I690" s="8" t="n">
        <v>26.3</v>
      </c>
      <c r="J690" s="11" t="n">
        <v>2</v>
      </c>
    </row>
    <row r="691" customFormat="false" ht="15" hidden="false" customHeight="false" outlineLevel="0" collapsed="false">
      <c r="A691" s="4" t="s">
        <v>4614</v>
      </c>
      <c r="B691" s="6" t="n">
        <v>45906</v>
      </c>
      <c r="C691" s="4" t="s">
        <v>1309</v>
      </c>
      <c r="D691" s="4" t="s">
        <v>3938</v>
      </c>
      <c r="E691" s="4" t="s">
        <v>16</v>
      </c>
      <c r="F691" s="4" t="s">
        <v>3929</v>
      </c>
      <c r="G691" s="4" t="s">
        <v>3142</v>
      </c>
      <c r="H691" s="8" t="n">
        <v>13.1</v>
      </c>
      <c r="I691" s="8" t="n">
        <v>31.8</v>
      </c>
      <c r="J691" s="11" t="n">
        <v>5</v>
      </c>
    </row>
    <row r="692" customFormat="false" ht="15" hidden="false" customHeight="false" outlineLevel="0" collapsed="false">
      <c r="A692" s="4" t="s">
        <v>4615</v>
      </c>
      <c r="B692" s="6" t="n">
        <v>46205</v>
      </c>
      <c r="C692" s="4" t="s">
        <v>873</v>
      </c>
      <c r="D692" s="4" t="s">
        <v>3926</v>
      </c>
      <c r="E692" s="4" t="s">
        <v>16</v>
      </c>
      <c r="F692" s="4" t="s">
        <v>3929</v>
      </c>
      <c r="G692" s="4" t="s">
        <v>3358</v>
      </c>
      <c r="H692" s="8" t="n">
        <v>12.1</v>
      </c>
      <c r="I692" s="8" t="n">
        <v>148.2</v>
      </c>
      <c r="J692" s="11" t="n">
        <v>4</v>
      </c>
    </row>
    <row r="693" customFormat="false" ht="15" hidden="false" customHeight="false" outlineLevel="0" collapsed="false">
      <c r="A693" s="4" t="s">
        <v>4616</v>
      </c>
      <c r="B693" s="6" t="n">
        <v>46062</v>
      </c>
      <c r="C693" s="4" t="s">
        <v>955</v>
      </c>
      <c r="D693" s="4" t="s">
        <v>3917</v>
      </c>
      <c r="E693" s="4" t="s">
        <v>16</v>
      </c>
      <c r="F693" s="4" t="s">
        <v>3929</v>
      </c>
      <c r="G693" s="4" t="s">
        <v>3386</v>
      </c>
      <c r="H693" s="8" t="n">
        <v>12.7</v>
      </c>
      <c r="I693" s="8" t="n">
        <v>145.3</v>
      </c>
      <c r="J693" s="11" t="n">
        <v>1</v>
      </c>
    </row>
    <row r="694" customFormat="false" ht="15" hidden="false" customHeight="false" outlineLevel="0" collapsed="false">
      <c r="A694" s="4" t="s">
        <v>4617</v>
      </c>
      <c r="B694" s="6" t="n">
        <v>45722</v>
      </c>
      <c r="C694" s="4" t="s">
        <v>555</v>
      </c>
      <c r="D694" s="4" t="s">
        <v>3920</v>
      </c>
      <c r="E694" s="4" t="s">
        <v>28</v>
      </c>
      <c r="F694" s="4" t="s">
        <v>3921</v>
      </c>
      <c r="G694" s="4" t="s">
        <v>3038</v>
      </c>
      <c r="H694" s="8" t="n">
        <v>5.2</v>
      </c>
      <c r="I694" s="8" t="n">
        <v>199.5</v>
      </c>
      <c r="J694" s="11" t="n">
        <v>5</v>
      </c>
    </row>
    <row r="695" customFormat="false" ht="15" hidden="false" customHeight="false" outlineLevel="0" collapsed="false">
      <c r="A695" s="4" t="s">
        <v>4618</v>
      </c>
      <c r="B695" s="6" t="n">
        <v>45825</v>
      </c>
      <c r="C695" s="4" t="s">
        <v>1305</v>
      </c>
      <c r="D695" s="4" t="s">
        <v>3917</v>
      </c>
      <c r="E695" s="4" t="s">
        <v>16</v>
      </c>
      <c r="F695" s="4" t="s">
        <v>3929</v>
      </c>
      <c r="G695" s="4" t="s">
        <v>3366</v>
      </c>
      <c r="H695" s="8" t="n">
        <v>9.8</v>
      </c>
      <c r="I695" s="8" t="n">
        <v>57.4</v>
      </c>
      <c r="J695" s="11" t="n">
        <v>4</v>
      </c>
    </row>
    <row r="696" customFormat="false" ht="15" hidden="false" customHeight="false" outlineLevel="0" collapsed="false">
      <c r="A696" s="4" t="s">
        <v>4619</v>
      </c>
      <c r="B696" s="6" t="n">
        <v>46007</v>
      </c>
      <c r="C696" s="4" t="s">
        <v>655</v>
      </c>
      <c r="D696" s="4" t="s">
        <v>3917</v>
      </c>
      <c r="E696" s="4" t="s">
        <v>28</v>
      </c>
      <c r="F696" s="4" t="s">
        <v>3921</v>
      </c>
      <c r="G696" s="4" t="s">
        <v>3024</v>
      </c>
      <c r="H696" s="8" t="n">
        <v>22</v>
      </c>
      <c r="I696" s="8" t="n">
        <v>78.4</v>
      </c>
      <c r="J696" s="11" t="n">
        <v>5</v>
      </c>
    </row>
    <row r="697" customFormat="false" ht="15" hidden="false" customHeight="false" outlineLevel="0" collapsed="false">
      <c r="A697" s="4" t="s">
        <v>4620</v>
      </c>
      <c r="B697" s="6" t="n">
        <v>45998</v>
      </c>
      <c r="C697" s="4" t="s">
        <v>1263</v>
      </c>
      <c r="D697" s="4" t="s">
        <v>3928</v>
      </c>
      <c r="E697" s="4" t="s">
        <v>10</v>
      </c>
      <c r="F697" s="4" t="s">
        <v>3923</v>
      </c>
      <c r="G697" s="4" t="s">
        <v>3466</v>
      </c>
      <c r="H697" s="8" t="n">
        <v>4.1</v>
      </c>
      <c r="I697" s="8" t="n">
        <v>217.7</v>
      </c>
      <c r="J697" s="11" t="n">
        <v>3</v>
      </c>
    </row>
    <row r="698" customFormat="false" ht="15" hidden="false" customHeight="false" outlineLevel="0" collapsed="false">
      <c r="A698" s="4" t="s">
        <v>4621</v>
      </c>
      <c r="B698" s="6" t="n">
        <v>45806</v>
      </c>
      <c r="C698" s="4" t="s">
        <v>733</v>
      </c>
      <c r="D698" s="4" t="s">
        <v>3928</v>
      </c>
      <c r="E698" s="4" t="s">
        <v>22</v>
      </c>
      <c r="F698" s="4" t="s">
        <v>3923</v>
      </c>
      <c r="G698" s="4" t="s">
        <v>3316</v>
      </c>
      <c r="H698" s="8" t="n">
        <v>2.4</v>
      </c>
      <c r="I698" s="8" t="n">
        <v>77.7</v>
      </c>
      <c r="J698" s="11" t="n">
        <v>1</v>
      </c>
    </row>
    <row r="699" customFormat="false" ht="15" hidden="false" customHeight="false" outlineLevel="0" collapsed="false">
      <c r="A699" s="4" t="s">
        <v>4622</v>
      </c>
      <c r="B699" s="6" t="n">
        <v>45938</v>
      </c>
      <c r="C699" s="4" t="s">
        <v>487</v>
      </c>
      <c r="D699" s="4" t="s">
        <v>3926</v>
      </c>
      <c r="E699" s="4" t="s">
        <v>16</v>
      </c>
      <c r="F699" s="4" t="s">
        <v>3929</v>
      </c>
      <c r="G699" s="4" t="s">
        <v>3214</v>
      </c>
      <c r="H699" s="8" t="n">
        <v>9.7</v>
      </c>
      <c r="I699" s="8" t="n">
        <v>17</v>
      </c>
      <c r="J699" s="11" t="n">
        <v>4</v>
      </c>
    </row>
    <row r="700" customFormat="false" ht="15" hidden="false" customHeight="false" outlineLevel="0" collapsed="false">
      <c r="A700" s="4" t="s">
        <v>4623</v>
      </c>
      <c r="B700" s="6" t="n">
        <v>45922</v>
      </c>
      <c r="C700" s="4" t="s">
        <v>1073</v>
      </c>
      <c r="D700" s="4" t="s">
        <v>3926</v>
      </c>
      <c r="E700" s="4" t="s">
        <v>10</v>
      </c>
      <c r="F700" s="4" t="s">
        <v>3918</v>
      </c>
      <c r="G700" s="4" t="s">
        <v>3294</v>
      </c>
      <c r="H700" s="8" t="n">
        <v>18.1</v>
      </c>
      <c r="I700" s="8" t="n">
        <v>152.1</v>
      </c>
      <c r="J700" s="11" t="n">
        <v>5</v>
      </c>
    </row>
    <row r="701" customFormat="false" ht="15" hidden="false" customHeight="false" outlineLevel="0" collapsed="false">
      <c r="A701" s="4" t="s">
        <v>4624</v>
      </c>
      <c r="B701" s="6" t="n">
        <v>46130</v>
      </c>
      <c r="C701" s="4" t="s">
        <v>1317</v>
      </c>
      <c r="D701" s="4" t="s">
        <v>3926</v>
      </c>
      <c r="E701" s="4" t="s">
        <v>10</v>
      </c>
      <c r="F701" s="4" t="s">
        <v>3923</v>
      </c>
      <c r="G701" s="4" t="s">
        <v>3076</v>
      </c>
      <c r="H701" s="8" t="n">
        <v>2.4</v>
      </c>
      <c r="I701" s="8" t="n">
        <v>20.9</v>
      </c>
      <c r="J701" s="11" t="n">
        <v>3</v>
      </c>
    </row>
  </sheetData>
  <dataValidations count="1">
    <dataValidation allowBlank="false" errorStyle="stop" operator="between" showDropDown="false" showErrorMessage="false" showInputMessage="false" sqref="E2:E701" type="list">
      <formula1>Lookups!$E$2:$E$5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.97"/>
    <col collapsed="false" customWidth="true" hidden="false" outlineLevel="0" max="2" min="2" style="1" width="22.7"/>
    <col collapsed="false" customWidth="true" hidden="false" outlineLevel="0" max="3" min="3" style="1" width="7.67"/>
    <col collapsed="false" customWidth="true" hidden="false" outlineLevel="0" max="4" min="4" style="1" width="7.52"/>
    <col collapsed="false" customWidth="true" hidden="false" outlineLevel="0" max="5" min="5" style="1" width="5.54"/>
    <col collapsed="false" customWidth="true" hidden="false" outlineLevel="0" max="6" min="6" style="1" width="11.07"/>
    <col collapsed="false" customWidth="true" hidden="false" outlineLevel="0" max="7" min="7" style="1" width="10.2"/>
    <col collapsed="false" customWidth="true" hidden="false" outlineLevel="0" max="8" min="8" style="1" width="14.62"/>
  </cols>
  <sheetData>
    <row r="1" customFormat="false" ht="28" hidden="false" customHeight="true" outlineLevel="0" collapsed="false">
      <c r="A1" s="3" t="s">
        <v>4625</v>
      </c>
      <c r="B1" s="3" t="s">
        <v>4626</v>
      </c>
      <c r="C1" s="3" t="s">
        <v>1</v>
      </c>
      <c r="D1" s="3" t="s">
        <v>3507</v>
      </c>
      <c r="E1" s="3" t="s">
        <v>4627</v>
      </c>
      <c r="F1" s="3" t="s">
        <v>4628</v>
      </c>
      <c r="G1" s="3" t="s">
        <v>4629</v>
      </c>
      <c r="H1" s="3" t="s">
        <v>4630</v>
      </c>
    </row>
    <row r="2" customFormat="false" ht="15" hidden="false" customHeight="false" outlineLevel="0" collapsed="false">
      <c r="A2" s="6" t="n">
        <v>45839</v>
      </c>
      <c r="B2" s="4" t="s">
        <v>4631</v>
      </c>
      <c r="C2" s="4" t="s">
        <v>4632</v>
      </c>
      <c r="D2" s="5" t="n">
        <v>2215.07</v>
      </c>
      <c r="E2" s="4" t="n">
        <v>127</v>
      </c>
      <c r="F2" s="4" t="n">
        <v>57</v>
      </c>
      <c r="G2" s="5" t="n">
        <f aca="false">IFERROR(D2/E2,0)</f>
        <v>17.4414960629921</v>
      </c>
      <c r="H2" s="12" t="n">
        <f aca="false">IFERROR(F2/E2,0)</f>
        <v>0.448818897637795</v>
      </c>
    </row>
    <row r="3" customFormat="false" ht="15" hidden="false" customHeight="false" outlineLevel="0" collapsed="false">
      <c r="A3" s="6" t="n">
        <v>45840</v>
      </c>
      <c r="B3" s="4" t="s">
        <v>4633</v>
      </c>
      <c r="C3" s="4" t="s">
        <v>4634</v>
      </c>
      <c r="D3" s="5" t="n">
        <v>1127.36</v>
      </c>
      <c r="E3" s="4" t="n">
        <v>423</v>
      </c>
      <c r="F3" s="4" t="n">
        <v>320</v>
      </c>
      <c r="G3" s="5" t="n">
        <f aca="false">IFERROR(D3/E3,0)</f>
        <v>2.6651536643026</v>
      </c>
      <c r="H3" s="12" t="n">
        <f aca="false">IFERROR(F3/E3,0)</f>
        <v>0.756501182033097</v>
      </c>
    </row>
    <row r="4" customFormat="false" ht="15" hidden="false" customHeight="false" outlineLevel="0" collapsed="false">
      <c r="A4" s="6" t="n">
        <v>45841</v>
      </c>
      <c r="B4" s="4" t="s">
        <v>4635</v>
      </c>
      <c r="C4" s="4" t="s">
        <v>4636</v>
      </c>
      <c r="D4" s="5" t="n">
        <v>2843.1</v>
      </c>
      <c r="E4" s="4" t="n">
        <v>651</v>
      </c>
      <c r="F4" s="4" t="n">
        <v>551</v>
      </c>
      <c r="G4" s="5" t="n">
        <f aca="false">IFERROR(D4/E4,0)</f>
        <v>4.36728110599078</v>
      </c>
      <c r="H4" s="12" t="n">
        <f aca="false">IFERROR(F4/E4,0)</f>
        <v>0.846390168970814</v>
      </c>
    </row>
    <row r="5" customFormat="false" ht="15" hidden="false" customHeight="false" outlineLevel="0" collapsed="false">
      <c r="A5" s="6" t="n">
        <v>45842</v>
      </c>
      <c r="B5" s="4" t="s">
        <v>4635</v>
      </c>
      <c r="C5" s="4" t="s">
        <v>4632</v>
      </c>
      <c r="D5" s="5" t="n">
        <v>3569.68</v>
      </c>
      <c r="E5" s="4" t="n">
        <v>615</v>
      </c>
      <c r="F5" s="4" t="n">
        <v>405</v>
      </c>
      <c r="G5" s="5" t="n">
        <f aca="false">IFERROR(D5/E5,0)</f>
        <v>5.80435772357724</v>
      </c>
      <c r="H5" s="12" t="n">
        <f aca="false">IFERROR(F5/E5,0)</f>
        <v>0.658536585365854</v>
      </c>
    </row>
    <row r="6" customFormat="false" ht="15" hidden="false" customHeight="false" outlineLevel="0" collapsed="false">
      <c r="A6" s="6" t="n">
        <v>45843</v>
      </c>
      <c r="B6" s="4" t="s">
        <v>4635</v>
      </c>
      <c r="C6" s="4" t="s">
        <v>4634</v>
      </c>
      <c r="D6" s="5" t="n">
        <v>2341.65</v>
      </c>
      <c r="E6" s="4" t="n">
        <v>538</v>
      </c>
      <c r="F6" s="4" t="n">
        <v>390</v>
      </c>
      <c r="G6" s="5" t="n">
        <f aca="false">IFERROR(D6/E6,0)</f>
        <v>4.3525092936803</v>
      </c>
      <c r="H6" s="12" t="n">
        <f aca="false">IFERROR(F6/E6,0)</f>
        <v>0.724907063197026</v>
      </c>
    </row>
    <row r="7" customFormat="false" ht="15" hidden="false" customHeight="false" outlineLevel="0" collapsed="false">
      <c r="A7" s="6" t="n">
        <v>45844</v>
      </c>
      <c r="B7" s="4" t="s">
        <v>4631</v>
      </c>
      <c r="C7" s="4" t="s">
        <v>4632</v>
      </c>
      <c r="D7" s="5" t="n">
        <v>3521.27</v>
      </c>
      <c r="E7" s="4" t="n">
        <v>112</v>
      </c>
      <c r="F7" s="4" t="n">
        <v>41</v>
      </c>
      <c r="G7" s="5" t="n">
        <f aca="false">IFERROR(D7/E7,0)</f>
        <v>31.4399107142857</v>
      </c>
      <c r="H7" s="12" t="n">
        <f aca="false">IFERROR(F7/E7,0)</f>
        <v>0.366071428571429</v>
      </c>
    </row>
    <row r="8" customFormat="false" ht="15" hidden="false" customHeight="false" outlineLevel="0" collapsed="false">
      <c r="A8" s="6" t="n">
        <v>45845</v>
      </c>
      <c r="B8" s="4" t="s">
        <v>4637</v>
      </c>
      <c r="C8" s="4" t="s">
        <v>4638</v>
      </c>
      <c r="D8" s="5" t="n">
        <v>1490.79</v>
      </c>
      <c r="E8" s="4" t="n">
        <v>341</v>
      </c>
      <c r="F8" s="4" t="n">
        <v>337</v>
      </c>
      <c r="G8" s="5" t="n">
        <f aca="false">IFERROR(D8/E8,0)</f>
        <v>4.37181818181818</v>
      </c>
      <c r="H8" s="12" t="n">
        <f aca="false">IFERROR(F8/E8,0)</f>
        <v>0.988269794721408</v>
      </c>
    </row>
    <row r="9" customFormat="false" ht="15" hidden="false" customHeight="false" outlineLevel="0" collapsed="false">
      <c r="A9" s="6" t="n">
        <v>45846</v>
      </c>
      <c r="B9" s="4" t="s">
        <v>4639</v>
      </c>
      <c r="C9" s="4" t="s">
        <v>4638</v>
      </c>
      <c r="D9" s="5" t="n">
        <v>839.55</v>
      </c>
      <c r="E9" s="4" t="n">
        <v>158</v>
      </c>
      <c r="F9" s="4" t="n">
        <v>153</v>
      </c>
      <c r="G9" s="5" t="n">
        <f aca="false">IFERROR(D9/E9,0)</f>
        <v>5.31360759493671</v>
      </c>
      <c r="H9" s="12" t="n">
        <f aca="false">IFERROR(F9/E9,0)</f>
        <v>0.968354430379747</v>
      </c>
    </row>
    <row r="10" customFormat="false" ht="15" hidden="false" customHeight="false" outlineLevel="0" collapsed="false">
      <c r="A10" s="6" t="n">
        <v>45847</v>
      </c>
      <c r="B10" s="4" t="s">
        <v>4631</v>
      </c>
      <c r="C10" s="4" t="s">
        <v>4636</v>
      </c>
      <c r="D10" s="5" t="n">
        <v>4262.89</v>
      </c>
      <c r="E10" s="4" t="n">
        <v>509</v>
      </c>
      <c r="F10" s="4" t="n">
        <v>509</v>
      </c>
      <c r="G10" s="5" t="n">
        <f aca="false">IFERROR(D10/E10,0)</f>
        <v>8.37502946954814</v>
      </c>
      <c r="H10" s="12" t="n">
        <f aca="false">IFERROR(F10/E10,0)</f>
        <v>1</v>
      </c>
    </row>
    <row r="11" customFormat="false" ht="15" hidden="false" customHeight="false" outlineLevel="0" collapsed="false">
      <c r="A11" s="6" t="n">
        <v>45848</v>
      </c>
      <c r="B11" s="4" t="s">
        <v>4637</v>
      </c>
      <c r="C11" s="4" t="s">
        <v>4634</v>
      </c>
      <c r="D11" s="5" t="n">
        <v>3560.71</v>
      </c>
      <c r="E11" s="4" t="n">
        <v>410</v>
      </c>
      <c r="F11" s="4" t="n">
        <v>355</v>
      </c>
      <c r="G11" s="5" t="n">
        <f aca="false">IFERROR(D11/E11,0)</f>
        <v>8.68465853658537</v>
      </c>
      <c r="H11" s="12" t="n">
        <f aca="false">IFERROR(F11/E11,0)</f>
        <v>0.865853658536585</v>
      </c>
    </row>
    <row r="12" customFormat="false" ht="15" hidden="false" customHeight="false" outlineLevel="0" collapsed="false">
      <c r="A12" s="6" t="n">
        <v>45849</v>
      </c>
      <c r="B12" s="4" t="s">
        <v>4633</v>
      </c>
      <c r="C12" s="4" t="s">
        <v>4638</v>
      </c>
      <c r="D12" s="5" t="n">
        <v>788.6</v>
      </c>
      <c r="E12" s="4" t="n">
        <v>505</v>
      </c>
      <c r="F12" s="4" t="n">
        <v>40</v>
      </c>
      <c r="G12" s="5" t="n">
        <f aca="false">IFERROR(D12/E12,0)</f>
        <v>1.56158415841584</v>
      </c>
      <c r="H12" s="12" t="n">
        <f aca="false">IFERROR(F12/E12,0)</f>
        <v>0.0792079207920792</v>
      </c>
    </row>
    <row r="13" customFormat="false" ht="15" hidden="false" customHeight="false" outlineLevel="0" collapsed="false">
      <c r="A13" s="6" t="n">
        <v>45850</v>
      </c>
      <c r="B13" s="4" t="s">
        <v>4635</v>
      </c>
      <c r="C13" s="4" t="s">
        <v>4640</v>
      </c>
      <c r="D13" s="5" t="n">
        <v>1328.58</v>
      </c>
      <c r="E13" s="4" t="n">
        <v>630</v>
      </c>
      <c r="F13" s="4" t="n">
        <v>550</v>
      </c>
      <c r="G13" s="5" t="n">
        <f aca="false">IFERROR(D13/E13,0)</f>
        <v>2.10885714285714</v>
      </c>
      <c r="H13" s="12" t="n">
        <f aca="false">IFERROR(F13/E13,0)</f>
        <v>0.873015873015873</v>
      </c>
    </row>
    <row r="14" customFormat="false" ht="15" hidden="false" customHeight="false" outlineLevel="0" collapsed="false">
      <c r="A14" s="6" t="n">
        <v>45851</v>
      </c>
      <c r="B14" s="4" t="s">
        <v>4633</v>
      </c>
      <c r="C14" s="4" t="s">
        <v>4636</v>
      </c>
      <c r="D14" s="5" t="n">
        <v>1233.92</v>
      </c>
      <c r="E14" s="4" t="n">
        <v>341</v>
      </c>
      <c r="F14" s="4" t="n">
        <v>127</v>
      </c>
      <c r="G14" s="5" t="n">
        <f aca="false">IFERROR(D14/E14,0)</f>
        <v>3.61853372434018</v>
      </c>
      <c r="H14" s="12" t="n">
        <f aca="false">IFERROR(F14/E14,0)</f>
        <v>0.372434017595308</v>
      </c>
    </row>
    <row r="15" customFormat="false" ht="15" hidden="false" customHeight="false" outlineLevel="0" collapsed="false">
      <c r="A15" s="6" t="n">
        <v>45852</v>
      </c>
      <c r="B15" s="4" t="s">
        <v>4631</v>
      </c>
      <c r="C15" s="4" t="s">
        <v>4634</v>
      </c>
      <c r="D15" s="5" t="n">
        <v>725.04</v>
      </c>
      <c r="E15" s="4" t="n">
        <v>613</v>
      </c>
      <c r="F15" s="4" t="n">
        <v>266</v>
      </c>
      <c r="G15" s="5" t="n">
        <f aca="false">IFERROR(D15/E15,0)</f>
        <v>1.18277324632953</v>
      </c>
      <c r="H15" s="12" t="n">
        <f aca="false">IFERROR(F15/E15,0)</f>
        <v>0.433931484502447</v>
      </c>
    </row>
    <row r="16" customFormat="false" ht="15" hidden="false" customHeight="false" outlineLevel="0" collapsed="false">
      <c r="A16" s="6" t="n">
        <v>45853</v>
      </c>
      <c r="B16" s="4" t="s">
        <v>4637</v>
      </c>
      <c r="C16" s="4" t="s">
        <v>4638</v>
      </c>
      <c r="D16" s="5" t="n">
        <v>3097.6</v>
      </c>
      <c r="E16" s="4" t="n">
        <v>408</v>
      </c>
      <c r="F16" s="4" t="n">
        <v>248</v>
      </c>
      <c r="G16" s="5" t="n">
        <f aca="false">IFERROR(D16/E16,0)</f>
        <v>7.5921568627451</v>
      </c>
      <c r="H16" s="12" t="n">
        <f aca="false">IFERROR(F16/E16,0)</f>
        <v>0.607843137254902</v>
      </c>
    </row>
    <row r="17" customFormat="false" ht="15" hidden="false" customHeight="false" outlineLevel="0" collapsed="false">
      <c r="A17" s="6" t="n">
        <v>45854</v>
      </c>
      <c r="B17" s="4" t="s">
        <v>4635</v>
      </c>
      <c r="C17" s="4" t="s">
        <v>4634</v>
      </c>
      <c r="D17" s="5" t="n">
        <v>367.67</v>
      </c>
      <c r="E17" s="4" t="n">
        <v>691</v>
      </c>
      <c r="F17" s="4" t="n">
        <v>666</v>
      </c>
      <c r="G17" s="5" t="n">
        <f aca="false">IFERROR(D17/E17,0)</f>
        <v>0.532083936324168</v>
      </c>
      <c r="H17" s="12" t="n">
        <f aca="false">IFERROR(F17/E17,0)</f>
        <v>0.963820549927641</v>
      </c>
    </row>
    <row r="18" customFormat="false" ht="15" hidden="false" customHeight="false" outlineLevel="0" collapsed="false">
      <c r="A18" s="6" t="n">
        <v>45855</v>
      </c>
      <c r="B18" s="4" t="s">
        <v>4635</v>
      </c>
      <c r="C18" s="4" t="s">
        <v>4634</v>
      </c>
      <c r="D18" s="5" t="n">
        <v>4083.22</v>
      </c>
      <c r="E18" s="4" t="n">
        <v>325</v>
      </c>
      <c r="F18" s="4" t="n">
        <v>271</v>
      </c>
      <c r="G18" s="5" t="n">
        <f aca="false">IFERROR(D18/E18,0)</f>
        <v>12.5637538461538</v>
      </c>
      <c r="H18" s="12" t="n">
        <f aca="false">IFERROR(F18/E18,0)</f>
        <v>0.833846153846154</v>
      </c>
    </row>
    <row r="19" customFormat="false" ht="15" hidden="false" customHeight="false" outlineLevel="0" collapsed="false">
      <c r="A19" s="6" t="n">
        <v>45856</v>
      </c>
      <c r="B19" s="4" t="s">
        <v>4633</v>
      </c>
      <c r="C19" s="4" t="s">
        <v>4634</v>
      </c>
      <c r="D19" s="5" t="n">
        <v>1099.91</v>
      </c>
      <c r="E19" s="4" t="n">
        <v>320</v>
      </c>
      <c r="F19" s="4" t="n">
        <v>192</v>
      </c>
      <c r="G19" s="5" t="n">
        <f aca="false">IFERROR(D19/E19,0)</f>
        <v>3.43721875</v>
      </c>
      <c r="H19" s="12" t="n">
        <f aca="false">IFERROR(F19/E19,0)</f>
        <v>0.6</v>
      </c>
    </row>
    <row r="20" customFormat="false" ht="15" hidden="false" customHeight="false" outlineLevel="0" collapsed="false">
      <c r="A20" s="6" t="n">
        <v>45857</v>
      </c>
      <c r="B20" s="4" t="s">
        <v>4635</v>
      </c>
      <c r="C20" s="4" t="s">
        <v>4640</v>
      </c>
      <c r="D20" s="5" t="n">
        <v>3981.21</v>
      </c>
      <c r="E20" s="4" t="n">
        <v>778</v>
      </c>
      <c r="F20" s="4" t="n">
        <v>570</v>
      </c>
      <c r="G20" s="5" t="n">
        <f aca="false">IFERROR(D20/E20,0)</f>
        <v>5.11723650385604</v>
      </c>
      <c r="H20" s="12" t="n">
        <f aca="false">IFERROR(F20/E20,0)</f>
        <v>0.732647814910026</v>
      </c>
    </row>
    <row r="21" customFormat="false" ht="15" hidden="false" customHeight="false" outlineLevel="0" collapsed="false">
      <c r="A21" s="6" t="n">
        <v>45858</v>
      </c>
      <c r="B21" s="4" t="s">
        <v>4631</v>
      </c>
      <c r="C21" s="4" t="s">
        <v>4640</v>
      </c>
      <c r="D21" s="5" t="n">
        <v>2298.87</v>
      </c>
      <c r="E21" s="4" t="n">
        <v>440</v>
      </c>
      <c r="F21" s="4" t="n">
        <v>25</v>
      </c>
      <c r="G21" s="5" t="n">
        <f aca="false">IFERROR(D21/E21,0)</f>
        <v>5.22470454545455</v>
      </c>
      <c r="H21" s="12" t="n">
        <f aca="false">IFERROR(F21/E21,0)</f>
        <v>0.0568181818181818</v>
      </c>
    </row>
    <row r="22" customFormat="false" ht="15" hidden="false" customHeight="false" outlineLevel="0" collapsed="false">
      <c r="A22" s="6" t="n">
        <v>45859</v>
      </c>
      <c r="B22" s="4" t="s">
        <v>4631</v>
      </c>
      <c r="C22" s="4" t="s">
        <v>4640</v>
      </c>
      <c r="D22" s="5" t="n">
        <v>1495.12</v>
      </c>
      <c r="E22" s="4" t="n">
        <v>34</v>
      </c>
      <c r="F22" s="4" t="n">
        <v>19</v>
      </c>
      <c r="G22" s="5" t="n">
        <f aca="false">IFERROR(D22/E22,0)</f>
        <v>43.9741176470588</v>
      </c>
      <c r="H22" s="12" t="n">
        <f aca="false">IFERROR(F22/E22,0)</f>
        <v>0.558823529411765</v>
      </c>
    </row>
    <row r="23" customFormat="false" ht="15" hidden="false" customHeight="false" outlineLevel="0" collapsed="false">
      <c r="A23" s="6" t="n">
        <v>45860</v>
      </c>
      <c r="B23" s="4" t="s">
        <v>4631</v>
      </c>
      <c r="C23" s="4" t="s">
        <v>4632</v>
      </c>
      <c r="D23" s="5" t="n">
        <v>4359.6</v>
      </c>
      <c r="E23" s="4" t="n">
        <v>521</v>
      </c>
      <c r="F23" s="4" t="n">
        <v>453</v>
      </c>
      <c r="G23" s="5" t="n">
        <f aca="false">IFERROR(D23/E23,0)</f>
        <v>8.36775431861804</v>
      </c>
      <c r="H23" s="12" t="n">
        <f aca="false">IFERROR(F23/E23,0)</f>
        <v>0.869481765834933</v>
      </c>
    </row>
    <row r="24" customFormat="false" ht="15" hidden="false" customHeight="false" outlineLevel="0" collapsed="false">
      <c r="A24" s="6" t="n">
        <v>45861</v>
      </c>
      <c r="B24" s="4" t="s">
        <v>4631</v>
      </c>
      <c r="C24" s="4" t="s">
        <v>4634</v>
      </c>
      <c r="D24" s="5" t="n">
        <v>4489.2</v>
      </c>
      <c r="E24" s="4" t="n">
        <v>604</v>
      </c>
      <c r="F24" s="4" t="n">
        <v>461</v>
      </c>
      <c r="G24" s="5" t="n">
        <f aca="false">IFERROR(D24/E24,0)</f>
        <v>7.43245033112583</v>
      </c>
      <c r="H24" s="12" t="n">
        <f aca="false">IFERROR(F24/E24,0)</f>
        <v>0.763245033112583</v>
      </c>
    </row>
    <row r="25" customFormat="false" ht="15" hidden="false" customHeight="false" outlineLevel="0" collapsed="false">
      <c r="A25" s="6" t="n">
        <v>45862</v>
      </c>
      <c r="B25" s="4" t="s">
        <v>4635</v>
      </c>
      <c r="C25" s="4" t="s">
        <v>4632</v>
      </c>
      <c r="D25" s="5" t="n">
        <v>4832.6</v>
      </c>
      <c r="E25" s="4" t="n">
        <v>216</v>
      </c>
      <c r="F25" s="4" t="n">
        <v>200</v>
      </c>
      <c r="G25" s="5" t="n">
        <f aca="false">IFERROR(D25/E25,0)</f>
        <v>22.3731481481482</v>
      </c>
      <c r="H25" s="12" t="n">
        <f aca="false">IFERROR(F25/E25,0)</f>
        <v>0.925925925925926</v>
      </c>
    </row>
    <row r="26" customFormat="false" ht="15" hidden="false" customHeight="false" outlineLevel="0" collapsed="false">
      <c r="A26" s="6" t="n">
        <v>45863</v>
      </c>
      <c r="B26" s="4" t="s">
        <v>4631</v>
      </c>
      <c r="C26" s="4" t="s">
        <v>4634</v>
      </c>
      <c r="D26" s="5" t="n">
        <v>387.23</v>
      </c>
      <c r="E26" s="4" t="n">
        <v>153</v>
      </c>
      <c r="F26" s="4" t="n">
        <v>62</v>
      </c>
      <c r="G26" s="5" t="n">
        <f aca="false">IFERROR(D26/E26,0)</f>
        <v>2.53091503267974</v>
      </c>
      <c r="H26" s="12" t="n">
        <f aca="false">IFERROR(F26/E26,0)</f>
        <v>0.405228758169935</v>
      </c>
    </row>
    <row r="27" customFormat="false" ht="15" hidden="false" customHeight="false" outlineLevel="0" collapsed="false">
      <c r="A27" s="6" t="n">
        <v>45864</v>
      </c>
      <c r="B27" s="4" t="s">
        <v>4639</v>
      </c>
      <c r="C27" s="4" t="s">
        <v>4636</v>
      </c>
      <c r="D27" s="5" t="n">
        <v>4044.92</v>
      </c>
      <c r="E27" s="4" t="n">
        <v>410</v>
      </c>
      <c r="F27" s="4" t="n">
        <v>401</v>
      </c>
      <c r="G27" s="5" t="n">
        <f aca="false">IFERROR(D27/E27,0)</f>
        <v>9.86565853658537</v>
      </c>
      <c r="H27" s="12" t="n">
        <f aca="false">IFERROR(F27/E27,0)</f>
        <v>0.978048780487805</v>
      </c>
    </row>
    <row r="28" customFormat="false" ht="15" hidden="false" customHeight="false" outlineLevel="0" collapsed="false">
      <c r="A28" s="6" t="n">
        <v>45865</v>
      </c>
      <c r="B28" s="4" t="s">
        <v>4631</v>
      </c>
      <c r="C28" s="4" t="s">
        <v>4638</v>
      </c>
      <c r="D28" s="5" t="n">
        <v>3909.52</v>
      </c>
      <c r="E28" s="4" t="n">
        <v>364</v>
      </c>
      <c r="F28" s="4" t="n">
        <v>358</v>
      </c>
      <c r="G28" s="5" t="n">
        <f aca="false">IFERROR(D28/E28,0)</f>
        <v>10.7404395604396</v>
      </c>
      <c r="H28" s="12" t="n">
        <f aca="false">IFERROR(F28/E28,0)</f>
        <v>0.983516483516484</v>
      </c>
    </row>
    <row r="29" customFormat="false" ht="15" hidden="false" customHeight="false" outlineLevel="0" collapsed="false">
      <c r="A29" s="6" t="n">
        <v>45866</v>
      </c>
      <c r="B29" s="4" t="s">
        <v>4635</v>
      </c>
      <c r="C29" s="4" t="s">
        <v>4632</v>
      </c>
      <c r="D29" s="5" t="n">
        <v>764.89</v>
      </c>
      <c r="E29" s="4" t="n">
        <v>667</v>
      </c>
      <c r="F29" s="4" t="n">
        <v>342</v>
      </c>
      <c r="G29" s="5" t="n">
        <f aca="false">IFERROR(D29/E29,0)</f>
        <v>1.1467616191904</v>
      </c>
      <c r="H29" s="12" t="n">
        <f aca="false">IFERROR(F29/E29,0)</f>
        <v>0.512743628185907</v>
      </c>
    </row>
    <row r="30" customFormat="false" ht="15" hidden="false" customHeight="false" outlineLevel="0" collapsed="false">
      <c r="A30" s="6" t="n">
        <v>45867</v>
      </c>
      <c r="B30" s="4" t="s">
        <v>4633</v>
      </c>
      <c r="C30" s="4" t="s">
        <v>4636</v>
      </c>
      <c r="D30" s="5" t="n">
        <v>1898.36</v>
      </c>
      <c r="E30" s="4" t="n">
        <v>74</v>
      </c>
      <c r="F30" s="4" t="n">
        <v>1</v>
      </c>
      <c r="G30" s="5" t="n">
        <f aca="false">IFERROR(D30/E30,0)</f>
        <v>25.6535135135135</v>
      </c>
      <c r="H30" s="12" t="n">
        <f aca="false">IFERROR(F30/E30,0)</f>
        <v>0.0135135135135135</v>
      </c>
    </row>
    <row r="31" customFormat="false" ht="15" hidden="false" customHeight="false" outlineLevel="0" collapsed="false">
      <c r="A31" s="6" t="n">
        <v>45868</v>
      </c>
      <c r="B31" s="4" t="s">
        <v>4639</v>
      </c>
      <c r="C31" s="4" t="s">
        <v>4634</v>
      </c>
      <c r="D31" s="5" t="n">
        <v>4313.98</v>
      </c>
      <c r="E31" s="4" t="n">
        <v>141</v>
      </c>
      <c r="F31" s="4" t="n">
        <v>44</v>
      </c>
      <c r="G31" s="5" t="n">
        <f aca="false">IFERROR(D31/E31,0)</f>
        <v>30.5956028368794</v>
      </c>
      <c r="H31" s="12" t="n">
        <f aca="false">IFERROR(F31/E31,0)</f>
        <v>0.312056737588653</v>
      </c>
    </row>
    <row r="32" customFormat="false" ht="15" hidden="false" customHeight="false" outlineLevel="0" collapsed="false">
      <c r="A32" s="6" t="n">
        <v>45869</v>
      </c>
      <c r="B32" s="4" t="s">
        <v>4633</v>
      </c>
      <c r="C32" s="4" t="s">
        <v>4640</v>
      </c>
      <c r="D32" s="5" t="n">
        <v>1109.96</v>
      </c>
      <c r="E32" s="4" t="n">
        <v>800</v>
      </c>
      <c r="F32" s="4" t="n">
        <v>462</v>
      </c>
      <c r="G32" s="5" t="n">
        <f aca="false">IFERROR(D32/E32,0)</f>
        <v>1.38745</v>
      </c>
      <c r="H32" s="12" t="n">
        <f aca="false">IFERROR(F32/E32,0)</f>
        <v>0.5775</v>
      </c>
    </row>
    <row r="33" customFormat="false" ht="15" hidden="false" customHeight="false" outlineLevel="0" collapsed="false">
      <c r="A33" s="6" t="n">
        <v>45870</v>
      </c>
      <c r="B33" s="4" t="s">
        <v>4633</v>
      </c>
      <c r="C33" s="4" t="s">
        <v>4636</v>
      </c>
      <c r="D33" s="5" t="n">
        <v>3546.26</v>
      </c>
      <c r="E33" s="4" t="n">
        <v>505</v>
      </c>
      <c r="F33" s="4" t="n">
        <v>159</v>
      </c>
      <c r="G33" s="5" t="n">
        <f aca="false">IFERROR(D33/E33,0)</f>
        <v>7.02229702970297</v>
      </c>
      <c r="H33" s="12" t="n">
        <f aca="false">IFERROR(F33/E33,0)</f>
        <v>0.314851485148515</v>
      </c>
    </row>
    <row r="34" customFormat="false" ht="15" hidden="false" customHeight="false" outlineLevel="0" collapsed="false">
      <c r="A34" s="6" t="n">
        <v>45871</v>
      </c>
      <c r="B34" s="4" t="s">
        <v>4633</v>
      </c>
      <c r="C34" s="4" t="s">
        <v>4638</v>
      </c>
      <c r="D34" s="5" t="n">
        <v>3878.09</v>
      </c>
      <c r="E34" s="4" t="n">
        <v>647</v>
      </c>
      <c r="F34" s="4" t="n">
        <v>68</v>
      </c>
      <c r="G34" s="5" t="n">
        <f aca="false">IFERROR(D34/E34,0)</f>
        <v>5.99395672333849</v>
      </c>
      <c r="H34" s="12" t="n">
        <f aca="false">IFERROR(F34/E34,0)</f>
        <v>0.105100463678516</v>
      </c>
    </row>
    <row r="35" customFormat="false" ht="15" hidden="false" customHeight="false" outlineLevel="0" collapsed="false">
      <c r="A35" s="6" t="n">
        <v>45872</v>
      </c>
      <c r="B35" s="4" t="s">
        <v>4637</v>
      </c>
      <c r="C35" s="4" t="s">
        <v>4638</v>
      </c>
      <c r="D35" s="5" t="n">
        <v>742.37</v>
      </c>
      <c r="E35" s="4" t="n">
        <v>201</v>
      </c>
      <c r="F35" s="4" t="n">
        <v>71</v>
      </c>
      <c r="G35" s="5" t="n">
        <f aca="false">IFERROR(D35/E35,0)</f>
        <v>3.69338308457711</v>
      </c>
      <c r="H35" s="12" t="n">
        <f aca="false">IFERROR(F35/E35,0)</f>
        <v>0.353233830845771</v>
      </c>
    </row>
    <row r="36" customFormat="false" ht="15" hidden="false" customHeight="false" outlineLevel="0" collapsed="false">
      <c r="A36" s="6" t="n">
        <v>45873</v>
      </c>
      <c r="B36" s="4" t="s">
        <v>4635</v>
      </c>
      <c r="C36" s="4" t="s">
        <v>4632</v>
      </c>
      <c r="D36" s="5" t="n">
        <v>2019.42</v>
      </c>
      <c r="E36" s="4" t="n">
        <v>535</v>
      </c>
      <c r="F36" s="4" t="n">
        <v>257</v>
      </c>
      <c r="G36" s="5" t="n">
        <f aca="false">IFERROR(D36/E36,0)</f>
        <v>3.77461682242991</v>
      </c>
      <c r="H36" s="12" t="n">
        <f aca="false">IFERROR(F36/E36,0)</f>
        <v>0.480373831775701</v>
      </c>
    </row>
    <row r="37" customFormat="false" ht="15" hidden="false" customHeight="false" outlineLevel="0" collapsed="false">
      <c r="A37" s="6" t="n">
        <v>45874</v>
      </c>
      <c r="B37" s="4" t="s">
        <v>4635</v>
      </c>
      <c r="C37" s="4" t="s">
        <v>4638</v>
      </c>
      <c r="D37" s="5" t="n">
        <v>3287.23</v>
      </c>
      <c r="E37" s="4" t="n">
        <v>81</v>
      </c>
      <c r="F37" s="4" t="n">
        <v>0</v>
      </c>
      <c r="G37" s="5" t="n">
        <f aca="false">IFERROR(D37/E37,0)</f>
        <v>40.5830864197531</v>
      </c>
      <c r="H37" s="12" t="n">
        <f aca="false">IFERROR(F37/E37,0)</f>
        <v>0</v>
      </c>
    </row>
    <row r="38" customFormat="false" ht="15" hidden="false" customHeight="false" outlineLevel="0" collapsed="false">
      <c r="A38" s="6" t="n">
        <v>45875</v>
      </c>
      <c r="B38" s="4" t="s">
        <v>4633</v>
      </c>
      <c r="C38" s="4" t="s">
        <v>4640</v>
      </c>
      <c r="D38" s="5" t="n">
        <v>764.65</v>
      </c>
      <c r="E38" s="4" t="n">
        <v>622</v>
      </c>
      <c r="F38" s="4" t="n">
        <v>528</v>
      </c>
      <c r="G38" s="5" t="n">
        <f aca="false">IFERROR(D38/E38,0)</f>
        <v>1.22934083601286</v>
      </c>
      <c r="H38" s="12" t="n">
        <f aca="false">IFERROR(F38/E38,0)</f>
        <v>0.84887459807074</v>
      </c>
    </row>
    <row r="39" customFormat="false" ht="15" hidden="false" customHeight="false" outlineLevel="0" collapsed="false">
      <c r="A39" s="6" t="n">
        <v>45876</v>
      </c>
      <c r="B39" s="4" t="s">
        <v>4639</v>
      </c>
      <c r="C39" s="4" t="s">
        <v>4638</v>
      </c>
      <c r="D39" s="5" t="n">
        <v>3627.09</v>
      </c>
      <c r="E39" s="4" t="n">
        <v>592</v>
      </c>
      <c r="F39" s="4" t="n">
        <v>130</v>
      </c>
      <c r="G39" s="5" t="n">
        <f aca="false">IFERROR(D39/E39,0)</f>
        <v>6.12684121621622</v>
      </c>
      <c r="H39" s="12" t="n">
        <f aca="false">IFERROR(F39/E39,0)</f>
        <v>0.219594594594595</v>
      </c>
    </row>
    <row r="40" customFormat="false" ht="15" hidden="false" customHeight="false" outlineLevel="0" collapsed="false">
      <c r="A40" s="6" t="n">
        <v>45877</v>
      </c>
      <c r="B40" s="4" t="s">
        <v>4633</v>
      </c>
      <c r="C40" s="4" t="s">
        <v>4638</v>
      </c>
      <c r="D40" s="5" t="n">
        <v>1071.22</v>
      </c>
      <c r="E40" s="4" t="n">
        <v>629</v>
      </c>
      <c r="F40" s="4" t="n">
        <v>366</v>
      </c>
      <c r="G40" s="5" t="n">
        <f aca="false">IFERROR(D40/E40,0)</f>
        <v>1.70305246422893</v>
      </c>
      <c r="H40" s="12" t="n">
        <f aca="false">IFERROR(F40/E40,0)</f>
        <v>0.5818759936407</v>
      </c>
    </row>
    <row r="41" customFormat="false" ht="15" hidden="false" customHeight="false" outlineLevel="0" collapsed="false">
      <c r="A41" s="6" t="n">
        <v>45878</v>
      </c>
      <c r="B41" s="4" t="s">
        <v>4639</v>
      </c>
      <c r="C41" s="4" t="s">
        <v>4640</v>
      </c>
      <c r="D41" s="5" t="n">
        <v>4672.18</v>
      </c>
      <c r="E41" s="4" t="n">
        <v>299</v>
      </c>
      <c r="F41" s="4" t="n">
        <v>228</v>
      </c>
      <c r="G41" s="5" t="n">
        <f aca="false">IFERROR(D41/E41,0)</f>
        <v>15.6260200668896</v>
      </c>
      <c r="H41" s="12" t="n">
        <f aca="false">IFERROR(F41/E41,0)</f>
        <v>0.762541806020067</v>
      </c>
    </row>
    <row r="42" customFormat="false" ht="15" hidden="false" customHeight="false" outlineLevel="0" collapsed="false">
      <c r="A42" s="6" t="n">
        <v>45879</v>
      </c>
      <c r="B42" s="4" t="s">
        <v>4633</v>
      </c>
      <c r="C42" s="4" t="s">
        <v>4638</v>
      </c>
      <c r="D42" s="5" t="n">
        <v>4014.51</v>
      </c>
      <c r="E42" s="4" t="n">
        <v>188</v>
      </c>
      <c r="F42" s="4" t="n">
        <v>163</v>
      </c>
      <c r="G42" s="5" t="n">
        <f aca="false">IFERROR(D42/E42,0)</f>
        <v>21.3537765957447</v>
      </c>
      <c r="H42" s="12" t="n">
        <f aca="false">IFERROR(F42/E42,0)</f>
        <v>0.867021276595745</v>
      </c>
    </row>
    <row r="43" customFormat="false" ht="15" hidden="false" customHeight="false" outlineLevel="0" collapsed="false">
      <c r="A43" s="6" t="n">
        <v>45880</v>
      </c>
      <c r="B43" s="4" t="s">
        <v>4637</v>
      </c>
      <c r="C43" s="4" t="s">
        <v>4636</v>
      </c>
      <c r="D43" s="5" t="n">
        <v>949.56</v>
      </c>
      <c r="E43" s="4" t="n">
        <v>133</v>
      </c>
      <c r="F43" s="4" t="n">
        <v>42</v>
      </c>
      <c r="G43" s="5" t="n">
        <f aca="false">IFERROR(D43/E43,0)</f>
        <v>7.13954887218045</v>
      </c>
      <c r="H43" s="12" t="n">
        <f aca="false">IFERROR(F43/E43,0)</f>
        <v>0.315789473684211</v>
      </c>
    </row>
    <row r="44" customFormat="false" ht="15" hidden="false" customHeight="false" outlineLevel="0" collapsed="false">
      <c r="A44" s="6" t="n">
        <v>45881</v>
      </c>
      <c r="B44" s="4" t="s">
        <v>4633</v>
      </c>
      <c r="C44" s="4" t="s">
        <v>4634</v>
      </c>
      <c r="D44" s="5" t="n">
        <v>2761.62</v>
      </c>
      <c r="E44" s="4" t="n">
        <v>254</v>
      </c>
      <c r="F44" s="4" t="n">
        <v>188</v>
      </c>
      <c r="G44" s="5" t="n">
        <f aca="false">IFERROR(D44/E44,0)</f>
        <v>10.8725196850394</v>
      </c>
      <c r="H44" s="12" t="n">
        <f aca="false">IFERROR(F44/E44,0)</f>
        <v>0.740157480314961</v>
      </c>
    </row>
    <row r="45" customFormat="false" ht="15" hidden="false" customHeight="false" outlineLevel="0" collapsed="false">
      <c r="A45" s="6" t="n">
        <v>45882</v>
      </c>
      <c r="B45" s="4" t="s">
        <v>4635</v>
      </c>
      <c r="C45" s="4" t="s">
        <v>4640</v>
      </c>
      <c r="D45" s="5" t="n">
        <v>1332.89</v>
      </c>
      <c r="E45" s="4" t="n">
        <v>374</v>
      </c>
      <c r="F45" s="4" t="n">
        <v>356</v>
      </c>
      <c r="G45" s="5" t="n">
        <f aca="false">IFERROR(D45/E45,0)</f>
        <v>3.56387700534759</v>
      </c>
      <c r="H45" s="12" t="n">
        <f aca="false">IFERROR(F45/E45,0)</f>
        <v>0.951871657754011</v>
      </c>
    </row>
    <row r="46" customFormat="false" ht="15" hidden="false" customHeight="false" outlineLevel="0" collapsed="false">
      <c r="A46" s="6" t="n">
        <v>45883</v>
      </c>
      <c r="B46" s="4" t="s">
        <v>4633</v>
      </c>
      <c r="C46" s="4" t="s">
        <v>4632</v>
      </c>
      <c r="D46" s="5" t="n">
        <v>4365.39</v>
      </c>
      <c r="E46" s="4" t="n">
        <v>565</v>
      </c>
      <c r="F46" s="4" t="n">
        <v>49</v>
      </c>
      <c r="G46" s="5" t="n">
        <f aca="false">IFERROR(D46/E46,0)</f>
        <v>7.72635398230089</v>
      </c>
      <c r="H46" s="12" t="n">
        <f aca="false">IFERROR(F46/E46,0)</f>
        <v>0.0867256637168142</v>
      </c>
    </row>
    <row r="47" customFormat="false" ht="15" hidden="false" customHeight="false" outlineLevel="0" collapsed="false">
      <c r="A47" s="6" t="n">
        <v>45884</v>
      </c>
      <c r="B47" s="4" t="s">
        <v>4631</v>
      </c>
      <c r="C47" s="4" t="s">
        <v>4634</v>
      </c>
      <c r="D47" s="5" t="n">
        <v>1914.18</v>
      </c>
      <c r="E47" s="4" t="n">
        <v>670</v>
      </c>
      <c r="F47" s="4" t="n">
        <v>172</v>
      </c>
      <c r="G47" s="5" t="n">
        <f aca="false">IFERROR(D47/E47,0)</f>
        <v>2.85698507462687</v>
      </c>
      <c r="H47" s="12" t="n">
        <f aca="false">IFERROR(F47/E47,0)</f>
        <v>0.256716417910448</v>
      </c>
    </row>
    <row r="48" customFormat="false" ht="15" hidden="false" customHeight="false" outlineLevel="0" collapsed="false">
      <c r="A48" s="6" t="n">
        <v>45885</v>
      </c>
      <c r="B48" s="4" t="s">
        <v>4639</v>
      </c>
      <c r="C48" s="4" t="s">
        <v>4638</v>
      </c>
      <c r="D48" s="5" t="n">
        <v>4752.94</v>
      </c>
      <c r="E48" s="4" t="n">
        <v>199</v>
      </c>
      <c r="F48" s="4" t="n">
        <v>79</v>
      </c>
      <c r="G48" s="5" t="n">
        <f aca="false">IFERROR(D48/E48,0)</f>
        <v>23.8841206030151</v>
      </c>
      <c r="H48" s="12" t="n">
        <f aca="false">IFERROR(F48/E48,0)</f>
        <v>0.396984924623116</v>
      </c>
    </row>
    <row r="49" customFormat="false" ht="15" hidden="false" customHeight="false" outlineLevel="0" collapsed="false">
      <c r="A49" s="6" t="n">
        <v>45886</v>
      </c>
      <c r="B49" s="4" t="s">
        <v>4635</v>
      </c>
      <c r="C49" s="4" t="s">
        <v>4634</v>
      </c>
      <c r="D49" s="5" t="n">
        <v>3440.81</v>
      </c>
      <c r="E49" s="4" t="n">
        <v>731</v>
      </c>
      <c r="F49" s="4" t="n">
        <v>238</v>
      </c>
      <c r="G49" s="5" t="n">
        <f aca="false">IFERROR(D49/E49,0)</f>
        <v>4.70699042407661</v>
      </c>
      <c r="H49" s="12" t="n">
        <f aca="false">IFERROR(F49/E49,0)</f>
        <v>0.325581395348837</v>
      </c>
    </row>
    <row r="50" customFormat="false" ht="15" hidden="false" customHeight="false" outlineLevel="0" collapsed="false">
      <c r="A50" s="6" t="n">
        <v>45887</v>
      </c>
      <c r="B50" s="4" t="s">
        <v>4631</v>
      </c>
      <c r="C50" s="4" t="s">
        <v>4638</v>
      </c>
      <c r="D50" s="5" t="n">
        <v>4423.59</v>
      </c>
      <c r="E50" s="4" t="n">
        <v>390</v>
      </c>
      <c r="F50" s="4" t="n">
        <v>385</v>
      </c>
      <c r="G50" s="5" t="n">
        <f aca="false">IFERROR(D50/E50,0)</f>
        <v>11.3425384615385</v>
      </c>
      <c r="H50" s="12" t="n">
        <f aca="false">IFERROR(F50/E50,0)</f>
        <v>0.987179487179487</v>
      </c>
    </row>
    <row r="51" customFormat="false" ht="15" hidden="false" customHeight="false" outlineLevel="0" collapsed="false">
      <c r="A51" s="6" t="n">
        <v>45888</v>
      </c>
      <c r="B51" s="4" t="s">
        <v>4631</v>
      </c>
      <c r="C51" s="4" t="s">
        <v>4634</v>
      </c>
      <c r="D51" s="5" t="n">
        <v>399.32</v>
      </c>
      <c r="E51" s="4" t="n">
        <v>459</v>
      </c>
      <c r="F51" s="4" t="n">
        <v>130</v>
      </c>
      <c r="G51" s="5" t="n">
        <f aca="false">IFERROR(D51/E51,0)</f>
        <v>0.869978213507625</v>
      </c>
      <c r="H51" s="12" t="n">
        <f aca="false">IFERROR(F51/E51,0)</f>
        <v>0.28322440087146</v>
      </c>
    </row>
    <row r="52" customFormat="false" ht="15" hidden="false" customHeight="false" outlineLevel="0" collapsed="false">
      <c r="A52" s="6" t="n">
        <v>45889</v>
      </c>
      <c r="B52" s="4" t="s">
        <v>4639</v>
      </c>
      <c r="C52" s="4" t="s">
        <v>4636</v>
      </c>
      <c r="D52" s="5" t="n">
        <v>1604.73</v>
      </c>
      <c r="E52" s="4" t="n">
        <v>498</v>
      </c>
      <c r="F52" s="4" t="n">
        <v>173</v>
      </c>
      <c r="G52" s="5" t="n">
        <f aca="false">IFERROR(D52/E52,0)</f>
        <v>3.22234939759036</v>
      </c>
      <c r="H52" s="12" t="n">
        <f aca="false">IFERROR(F52/E52,0)</f>
        <v>0.347389558232932</v>
      </c>
    </row>
    <row r="53" customFormat="false" ht="15" hidden="false" customHeight="false" outlineLevel="0" collapsed="false">
      <c r="A53" s="6" t="n">
        <v>45890</v>
      </c>
      <c r="B53" s="4" t="s">
        <v>4639</v>
      </c>
      <c r="C53" s="4" t="s">
        <v>4636</v>
      </c>
      <c r="D53" s="5" t="n">
        <v>4266.17</v>
      </c>
      <c r="E53" s="4" t="n">
        <v>98</v>
      </c>
      <c r="F53" s="4" t="n">
        <v>14</v>
      </c>
      <c r="G53" s="5" t="n">
        <f aca="false">IFERROR(D53/E53,0)</f>
        <v>43.5323469387755</v>
      </c>
      <c r="H53" s="12" t="n">
        <f aca="false">IFERROR(F53/E53,0)</f>
        <v>0.142857142857143</v>
      </c>
    </row>
    <row r="54" customFormat="false" ht="15" hidden="false" customHeight="false" outlineLevel="0" collapsed="false">
      <c r="A54" s="6" t="n">
        <v>45891</v>
      </c>
      <c r="B54" s="4" t="s">
        <v>4631</v>
      </c>
      <c r="C54" s="4" t="s">
        <v>4632</v>
      </c>
      <c r="D54" s="5" t="n">
        <v>982.28</v>
      </c>
      <c r="E54" s="4" t="n">
        <v>750</v>
      </c>
      <c r="F54" s="4" t="n">
        <v>458</v>
      </c>
      <c r="G54" s="5" t="n">
        <f aca="false">IFERROR(D54/E54,0)</f>
        <v>1.30970666666667</v>
      </c>
      <c r="H54" s="12" t="n">
        <f aca="false">IFERROR(F54/E54,0)</f>
        <v>0.610666666666667</v>
      </c>
    </row>
    <row r="55" customFormat="false" ht="15" hidden="false" customHeight="false" outlineLevel="0" collapsed="false">
      <c r="A55" s="6" t="n">
        <v>45892</v>
      </c>
      <c r="B55" s="4" t="s">
        <v>4633</v>
      </c>
      <c r="C55" s="4" t="s">
        <v>4632</v>
      </c>
      <c r="D55" s="5" t="n">
        <v>3170.19</v>
      </c>
      <c r="E55" s="4" t="n">
        <v>774</v>
      </c>
      <c r="F55" s="4" t="n">
        <v>748</v>
      </c>
      <c r="G55" s="5" t="n">
        <f aca="false">IFERROR(D55/E55,0)</f>
        <v>4.0958527131783</v>
      </c>
      <c r="H55" s="12" t="n">
        <f aca="false">IFERROR(F55/E55,0)</f>
        <v>0.96640826873385</v>
      </c>
    </row>
    <row r="56" customFormat="false" ht="15" hidden="false" customHeight="false" outlineLevel="0" collapsed="false">
      <c r="A56" s="6" t="n">
        <v>45893</v>
      </c>
      <c r="B56" s="4" t="s">
        <v>4633</v>
      </c>
      <c r="C56" s="4" t="s">
        <v>4640</v>
      </c>
      <c r="D56" s="5" t="n">
        <v>3733.84</v>
      </c>
      <c r="E56" s="4" t="n">
        <v>106</v>
      </c>
      <c r="F56" s="4" t="n">
        <v>57</v>
      </c>
      <c r="G56" s="5" t="n">
        <f aca="false">IFERROR(D56/E56,0)</f>
        <v>35.2249056603774</v>
      </c>
      <c r="H56" s="12" t="n">
        <f aca="false">IFERROR(F56/E56,0)</f>
        <v>0.537735849056604</v>
      </c>
    </row>
    <row r="57" customFormat="false" ht="15" hidden="false" customHeight="false" outlineLevel="0" collapsed="false">
      <c r="A57" s="6" t="n">
        <v>45894</v>
      </c>
      <c r="B57" s="4" t="s">
        <v>4639</v>
      </c>
      <c r="C57" s="4" t="s">
        <v>4640</v>
      </c>
      <c r="D57" s="5" t="n">
        <v>3879.75</v>
      </c>
      <c r="E57" s="4" t="n">
        <v>268</v>
      </c>
      <c r="F57" s="4" t="n">
        <v>150</v>
      </c>
      <c r="G57" s="5" t="n">
        <f aca="false">IFERROR(D57/E57,0)</f>
        <v>14.4766791044776</v>
      </c>
      <c r="H57" s="12" t="n">
        <f aca="false">IFERROR(F57/E57,0)</f>
        <v>0.559701492537313</v>
      </c>
    </row>
    <row r="58" customFormat="false" ht="15" hidden="false" customHeight="false" outlineLevel="0" collapsed="false">
      <c r="A58" s="6" t="n">
        <v>45895</v>
      </c>
      <c r="B58" s="4" t="s">
        <v>4635</v>
      </c>
      <c r="C58" s="4" t="s">
        <v>4632</v>
      </c>
      <c r="D58" s="5" t="n">
        <v>1056.17</v>
      </c>
      <c r="E58" s="4" t="n">
        <v>216</v>
      </c>
      <c r="F58" s="4" t="n">
        <v>213</v>
      </c>
      <c r="G58" s="5" t="n">
        <f aca="false">IFERROR(D58/E58,0)</f>
        <v>4.88967592592593</v>
      </c>
      <c r="H58" s="12" t="n">
        <f aca="false">IFERROR(F58/E58,0)</f>
        <v>0.986111111111111</v>
      </c>
    </row>
    <row r="59" customFormat="false" ht="15" hidden="false" customHeight="false" outlineLevel="0" collapsed="false">
      <c r="A59" s="6" t="n">
        <v>45896</v>
      </c>
      <c r="B59" s="4" t="s">
        <v>4633</v>
      </c>
      <c r="C59" s="4" t="s">
        <v>4634</v>
      </c>
      <c r="D59" s="5" t="n">
        <v>2052.66</v>
      </c>
      <c r="E59" s="4" t="n">
        <v>193</v>
      </c>
      <c r="F59" s="4" t="n">
        <v>18</v>
      </c>
      <c r="G59" s="5" t="n">
        <f aca="false">IFERROR(D59/E59,0)</f>
        <v>10.6355440414508</v>
      </c>
      <c r="H59" s="12" t="n">
        <f aca="false">IFERROR(F59/E59,0)</f>
        <v>0.0932642487046632</v>
      </c>
    </row>
    <row r="60" customFormat="false" ht="15" hidden="false" customHeight="false" outlineLevel="0" collapsed="false">
      <c r="A60" s="6" t="n">
        <v>45897</v>
      </c>
      <c r="B60" s="4" t="s">
        <v>4637</v>
      </c>
      <c r="C60" s="4" t="s">
        <v>4638</v>
      </c>
      <c r="D60" s="5" t="n">
        <v>3642.53</v>
      </c>
      <c r="E60" s="4" t="n">
        <v>690</v>
      </c>
      <c r="F60" s="4" t="n">
        <v>555</v>
      </c>
      <c r="G60" s="5" t="n">
        <f aca="false">IFERROR(D60/E60,0)</f>
        <v>5.27902898550725</v>
      </c>
      <c r="H60" s="12" t="n">
        <f aca="false">IFERROR(F60/E60,0)</f>
        <v>0.804347826086957</v>
      </c>
    </row>
    <row r="61" customFormat="false" ht="15" hidden="false" customHeight="false" outlineLevel="0" collapsed="false">
      <c r="A61" s="6" t="n">
        <v>45898</v>
      </c>
      <c r="B61" s="4" t="s">
        <v>4637</v>
      </c>
      <c r="C61" s="4" t="s">
        <v>4634</v>
      </c>
      <c r="D61" s="5" t="n">
        <v>3132.02</v>
      </c>
      <c r="E61" s="4" t="n">
        <v>416</v>
      </c>
      <c r="F61" s="4" t="n">
        <v>126</v>
      </c>
      <c r="G61" s="5" t="n">
        <f aca="false">IFERROR(D61/E61,0)</f>
        <v>7.52889423076923</v>
      </c>
      <c r="H61" s="12" t="n">
        <f aca="false">IFERROR(F61/E61,0)</f>
        <v>0.302884615384615</v>
      </c>
    </row>
    <row r="62" customFormat="false" ht="15" hidden="false" customHeight="false" outlineLevel="0" collapsed="false">
      <c r="A62" s="6" t="n">
        <v>45899</v>
      </c>
      <c r="B62" s="4" t="s">
        <v>4637</v>
      </c>
      <c r="C62" s="4" t="s">
        <v>4640</v>
      </c>
      <c r="D62" s="5" t="n">
        <v>1812.52</v>
      </c>
      <c r="E62" s="4" t="n">
        <v>670</v>
      </c>
      <c r="F62" s="4" t="n">
        <v>199</v>
      </c>
      <c r="G62" s="5" t="n">
        <f aca="false">IFERROR(D62/E62,0)</f>
        <v>2.70525373134328</v>
      </c>
      <c r="H62" s="12" t="n">
        <f aca="false">IFERROR(F62/E62,0)</f>
        <v>0.297014925373134</v>
      </c>
    </row>
    <row r="63" customFormat="false" ht="15" hidden="false" customHeight="false" outlineLevel="0" collapsed="false">
      <c r="A63" s="6" t="n">
        <v>45900</v>
      </c>
      <c r="B63" s="4" t="s">
        <v>4635</v>
      </c>
      <c r="C63" s="4" t="s">
        <v>4632</v>
      </c>
      <c r="D63" s="5" t="n">
        <v>3142.18</v>
      </c>
      <c r="E63" s="4" t="n">
        <v>255</v>
      </c>
      <c r="F63" s="4" t="n">
        <v>166</v>
      </c>
      <c r="G63" s="5" t="n">
        <f aca="false">IFERROR(D63/E63,0)</f>
        <v>12.3222745098039</v>
      </c>
      <c r="H63" s="12" t="n">
        <f aca="false">IFERROR(F63/E63,0)</f>
        <v>0.650980392156863</v>
      </c>
    </row>
    <row r="64" customFormat="false" ht="15" hidden="false" customHeight="false" outlineLevel="0" collapsed="false">
      <c r="A64" s="6" t="n">
        <v>45901</v>
      </c>
      <c r="B64" s="4" t="s">
        <v>4631</v>
      </c>
      <c r="C64" s="4" t="s">
        <v>4636</v>
      </c>
      <c r="D64" s="5" t="n">
        <v>4191.28</v>
      </c>
      <c r="E64" s="4" t="n">
        <v>293</v>
      </c>
      <c r="F64" s="4" t="n">
        <v>117</v>
      </c>
      <c r="G64" s="5" t="n">
        <f aca="false">IFERROR(D64/E64,0)</f>
        <v>14.3047098976109</v>
      </c>
      <c r="H64" s="12" t="n">
        <f aca="false">IFERROR(F64/E64,0)</f>
        <v>0.399317406143345</v>
      </c>
    </row>
    <row r="65" customFormat="false" ht="15" hidden="false" customHeight="false" outlineLevel="0" collapsed="false">
      <c r="A65" s="6" t="n">
        <v>45902</v>
      </c>
      <c r="B65" s="4" t="s">
        <v>4637</v>
      </c>
      <c r="C65" s="4" t="s">
        <v>4632</v>
      </c>
      <c r="D65" s="5" t="n">
        <v>4435.21</v>
      </c>
      <c r="E65" s="4" t="n">
        <v>32</v>
      </c>
      <c r="F65" s="4" t="n">
        <v>2</v>
      </c>
      <c r="G65" s="5" t="n">
        <f aca="false">IFERROR(D65/E65,0)</f>
        <v>138.6003125</v>
      </c>
      <c r="H65" s="12" t="n">
        <f aca="false">IFERROR(F65/E65,0)</f>
        <v>0.0625</v>
      </c>
    </row>
    <row r="66" customFormat="false" ht="15" hidden="false" customHeight="false" outlineLevel="0" collapsed="false">
      <c r="A66" s="6" t="n">
        <v>45903</v>
      </c>
      <c r="B66" s="4" t="s">
        <v>4633</v>
      </c>
      <c r="C66" s="4" t="s">
        <v>4632</v>
      </c>
      <c r="D66" s="5" t="n">
        <v>578.34</v>
      </c>
      <c r="E66" s="4" t="n">
        <v>425</v>
      </c>
      <c r="F66" s="4" t="n">
        <v>225</v>
      </c>
      <c r="G66" s="5" t="n">
        <f aca="false">IFERROR(D66/E66,0)</f>
        <v>1.3608</v>
      </c>
      <c r="H66" s="12" t="n">
        <f aca="false">IFERROR(F66/E66,0)</f>
        <v>0.529411764705882</v>
      </c>
    </row>
    <row r="67" customFormat="false" ht="15" hidden="false" customHeight="false" outlineLevel="0" collapsed="false">
      <c r="A67" s="6" t="n">
        <v>45904</v>
      </c>
      <c r="B67" s="4" t="s">
        <v>4631</v>
      </c>
      <c r="C67" s="4" t="s">
        <v>4636</v>
      </c>
      <c r="D67" s="5" t="n">
        <v>1611.38</v>
      </c>
      <c r="E67" s="4" t="n">
        <v>88</v>
      </c>
      <c r="F67" s="4" t="n">
        <v>54</v>
      </c>
      <c r="G67" s="5" t="n">
        <f aca="false">IFERROR(D67/E67,0)</f>
        <v>18.3111363636364</v>
      </c>
      <c r="H67" s="12" t="n">
        <f aca="false">IFERROR(F67/E67,0)</f>
        <v>0.613636363636364</v>
      </c>
    </row>
    <row r="68" customFormat="false" ht="15" hidden="false" customHeight="false" outlineLevel="0" collapsed="false">
      <c r="A68" s="6" t="n">
        <v>45905</v>
      </c>
      <c r="B68" s="4" t="s">
        <v>4631</v>
      </c>
      <c r="C68" s="4" t="s">
        <v>4634</v>
      </c>
      <c r="D68" s="5" t="n">
        <v>1574.56</v>
      </c>
      <c r="E68" s="4" t="n">
        <v>280</v>
      </c>
      <c r="F68" s="4" t="n">
        <v>184</v>
      </c>
      <c r="G68" s="5" t="n">
        <f aca="false">IFERROR(D68/E68,0)</f>
        <v>5.62342857142857</v>
      </c>
      <c r="H68" s="12" t="n">
        <f aca="false">IFERROR(F68/E68,0)</f>
        <v>0.657142857142857</v>
      </c>
    </row>
    <row r="69" customFormat="false" ht="15" hidden="false" customHeight="false" outlineLevel="0" collapsed="false">
      <c r="A69" s="6" t="n">
        <v>45906</v>
      </c>
      <c r="B69" s="4" t="s">
        <v>4635</v>
      </c>
      <c r="C69" s="4" t="s">
        <v>4634</v>
      </c>
      <c r="D69" s="5" t="n">
        <v>2280.61</v>
      </c>
      <c r="E69" s="4" t="n">
        <v>564</v>
      </c>
      <c r="F69" s="4" t="n">
        <v>215</v>
      </c>
      <c r="G69" s="5" t="n">
        <f aca="false">IFERROR(D69/E69,0)</f>
        <v>4.04363475177305</v>
      </c>
      <c r="H69" s="12" t="n">
        <f aca="false">IFERROR(F69/E69,0)</f>
        <v>0.381205673758865</v>
      </c>
    </row>
    <row r="70" customFormat="false" ht="15" hidden="false" customHeight="false" outlineLevel="0" collapsed="false">
      <c r="A70" s="6" t="n">
        <v>45907</v>
      </c>
      <c r="B70" s="4" t="s">
        <v>4635</v>
      </c>
      <c r="C70" s="4" t="s">
        <v>4636</v>
      </c>
      <c r="D70" s="5" t="n">
        <v>3520.06</v>
      </c>
      <c r="E70" s="4" t="n">
        <v>506</v>
      </c>
      <c r="F70" s="4" t="n">
        <v>308</v>
      </c>
      <c r="G70" s="5" t="n">
        <f aca="false">IFERROR(D70/E70,0)</f>
        <v>6.95664031620553</v>
      </c>
      <c r="H70" s="12" t="n">
        <f aca="false">IFERROR(F70/E70,0)</f>
        <v>0.608695652173913</v>
      </c>
    </row>
    <row r="71" customFormat="false" ht="15" hidden="false" customHeight="false" outlineLevel="0" collapsed="false">
      <c r="A71" s="6" t="n">
        <v>45908</v>
      </c>
      <c r="B71" s="4" t="s">
        <v>4637</v>
      </c>
      <c r="C71" s="4" t="s">
        <v>4634</v>
      </c>
      <c r="D71" s="5" t="n">
        <v>2389.1</v>
      </c>
      <c r="E71" s="4" t="n">
        <v>585</v>
      </c>
      <c r="F71" s="4" t="n">
        <v>109</v>
      </c>
      <c r="G71" s="5" t="n">
        <f aca="false">IFERROR(D71/E71,0)</f>
        <v>4.08393162393162</v>
      </c>
      <c r="H71" s="12" t="n">
        <f aca="false">IFERROR(F71/E71,0)</f>
        <v>0.186324786324786</v>
      </c>
    </row>
    <row r="72" customFormat="false" ht="15" hidden="false" customHeight="false" outlineLevel="0" collapsed="false">
      <c r="A72" s="6" t="n">
        <v>45909</v>
      </c>
      <c r="B72" s="4" t="s">
        <v>4639</v>
      </c>
      <c r="C72" s="4" t="s">
        <v>4632</v>
      </c>
      <c r="D72" s="5" t="n">
        <v>1394.39</v>
      </c>
      <c r="E72" s="4" t="n">
        <v>630</v>
      </c>
      <c r="F72" s="4" t="n">
        <v>126</v>
      </c>
      <c r="G72" s="5" t="n">
        <f aca="false">IFERROR(D72/E72,0)</f>
        <v>2.21331746031746</v>
      </c>
      <c r="H72" s="12" t="n">
        <f aca="false">IFERROR(F72/E72,0)</f>
        <v>0.2</v>
      </c>
    </row>
    <row r="73" customFormat="false" ht="15" hidden="false" customHeight="false" outlineLevel="0" collapsed="false">
      <c r="A73" s="6" t="n">
        <v>45910</v>
      </c>
      <c r="B73" s="4" t="s">
        <v>4631</v>
      </c>
      <c r="C73" s="4" t="s">
        <v>4632</v>
      </c>
      <c r="D73" s="5" t="n">
        <v>2418.34</v>
      </c>
      <c r="E73" s="4" t="n">
        <v>534</v>
      </c>
      <c r="F73" s="4" t="n">
        <v>524</v>
      </c>
      <c r="G73" s="5" t="n">
        <f aca="false">IFERROR(D73/E73,0)</f>
        <v>4.5287265917603</v>
      </c>
      <c r="H73" s="12" t="n">
        <f aca="false">IFERROR(F73/E73,0)</f>
        <v>0.9812734082397</v>
      </c>
    </row>
    <row r="74" customFormat="false" ht="15" hidden="false" customHeight="false" outlineLevel="0" collapsed="false">
      <c r="A74" s="6" t="n">
        <v>45911</v>
      </c>
      <c r="B74" s="4" t="s">
        <v>4635</v>
      </c>
      <c r="C74" s="4" t="s">
        <v>4640</v>
      </c>
      <c r="D74" s="5" t="n">
        <v>3742.87</v>
      </c>
      <c r="E74" s="4" t="n">
        <v>657</v>
      </c>
      <c r="F74" s="4" t="n">
        <v>581</v>
      </c>
      <c r="G74" s="5" t="n">
        <f aca="false">IFERROR(D74/E74,0)</f>
        <v>5.6969101978691</v>
      </c>
      <c r="H74" s="12" t="n">
        <f aca="false">IFERROR(F74/E74,0)</f>
        <v>0.884322678843227</v>
      </c>
    </row>
    <row r="75" customFormat="false" ht="15" hidden="false" customHeight="false" outlineLevel="0" collapsed="false">
      <c r="A75" s="6" t="n">
        <v>45912</v>
      </c>
      <c r="B75" s="4" t="s">
        <v>4639</v>
      </c>
      <c r="C75" s="4" t="s">
        <v>4632</v>
      </c>
      <c r="D75" s="5" t="n">
        <v>4943.82</v>
      </c>
      <c r="E75" s="4" t="n">
        <v>560</v>
      </c>
      <c r="F75" s="4" t="n">
        <v>526</v>
      </c>
      <c r="G75" s="5" t="n">
        <f aca="false">IFERROR(D75/E75,0)</f>
        <v>8.82825</v>
      </c>
      <c r="H75" s="12" t="n">
        <f aca="false">IFERROR(F75/E75,0)</f>
        <v>0.939285714285714</v>
      </c>
    </row>
    <row r="76" customFormat="false" ht="15" hidden="false" customHeight="false" outlineLevel="0" collapsed="false">
      <c r="A76" s="6" t="n">
        <v>45913</v>
      </c>
      <c r="B76" s="4" t="s">
        <v>4635</v>
      </c>
      <c r="C76" s="4" t="s">
        <v>4636</v>
      </c>
      <c r="D76" s="5" t="n">
        <v>539.37</v>
      </c>
      <c r="E76" s="4" t="n">
        <v>342</v>
      </c>
      <c r="F76" s="4" t="n">
        <v>246</v>
      </c>
      <c r="G76" s="5" t="n">
        <f aca="false">IFERROR(D76/E76,0)</f>
        <v>1.57710526315789</v>
      </c>
      <c r="H76" s="12" t="n">
        <f aca="false">IFERROR(F76/E76,0)</f>
        <v>0.719298245614035</v>
      </c>
    </row>
    <row r="77" customFormat="false" ht="15" hidden="false" customHeight="false" outlineLevel="0" collapsed="false">
      <c r="A77" s="6" t="n">
        <v>45914</v>
      </c>
      <c r="B77" s="4" t="s">
        <v>4633</v>
      </c>
      <c r="C77" s="4" t="s">
        <v>4636</v>
      </c>
      <c r="D77" s="5" t="n">
        <v>4228.17</v>
      </c>
      <c r="E77" s="4" t="n">
        <v>127</v>
      </c>
      <c r="F77" s="4" t="n">
        <v>70</v>
      </c>
      <c r="G77" s="5" t="n">
        <f aca="false">IFERROR(D77/E77,0)</f>
        <v>33.2926771653543</v>
      </c>
      <c r="H77" s="12" t="n">
        <f aca="false">IFERROR(F77/E77,0)</f>
        <v>0.551181102362205</v>
      </c>
    </row>
    <row r="78" customFormat="false" ht="15" hidden="false" customHeight="false" outlineLevel="0" collapsed="false">
      <c r="A78" s="6" t="n">
        <v>45915</v>
      </c>
      <c r="B78" s="4" t="s">
        <v>4637</v>
      </c>
      <c r="C78" s="4" t="s">
        <v>4632</v>
      </c>
      <c r="D78" s="5" t="n">
        <v>1455.52</v>
      </c>
      <c r="E78" s="4" t="n">
        <v>258</v>
      </c>
      <c r="F78" s="4" t="n">
        <v>18</v>
      </c>
      <c r="G78" s="5" t="n">
        <f aca="false">IFERROR(D78/E78,0)</f>
        <v>5.6415503875969</v>
      </c>
      <c r="H78" s="12" t="n">
        <f aca="false">IFERROR(F78/E78,0)</f>
        <v>0.0697674418604651</v>
      </c>
    </row>
    <row r="79" customFormat="false" ht="15" hidden="false" customHeight="false" outlineLevel="0" collapsed="false">
      <c r="A79" s="6" t="n">
        <v>45916</v>
      </c>
      <c r="B79" s="4" t="s">
        <v>4631</v>
      </c>
      <c r="C79" s="4" t="s">
        <v>4636</v>
      </c>
      <c r="D79" s="5" t="n">
        <v>2817.12</v>
      </c>
      <c r="E79" s="4" t="n">
        <v>410</v>
      </c>
      <c r="F79" s="4" t="n">
        <v>363</v>
      </c>
      <c r="G79" s="5" t="n">
        <f aca="false">IFERROR(D79/E79,0)</f>
        <v>6.8710243902439</v>
      </c>
      <c r="H79" s="12" t="n">
        <f aca="false">IFERROR(F79/E79,0)</f>
        <v>0.885365853658537</v>
      </c>
    </row>
    <row r="80" customFormat="false" ht="15" hidden="false" customHeight="false" outlineLevel="0" collapsed="false">
      <c r="A80" s="6" t="n">
        <v>45917</v>
      </c>
      <c r="B80" s="4" t="s">
        <v>4635</v>
      </c>
      <c r="C80" s="4" t="s">
        <v>4636</v>
      </c>
      <c r="D80" s="5" t="n">
        <v>1522.05</v>
      </c>
      <c r="E80" s="4" t="n">
        <v>228</v>
      </c>
      <c r="F80" s="4" t="n">
        <v>212</v>
      </c>
      <c r="G80" s="5" t="n">
        <f aca="false">IFERROR(D80/E80,0)</f>
        <v>6.67565789473684</v>
      </c>
      <c r="H80" s="12" t="n">
        <f aca="false">IFERROR(F80/E80,0)</f>
        <v>0.929824561403509</v>
      </c>
    </row>
    <row r="81" customFormat="false" ht="15" hidden="false" customHeight="false" outlineLevel="0" collapsed="false">
      <c r="A81" s="6" t="n">
        <v>45918</v>
      </c>
      <c r="B81" s="4" t="s">
        <v>4639</v>
      </c>
      <c r="C81" s="4" t="s">
        <v>4636</v>
      </c>
      <c r="D81" s="5" t="n">
        <v>3063.87</v>
      </c>
      <c r="E81" s="4" t="n">
        <v>186</v>
      </c>
      <c r="F81" s="4" t="n">
        <v>133</v>
      </c>
      <c r="G81" s="5" t="n">
        <f aca="false">IFERROR(D81/E81,0)</f>
        <v>16.4724193548387</v>
      </c>
      <c r="H81" s="12" t="n">
        <f aca="false">IFERROR(F81/E81,0)</f>
        <v>0.71505376344086</v>
      </c>
    </row>
    <row r="82" customFormat="false" ht="15" hidden="false" customHeight="false" outlineLevel="0" collapsed="false">
      <c r="A82" s="6" t="n">
        <v>45919</v>
      </c>
      <c r="B82" s="4" t="s">
        <v>4637</v>
      </c>
      <c r="C82" s="4" t="s">
        <v>4632</v>
      </c>
      <c r="D82" s="5" t="n">
        <v>2948.06</v>
      </c>
      <c r="E82" s="4" t="n">
        <v>125</v>
      </c>
      <c r="F82" s="4" t="n">
        <v>19</v>
      </c>
      <c r="G82" s="5" t="n">
        <f aca="false">IFERROR(D82/E82,0)</f>
        <v>23.58448</v>
      </c>
      <c r="H82" s="12" t="n">
        <f aca="false">IFERROR(F82/E82,0)</f>
        <v>0.152</v>
      </c>
    </row>
    <row r="83" customFormat="false" ht="15" hidden="false" customHeight="false" outlineLevel="0" collapsed="false">
      <c r="A83" s="6" t="n">
        <v>45920</v>
      </c>
      <c r="B83" s="4" t="s">
        <v>4639</v>
      </c>
      <c r="C83" s="4" t="s">
        <v>4632</v>
      </c>
      <c r="D83" s="5" t="n">
        <v>2624.85</v>
      </c>
      <c r="E83" s="4" t="n">
        <v>421</v>
      </c>
      <c r="F83" s="4" t="n">
        <v>418</v>
      </c>
      <c r="G83" s="5" t="n">
        <f aca="false">IFERROR(D83/E83,0)</f>
        <v>6.23479809976247</v>
      </c>
      <c r="H83" s="12" t="n">
        <f aca="false">IFERROR(F83/E83,0)</f>
        <v>0.992874109263658</v>
      </c>
    </row>
    <row r="84" customFormat="false" ht="15" hidden="false" customHeight="false" outlineLevel="0" collapsed="false">
      <c r="A84" s="6" t="n">
        <v>45921</v>
      </c>
      <c r="B84" s="4" t="s">
        <v>4635</v>
      </c>
      <c r="C84" s="4" t="s">
        <v>4638</v>
      </c>
      <c r="D84" s="5" t="n">
        <v>1247.93</v>
      </c>
      <c r="E84" s="4" t="n">
        <v>196</v>
      </c>
      <c r="F84" s="4" t="n">
        <v>132</v>
      </c>
      <c r="G84" s="5" t="n">
        <f aca="false">IFERROR(D84/E84,0)</f>
        <v>6.36698979591837</v>
      </c>
      <c r="H84" s="12" t="n">
        <f aca="false">IFERROR(F84/E84,0)</f>
        <v>0.673469387755102</v>
      </c>
    </row>
    <row r="85" customFormat="false" ht="15" hidden="false" customHeight="false" outlineLevel="0" collapsed="false">
      <c r="A85" s="6" t="n">
        <v>45922</v>
      </c>
      <c r="B85" s="4" t="s">
        <v>4639</v>
      </c>
      <c r="C85" s="4" t="s">
        <v>4636</v>
      </c>
      <c r="D85" s="5" t="n">
        <v>3630.53</v>
      </c>
      <c r="E85" s="4" t="n">
        <v>590</v>
      </c>
      <c r="F85" s="4" t="n">
        <v>217</v>
      </c>
      <c r="G85" s="5" t="n">
        <f aca="false">IFERROR(D85/E85,0)</f>
        <v>6.1534406779661</v>
      </c>
      <c r="H85" s="12" t="n">
        <f aca="false">IFERROR(F85/E85,0)</f>
        <v>0.367796610169492</v>
      </c>
    </row>
    <row r="86" customFormat="false" ht="15" hidden="false" customHeight="false" outlineLevel="0" collapsed="false">
      <c r="A86" s="6" t="n">
        <v>45923</v>
      </c>
      <c r="B86" s="4" t="s">
        <v>4639</v>
      </c>
      <c r="C86" s="4" t="s">
        <v>4636</v>
      </c>
      <c r="D86" s="5" t="n">
        <v>825.35</v>
      </c>
      <c r="E86" s="4" t="n">
        <v>139</v>
      </c>
      <c r="F86" s="4" t="n">
        <v>3</v>
      </c>
      <c r="G86" s="5" t="n">
        <f aca="false">IFERROR(D86/E86,0)</f>
        <v>5.93776978417266</v>
      </c>
      <c r="H86" s="12" t="n">
        <f aca="false">IFERROR(F86/E86,0)</f>
        <v>0.0215827338129496</v>
      </c>
    </row>
    <row r="87" customFormat="false" ht="15" hidden="false" customHeight="false" outlineLevel="0" collapsed="false">
      <c r="A87" s="6" t="n">
        <v>45924</v>
      </c>
      <c r="B87" s="4" t="s">
        <v>4637</v>
      </c>
      <c r="C87" s="4" t="s">
        <v>4632</v>
      </c>
      <c r="D87" s="5" t="n">
        <v>1084.71</v>
      </c>
      <c r="E87" s="4" t="n">
        <v>22</v>
      </c>
      <c r="F87" s="4" t="n">
        <v>0</v>
      </c>
      <c r="G87" s="5" t="n">
        <f aca="false">IFERROR(D87/E87,0)</f>
        <v>49.305</v>
      </c>
      <c r="H87" s="12" t="n">
        <f aca="false">IFERROR(F87/E87,0)</f>
        <v>0</v>
      </c>
    </row>
    <row r="88" customFormat="false" ht="15" hidden="false" customHeight="false" outlineLevel="0" collapsed="false">
      <c r="A88" s="6" t="n">
        <v>45925</v>
      </c>
      <c r="B88" s="4" t="s">
        <v>4637</v>
      </c>
      <c r="C88" s="4" t="s">
        <v>4638</v>
      </c>
      <c r="D88" s="5" t="n">
        <v>2083.21</v>
      </c>
      <c r="E88" s="4" t="n">
        <v>464</v>
      </c>
      <c r="F88" s="4" t="n">
        <v>194</v>
      </c>
      <c r="G88" s="5" t="n">
        <f aca="false">IFERROR(D88/E88,0)</f>
        <v>4.48967672413793</v>
      </c>
      <c r="H88" s="12" t="n">
        <f aca="false">IFERROR(F88/E88,0)</f>
        <v>0.418103448275862</v>
      </c>
    </row>
    <row r="89" customFormat="false" ht="15" hidden="false" customHeight="false" outlineLevel="0" collapsed="false">
      <c r="A89" s="6" t="n">
        <v>45926</v>
      </c>
      <c r="B89" s="4" t="s">
        <v>4633</v>
      </c>
      <c r="C89" s="4" t="s">
        <v>4638</v>
      </c>
      <c r="D89" s="5" t="n">
        <v>4572.69</v>
      </c>
      <c r="E89" s="4" t="n">
        <v>540</v>
      </c>
      <c r="F89" s="4" t="n">
        <v>492</v>
      </c>
      <c r="G89" s="5" t="n">
        <f aca="false">IFERROR(D89/E89,0)</f>
        <v>8.46794444444444</v>
      </c>
      <c r="H89" s="12" t="n">
        <f aca="false">IFERROR(F89/E89,0)</f>
        <v>0.911111111111111</v>
      </c>
    </row>
    <row r="90" customFormat="false" ht="15" hidden="false" customHeight="false" outlineLevel="0" collapsed="false">
      <c r="A90" s="6" t="n">
        <v>45927</v>
      </c>
      <c r="B90" s="4" t="s">
        <v>4631</v>
      </c>
      <c r="C90" s="4" t="s">
        <v>4636</v>
      </c>
      <c r="D90" s="5" t="n">
        <v>303.22</v>
      </c>
      <c r="E90" s="4" t="n">
        <v>105</v>
      </c>
      <c r="F90" s="4" t="n">
        <v>104</v>
      </c>
      <c r="G90" s="5" t="n">
        <f aca="false">IFERROR(D90/E90,0)</f>
        <v>2.88780952380952</v>
      </c>
      <c r="H90" s="12" t="n">
        <f aca="false">IFERROR(F90/E90,0)</f>
        <v>0.990476190476191</v>
      </c>
    </row>
    <row r="91" customFormat="false" ht="15" hidden="false" customHeight="false" outlineLevel="0" collapsed="false">
      <c r="A91" s="6" t="n">
        <v>45928</v>
      </c>
      <c r="B91" s="4" t="s">
        <v>4637</v>
      </c>
      <c r="C91" s="4" t="s">
        <v>4636</v>
      </c>
      <c r="D91" s="5" t="n">
        <v>2020.19</v>
      </c>
      <c r="E91" s="4" t="n">
        <v>115</v>
      </c>
      <c r="F91" s="4" t="n">
        <v>36</v>
      </c>
      <c r="G91" s="5" t="n">
        <f aca="false">IFERROR(D91/E91,0)</f>
        <v>17.5668695652174</v>
      </c>
      <c r="H91" s="12" t="n">
        <f aca="false">IFERROR(F91/E91,0)</f>
        <v>0.31304347826087</v>
      </c>
    </row>
    <row r="92" customFormat="false" ht="15" hidden="false" customHeight="false" outlineLevel="0" collapsed="false">
      <c r="A92" s="6" t="n">
        <v>45929</v>
      </c>
      <c r="B92" s="4" t="s">
        <v>4639</v>
      </c>
      <c r="C92" s="4" t="s">
        <v>4638</v>
      </c>
      <c r="D92" s="5" t="n">
        <v>4514.27</v>
      </c>
      <c r="E92" s="4" t="n">
        <v>316</v>
      </c>
      <c r="F92" s="4" t="n">
        <v>163</v>
      </c>
      <c r="G92" s="5" t="n">
        <f aca="false">IFERROR(D92/E92,0)</f>
        <v>14.285664556962</v>
      </c>
      <c r="H92" s="12" t="n">
        <f aca="false">IFERROR(F92/E92,0)</f>
        <v>0.515822784810127</v>
      </c>
    </row>
    <row r="93" customFormat="false" ht="15" hidden="false" customHeight="false" outlineLevel="0" collapsed="false">
      <c r="A93" s="6" t="n">
        <v>45930</v>
      </c>
      <c r="B93" s="4" t="s">
        <v>4633</v>
      </c>
      <c r="C93" s="4" t="s">
        <v>4634</v>
      </c>
      <c r="D93" s="5" t="n">
        <v>3050.76</v>
      </c>
      <c r="E93" s="4" t="n">
        <v>793</v>
      </c>
      <c r="F93" s="4" t="n">
        <v>48</v>
      </c>
      <c r="G93" s="5" t="n">
        <f aca="false">IFERROR(D93/E93,0)</f>
        <v>3.84711223203027</v>
      </c>
      <c r="H93" s="12" t="n">
        <f aca="false">IFERROR(F93/E93,0)</f>
        <v>0.0605296343001261</v>
      </c>
    </row>
    <row r="94" customFormat="false" ht="15" hidden="false" customHeight="false" outlineLevel="0" collapsed="false">
      <c r="A94" s="6" t="n">
        <v>45931</v>
      </c>
      <c r="B94" s="4" t="s">
        <v>4635</v>
      </c>
      <c r="C94" s="4" t="s">
        <v>4636</v>
      </c>
      <c r="D94" s="5" t="n">
        <v>2250.42</v>
      </c>
      <c r="E94" s="4" t="n">
        <v>789</v>
      </c>
      <c r="F94" s="4" t="n">
        <v>784</v>
      </c>
      <c r="G94" s="5" t="n">
        <f aca="false">IFERROR(D94/E94,0)</f>
        <v>2.85224334600761</v>
      </c>
      <c r="H94" s="12" t="n">
        <f aca="false">IFERROR(F94/E94,0)</f>
        <v>0.993662864385298</v>
      </c>
    </row>
    <row r="95" customFormat="false" ht="15" hidden="false" customHeight="false" outlineLevel="0" collapsed="false">
      <c r="A95" s="6" t="n">
        <v>45932</v>
      </c>
      <c r="B95" s="4" t="s">
        <v>4635</v>
      </c>
      <c r="C95" s="4" t="s">
        <v>4634</v>
      </c>
      <c r="D95" s="5" t="n">
        <v>1176.19</v>
      </c>
      <c r="E95" s="4" t="n">
        <v>336</v>
      </c>
      <c r="F95" s="4" t="n">
        <v>209</v>
      </c>
      <c r="G95" s="5" t="n">
        <f aca="false">IFERROR(D95/E95,0)</f>
        <v>3.50056547619048</v>
      </c>
      <c r="H95" s="12" t="n">
        <f aca="false">IFERROR(F95/E95,0)</f>
        <v>0.62202380952381</v>
      </c>
    </row>
    <row r="96" customFormat="false" ht="15" hidden="false" customHeight="false" outlineLevel="0" collapsed="false">
      <c r="A96" s="6" t="n">
        <v>45933</v>
      </c>
      <c r="B96" s="4" t="s">
        <v>4637</v>
      </c>
      <c r="C96" s="4" t="s">
        <v>4636</v>
      </c>
      <c r="D96" s="5" t="n">
        <v>4202.27</v>
      </c>
      <c r="E96" s="4" t="n">
        <v>120</v>
      </c>
      <c r="F96" s="4" t="n">
        <v>4</v>
      </c>
      <c r="G96" s="5" t="n">
        <f aca="false">IFERROR(D96/E96,0)</f>
        <v>35.0189166666667</v>
      </c>
      <c r="H96" s="12" t="n">
        <f aca="false">IFERROR(F96/E96,0)</f>
        <v>0.0333333333333333</v>
      </c>
    </row>
    <row r="97" customFormat="false" ht="15" hidden="false" customHeight="false" outlineLevel="0" collapsed="false">
      <c r="A97" s="6" t="n">
        <v>45934</v>
      </c>
      <c r="B97" s="4" t="s">
        <v>4633</v>
      </c>
      <c r="C97" s="4" t="s">
        <v>4636</v>
      </c>
      <c r="D97" s="5" t="n">
        <v>3733.34</v>
      </c>
      <c r="E97" s="4" t="n">
        <v>37</v>
      </c>
      <c r="F97" s="4" t="n">
        <v>29</v>
      </c>
      <c r="G97" s="5" t="n">
        <f aca="false">IFERROR(D97/E97,0)</f>
        <v>100.901081081081</v>
      </c>
      <c r="H97" s="12" t="n">
        <f aca="false">IFERROR(F97/E97,0)</f>
        <v>0.783783783783784</v>
      </c>
    </row>
    <row r="98" customFormat="false" ht="15" hidden="false" customHeight="false" outlineLevel="0" collapsed="false">
      <c r="A98" s="6" t="n">
        <v>45935</v>
      </c>
      <c r="B98" s="4" t="s">
        <v>4635</v>
      </c>
      <c r="C98" s="4" t="s">
        <v>4640</v>
      </c>
      <c r="D98" s="5" t="n">
        <v>266.66</v>
      </c>
      <c r="E98" s="4" t="n">
        <v>305</v>
      </c>
      <c r="F98" s="4" t="n">
        <v>168</v>
      </c>
      <c r="G98" s="5" t="n">
        <f aca="false">IFERROR(D98/E98,0)</f>
        <v>0.874295081967213</v>
      </c>
      <c r="H98" s="12" t="n">
        <f aca="false">IFERROR(F98/E98,0)</f>
        <v>0.550819672131148</v>
      </c>
    </row>
    <row r="99" customFormat="false" ht="15" hidden="false" customHeight="false" outlineLevel="0" collapsed="false">
      <c r="A99" s="6" t="n">
        <v>45936</v>
      </c>
      <c r="B99" s="4" t="s">
        <v>4637</v>
      </c>
      <c r="C99" s="4" t="s">
        <v>4638</v>
      </c>
      <c r="D99" s="5" t="n">
        <v>2328.29</v>
      </c>
      <c r="E99" s="4" t="n">
        <v>96</v>
      </c>
      <c r="F99" s="4" t="n">
        <v>42</v>
      </c>
      <c r="G99" s="5" t="n">
        <f aca="false">IFERROR(D99/E99,0)</f>
        <v>24.2530208333333</v>
      </c>
      <c r="H99" s="12" t="n">
        <f aca="false">IFERROR(F99/E99,0)</f>
        <v>0.4375</v>
      </c>
    </row>
    <row r="100" customFormat="false" ht="15" hidden="false" customHeight="false" outlineLevel="0" collapsed="false">
      <c r="A100" s="6" t="n">
        <v>45937</v>
      </c>
      <c r="B100" s="4" t="s">
        <v>4633</v>
      </c>
      <c r="C100" s="4" t="s">
        <v>4634</v>
      </c>
      <c r="D100" s="5" t="n">
        <v>2320.58</v>
      </c>
      <c r="E100" s="4" t="n">
        <v>704</v>
      </c>
      <c r="F100" s="4" t="n">
        <v>399</v>
      </c>
      <c r="G100" s="5" t="n">
        <f aca="false">IFERROR(D100/E100,0)</f>
        <v>3.29627840909091</v>
      </c>
      <c r="H100" s="12" t="n">
        <f aca="false">IFERROR(F100/E100,0)</f>
        <v>0.566761363636364</v>
      </c>
    </row>
    <row r="101" customFormat="false" ht="15" hidden="false" customHeight="false" outlineLevel="0" collapsed="false">
      <c r="A101" s="6" t="n">
        <v>45938</v>
      </c>
      <c r="B101" s="4" t="s">
        <v>4631</v>
      </c>
      <c r="C101" s="4" t="s">
        <v>4634</v>
      </c>
      <c r="D101" s="5" t="n">
        <v>687.13</v>
      </c>
      <c r="E101" s="4" t="n">
        <v>33</v>
      </c>
      <c r="F101" s="4" t="n">
        <v>25</v>
      </c>
      <c r="G101" s="5" t="n">
        <f aca="false">IFERROR(D101/E101,0)</f>
        <v>20.8221212121212</v>
      </c>
      <c r="H101" s="12" t="n">
        <f aca="false">IFERROR(F101/E101,0)</f>
        <v>0.757575757575758</v>
      </c>
    </row>
    <row r="102" customFormat="false" ht="15" hidden="false" customHeight="false" outlineLevel="0" collapsed="false">
      <c r="A102" s="6" t="n">
        <v>45939</v>
      </c>
      <c r="B102" s="4" t="s">
        <v>4639</v>
      </c>
      <c r="C102" s="4" t="s">
        <v>4634</v>
      </c>
      <c r="D102" s="5" t="n">
        <v>4370.64</v>
      </c>
      <c r="E102" s="4" t="n">
        <v>745</v>
      </c>
      <c r="F102" s="4" t="n">
        <v>92</v>
      </c>
      <c r="G102" s="5" t="n">
        <f aca="false">IFERROR(D102/E102,0)</f>
        <v>5.86663087248322</v>
      </c>
      <c r="H102" s="12" t="n">
        <f aca="false">IFERROR(F102/E102,0)</f>
        <v>0.123489932885906</v>
      </c>
    </row>
    <row r="103" customFormat="false" ht="15" hidden="false" customHeight="false" outlineLevel="0" collapsed="false">
      <c r="A103" s="6" t="n">
        <v>45940</v>
      </c>
      <c r="B103" s="4" t="s">
        <v>4631</v>
      </c>
      <c r="C103" s="4" t="s">
        <v>4638</v>
      </c>
      <c r="D103" s="5" t="n">
        <v>257.53</v>
      </c>
      <c r="E103" s="4" t="n">
        <v>477</v>
      </c>
      <c r="F103" s="4" t="n">
        <v>277</v>
      </c>
      <c r="G103" s="5" t="n">
        <f aca="false">IFERROR(D103/E103,0)</f>
        <v>0.539895178197065</v>
      </c>
      <c r="H103" s="12" t="n">
        <f aca="false">IFERROR(F103/E103,0)</f>
        <v>0.580712788259958</v>
      </c>
    </row>
    <row r="104" customFormat="false" ht="15" hidden="false" customHeight="false" outlineLevel="0" collapsed="false">
      <c r="A104" s="6" t="n">
        <v>45941</v>
      </c>
      <c r="B104" s="4" t="s">
        <v>4635</v>
      </c>
      <c r="C104" s="4" t="s">
        <v>4640</v>
      </c>
      <c r="D104" s="5" t="n">
        <v>2144.41</v>
      </c>
      <c r="E104" s="4" t="n">
        <v>625</v>
      </c>
      <c r="F104" s="4" t="n">
        <v>275</v>
      </c>
      <c r="G104" s="5" t="n">
        <f aca="false">IFERROR(D104/E104,0)</f>
        <v>3.431056</v>
      </c>
      <c r="H104" s="12" t="n">
        <f aca="false">IFERROR(F104/E104,0)</f>
        <v>0.44</v>
      </c>
    </row>
    <row r="105" customFormat="false" ht="15" hidden="false" customHeight="false" outlineLevel="0" collapsed="false">
      <c r="A105" s="6" t="n">
        <v>45942</v>
      </c>
      <c r="B105" s="4" t="s">
        <v>4631</v>
      </c>
      <c r="C105" s="4" t="s">
        <v>4632</v>
      </c>
      <c r="D105" s="5" t="n">
        <v>449.3</v>
      </c>
      <c r="E105" s="4" t="n">
        <v>649</v>
      </c>
      <c r="F105" s="4" t="n">
        <v>15</v>
      </c>
      <c r="G105" s="5" t="n">
        <f aca="false">IFERROR(D105/E105,0)</f>
        <v>0.692295839753467</v>
      </c>
      <c r="H105" s="12" t="n">
        <f aca="false">IFERROR(F105/E105,0)</f>
        <v>0.0231124807395994</v>
      </c>
    </row>
    <row r="106" customFormat="false" ht="15" hidden="false" customHeight="false" outlineLevel="0" collapsed="false">
      <c r="A106" s="6" t="n">
        <v>45943</v>
      </c>
      <c r="B106" s="4" t="s">
        <v>4635</v>
      </c>
      <c r="C106" s="4" t="s">
        <v>4636</v>
      </c>
      <c r="D106" s="5" t="n">
        <v>3860.99</v>
      </c>
      <c r="E106" s="4" t="n">
        <v>460</v>
      </c>
      <c r="F106" s="4" t="n">
        <v>214</v>
      </c>
      <c r="G106" s="5" t="n">
        <f aca="false">IFERROR(D106/E106,0)</f>
        <v>8.39345652173913</v>
      </c>
      <c r="H106" s="12" t="n">
        <f aca="false">IFERROR(F106/E106,0)</f>
        <v>0.465217391304348</v>
      </c>
    </row>
    <row r="107" customFormat="false" ht="15" hidden="false" customHeight="false" outlineLevel="0" collapsed="false">
      <c r="A107" s="6" t="n">
        <v>45944</v>
      </c>
      <c r="B107" s="4" t="s">
        <v>4635</v>
      </c>
      <c r="C107" s="4" t="s">
        <v>4632</v>
      </c>
      <c r="D107" s="5" t="n">
        <v>1647.46</v>
      </c>
      <c r="E107" s="4" t="n">
        <v>164</v>
      </c>
      <c r="F107" s="4" t="n">
        <v>96</v>
      </c>
      <c r="G107" s="5" t="n">
        <f aca="false">IFERROR(D107/E107,0)</f>
        <v>10.045487804878</v>
      </c>
      <c r="H107" s="12" t="n">
        <f aca="false">IFERROR(F107/E107,0)</f>
        <v>0.585365853658537</v>
      </c>
    </row>
    <row r="108" customFormat="false" ht="15" hidden="false" customHeight="false" outlineLevel="0" collapsed="false">
      <c r="A108" s="6" t="n">
        <v>45945</v>
      </c>
      <c r="B108" s="4" t="s">
        <v>4633</v>
      </c>
      <c r="C108" s="4" t="s">
        <v>4632</v>
      </c>
      <c r="D108" s="5" t="n">
        <v>2931.86</v>
      </c>
      <c r="E108" s="4" t="n">
        <v>434</v>
      </c>
      <c r="F108" s="4" t="n">
        <v>81</v>
      </c>
      <c r="G108" s="5" t="n">
        <f aca="false">IFERROR(D108/E108,0)</f>
        <v>6.75543778801843</v>
      </c>
      <c r="H108" s="12" t="n">
        <f aca="false">IFERROR(F108/E108,0)</f>
        <v>0.186635944700461</v>
      </c>
    </row>
    <row r="109" customFormat="false" ht="15" hidden="false" customHeight="false" outlineLevel="0" collapsed="false">
      <c r="A109" s="6" t="n">
        <v>45946</v>
      </c>
      <c r="B109" s="4" t="s">
        <v>4639</v>
      </c>
      <c r="C109" s="4" t="s">
        <v>4632</v>
      </c>
      <c r="D109" s="5" t="n">
        <v>2430.79</v>
      </c>
      <c r="E109" s="4" t="n">
        <v>35</v>
      </c>
      <c r="F109" s="4" t="n">
        <v>33</v>
      </c>
      <c r="G109" s="5" t="n">
        <f aca="false">IFERROR(D109/E109,0)</f>
        <v>69.4511428571429</v>
      </c>
      <c r="H109" s="12" t="n">
        <f aca="false">IFERROR(F109/E109,0)</f>
        <v>0.942857142857143</v>
      </c>
    </row>
    <row r="110" customFormat="false" ht="15" hidden="false" customHeight="false" outlineLevel="0" collapsed="false">
      <c r="A110" s="6" t="n">
        <v>45947</v>
      </c>
      <c r="B110" s="4" t="s">
        <v>4635</v>
      </c>
      <c r="C110" s="4" t="s">
        <v>4638</v>
      </c>
      <c r="D110" s="5" t="n">
        <v>2308.88</v>
      </c>
      <c r="E110" s="4" t="n">
        <v>588</v>
      </c>
      <c r="F110" s="4" t="n">
        <v>532</v>
      </c>
      <c r="G110" s="5" t="n">
        <f aca="false">IFERROR(D110/E110,0)</f>
        <v>3.92666666666667</v>
      </c>
      <c r="H110" s="12" t="n">
        <f aca="false">IFERROR(F110/E110,0)</f>
        <v>0.904761904761905</v>
      </c>
    </row>
    <row r="111" customFormat="false" ht="15" hidden="false" customHeight="false" outlineLevel="0" collapsed="false">
      <c r="A111" s="6" t="n">
        <v>45948</v>
      </c>
      <c r="B111" s="4" t="s">
        <v>4633</v>
      </c>
      <c r="C111" s="4" t="s">
        <v>4632</v>
      </c>
      <c r="D111" s="5" t="n">
        <v>2494.27</v>
      </c>
      <c r="E111" s="4" t="n">
        <v>718</v>
      </c>
      <c r="F111" s="4" t="n">
        <v>676</v>
      </c>
      <c r="G111" s="5" t="n">
        <f aca="false">IFERROR(D111/E111,0)</f>
        <v>3.47391364902507</v>
      </c>
      <c r="H111" s="12" t="n">
        <f aca="false">IFERROR(F111/E111,0)</f>
        <v>0.941504178272981</v>
      </c>
    </row>
    <row r="112" customFormat="false" ht="15" hidden="false" customHeight="false" outlineLevel="0" collapsed="false">
      <c r="A112" s="6" t="n">
        <v>45949</v>
      </c>
      <c r="B112" s="4" t="s">
        <v>4635</v>
      </c>
      <c r="C112" s="4" t="s">
        <v>4640</v>
      </c>
      <c r="D112" s="5" t="n">
        <v>595.08</v>
      </c>
      <c r="E112" s="4" t="n">
        <v>51</v>
      </c>
      <c r="F112" s="4" t="n">
        <v>23</v>
      </c>
      <c r="G112" s="5" t="n">
        <f aca="false">IFERROR(D112/E112,0)</f>
        <v>11.6682352941176</v>
      </c>
      <c r="H112" s="12" t="n">
        <f aca="false">IFERROR(F112/E112,0)</f>
        <v>0.450980392156863</v>
      </c>
    </row>
    <row r="113" customFormat="false" ht="15" hidden="false" customHeight="false" outlineLevel="0" collapsed="false">
      <c r="A113" s="6" t="n">
        <v>45950</v>
      </c>
      <c r="B113" s="4" t="s">
        <v>4637</v>
      </c>
      <c r="C113" s="4" t="s">
        <v>4632</v>
      </c>
      <c r="D113" s="5" t="n">
        <v>1107.9</v>
      </c>
      <c r="E113" s="4" t="n">
        <v>484</v>
      </c>
      <c r="F113" s="4" t="n">
        <v>432</v>
      </c>
      <c r="G113" s="5" t="n">
        <f aca="false">IFERROR(D113/E113,0)</f>
        <v>2.28904958677686</v>
      </c>
      <c r="H113" s="12" t="n">
        <f aca="false">IFERROR(F113/E113,0)</f>
        <v>0.892561983471074</v>
      </c>
    </row>
    <row r="114" customFormat="false" ht="15" hidden="false" customHeight="false" outlineLevel="0" collapsed="false">
      <c r="A114" s="6" t="n">
        <v>45951</v>
      </c>
      <c r="B114" s="4" t="s">
        <v>4635</v>
      </c>
      <c r="C114" s="4" t="s">
        <v>4636</v>
      </c>
      <c r="D114" s="5" t="n">
        <v>2408.74</v>
      </c>
      <c r="E114" s="4" t="n">
        <v>406</v>
      </c>
      <c r="F114" s="4" t="n">
        <v>11</v>
      </c>
      <c r="G114" s="5" t="n">
        <f aca="false">IFERROR(D114/E114,0)</f>
        <v>5.93285714285714</v>
      </c>
      <c r="H114" s="12" t="n">
        <f aca="false">IFERROR(F114/E114,0)</f>
        <v>0.0270935960591133</v>
      </c>
    </row>
    <row r="115" customFormat="false" ht="15" hidden="false" customHeight="false" outlineLevel="0" collapsed="false">
      <c r="A115" s="6" t="n">
        <v>45952</v>
      </c>
      <c r="B115" s="4" t="s">
        <v>4633</v>
      </c>
      <c r="C115" s="4" t="s">
        <v>4634</v>
      </c>
      <c r="D115" s="5" t="n">
        <v>850.89</v>
      </c>
      <c r="E115" s="4" t="n">
        <v>109</v>
      </c>
      <c r="F115" s="4" t="n">
        <v>16</v>
      </c>
      <c r="G115" s="5" t="n">
        <f aca="false">IFERROR(D115/E115,0)</f>
        <v>7.80633027522936</v>
      </c>
      <c r="H115" s="12" t="n">
        <f aca="false">IFERROR(F115/E115,0)</f>
        <v>0.146788990825688</v>
      </c>
    </row>
    <row r="116" customFormat="false" ht="15" hidden="false" customHeight="false" outlineLevel="0" collapsed="false">
      <c r="A116" s="6" t="n">
        <v>45953</v>
      </c>
      <c r="B116" s="4" t="s">
        <v>4635</v>
      </c>
      <c r="C116" s="4" t="s">
        <v>4632</v>
      </c>
      <c r="D116" s="5" t="n">
        <v>2409.12</v>
      </c>
      <c r="E116" s="4" t="n">
        <v>666</v>
      </c>
      <c r="F116" s="4" t="n">
        <v>534</v>
      </c>
      <c r="G116" s="5" t="n">
        <f aca="false">IFERROR(D116/E116,0)</f>
        <v>3.6172972972973</v>
      </c>
      <c r="H116" s="12" t="n">
        <f aca="false">IFERROR(F116/E116,0)</f>
        <v>0.801801801801802</v>
      </c>
    </row>
    <row r="117" customFormat="false" ht="15" hidden="false" customHeight="false" outlineLevel="0" collapsed="false">
      <c r="A117" s="6" t="n">
        <v>45954</v>
      </c>
      <c r="B117" s="4" t="s">
        <v>4637</v>
      </c>
      <c r="C117" s="4" t="s">
        <v>4634</v>
      </c>
      <c r="D117" s="5" t="n">
        <v>4197.43</v>
      </c>
      <c r="E117" s="4" t="n">
        <v>211</v>
      </c>
      <c r="F117" s="4" t="n">
        <v>97</v>
      </c>
      <c r="G117" s="5" t="n">
        <f aca="false">IFERROR(D117/E117,0)</f>
        <v>19.8930331753555</v>
      </c>
      <c r="H117" s="12" t="n">
        <f aca="false">IFERROR(F117/E117,0)</f>
        <v>0.459715639810427</v>
      </c>
    </row>
    <row r="118" customFormat="false" ht="15" hidden="false" customHeight="false" outlineLevel="0" collapsed="false">
      <c r="A118" s="6" t="n">
        <v>45955</v>
      </c>
      <c r="B118" s="4" t="s">
        <v>4635</v>
      </c>
      <c r="C118" s="4" t="s">
        <v>4634</v>
      </c>
      <c r="D118" s="5" t="n">
        <v>4894.44</v>
      </c>
      <c r="E118" s="4" t="n">
        <v>586</v>
      </c>
      <c r="F118" s="4" t="n">
        <v>5</v>
      </c>
      <c r="G118" s="5" t="n">
        <f aca="false">IFERROR(D118/E118,0)</f>
        <v>8.3522866894198</v>
      </c>
      <c r="H118" s="12" t="n">
        <f aca="false">IFERROR(F118/E118,0)</f>
        <v>0.00853242320819113</v>
      </c>
    </row>
    <row r="119" customFormat="false" ht="15" hidden="false" customHeight="false" outlineLevel="0" collapsed="false">
      <c r="A119" s="6" t="n">
        <v>45956</v>
      </c>
      <c r="B119" s="4" t="s">
        <v>4631</v>
      </c>
      <c r="C119" s="4" t="s">
        <v>4634</v>
      </c>
      <c r="D119" s="5" t="n">
        <v>4688.99</v>
      </c>
      <c r="E119" s="4" t="n">
        <v>94</v>
      </c>
      <c r="F119" s="4" t="n">
        <v>59</v>
      </c>
      <c r="G119" s="5" t="n">
        <f aca="false">IFERROR(D119/E119,0)</f>
        <v>49.8828723404255</v>
      </c>
      <c r="H119" s="12" t="n">
        <f aca="false">IFERROR(F119/E119,0)</f>
        <v>0.627659574468085</v>
      </c>
    </row>
    <row r="120" customFormat="false" ht="15" hidden="false" customHeight="false" outlineLevel="0" collapsed="false">
      <c r="A120" s="6" t="n">
        <v>45957</v>
      </c>
      <c r="B120" s="4" t="s">
        <v>4633</v>
      </c>
      <c r="C120" s="4" t="s">
        <v>4640</v>
      </c>
      <c r="D120" s="5" t="n">
        <v>2674.86</v>
      </c>
      <c r="E120" s="4" t="n">
        <v>140</v>
      </c>
      <c r="F120" s="4" t="n">
        <v>117</v>
      </c>
      <c r="G120" s="5" t="n">
        <f aca="false">IFERROR(D120/E120,0)</f>
        <v>19.1061428571429</v>
      </c>
      <c r="H120" s="12" t="n">
        <f aca="false">IFERROR(F120/E120,0)</f>
        <v>0.835714285714286</v>
      </c>
    </row>
    <row r="121" customFormat="false" ht="15" hidden="false" customHeight="false" outlineLevel="0" collapsed="false">
      <c r="A121" s="6" t="n">
        <v>45958</v>
      </c>
      <c r="B121" s="4" t="s">
        <v>4639</v>
      </c>
      <c r="C121" s="4" t="s">
        <v>4640</v>
      </c>
      <c r="D121" s="5" t="n">
        <v>1631.24</v>
      </c>
      <c r="E121" s="4" t="n">
        <v>112</v>
      </c>
      <c r="F121" s="4" t="n">
        <v>85</v>
      </c>
      <c r="G121" s="5" t="n">
        <f aca="false">IFERROR(D121/E121,0)</f>
        <v>14.5646428571429</v>
      </c>
      <c r="H121" s="12" t="n">
        <f aca="false">IFERROR(F121/E121,0)</f>
        <v>0.758928571428571</v>
      </c>
    </row>
    <row r="122" customFormat="false" ht="15" hidden="false" customHeight="false" outlineLevel="0" collapsed="false">
      <c r="A122" s="6" t="n">
        <v>45959</v>
      </c>
      <c r="B122" s="4" t="s">
        <v>4637</v>
      </c>
      <c r="C122" s="4" t="s">
        <v>4638</v>
      </c>
      <c r="D122" s="5" t="n">
        <v>1659.79</v>
      </c>
      <c r="E122" s="4" t="n">
        <v>636</v>
      </c>
      <c r="F122" s="4" t="n">
        <v>189</v>
      </c>
      <c r="G122" s="5" t="n">
        <f aca="false">IFERROR(D122/E122,0)</f>
        <v>2.60973270440252</v>
      </c>
      <c r="H122" s="12" t="n">
        <f aca="false">IFERROR(F122/E122,0)</f>
        <v>0.297169811320755</v>
      </c>
    </row>
    <row r="123" customFormat="false" ht="15" hidden="false" customHeight="false" outlineLevel="0" collapsed="false">
      <c r="A123" s="6" t="n">
        <v>45960</v>
      </c>
      <c r="B123" s="4" t="s">
        <v>4639</v>
      </c>
      <c r="C123" s="4" t="s">
        <v>4634</v>
      </c>
      <c r="D123" s="5" t="n">
        <v>2823.6</v>
      </c>
      <c r="E123" s="4" t="n">
        <v>680</v>
      </c>
      <c r="F123" s="4" t="n">
        <v>564</v>
      </c>
      <c r="G123" s="5" t="n">
        <f aca="false">IFERROR(D123/E123,0)</f>
        <v>4.15235294117647</v>
      </c>
      <c r="H123" s="12" t="n">
        <f aca="false">IFERROR(F123/E123,0)</f>
        <v>0.829411764705882</v>
      </c>
    </row>
    <row r="124" customFormat="false" ht="15" hidden="false" customHeight="false" outlineLevel="0" collapsed="false">
      <c r="A124" s="6" t="n">
        <v>45961</v>
      </c>
      <c r="B124" s="4" t="s">
        <v>4633</v>
      </c>
      <c r="C124" s="4" t="s">
        <v>4636</v>
      </c>
      <c r="D124" s="5" t="n">
        <v>686.53</v>
      </c>
      <c r="E124" s="4" t="n">
        <v>749</v>
      </c>
      <c r="F124" s="4" t="n">
        <v>606</v>
      </c>
      <c r="G124" s="5" t="n">
        <f aca="false">IFERROR(D124/E124,0)</f>
        <v>0.916595460614152</v>
      </c>
      <c r="H124" s="12" t="n">
        <f aca="false">IFERROR(F124/E124,0)</f>
        <v>0.809078771695594</v>
      </c>
    </row>
    <row r="125" customFormat="false" ht="15" hidden="false" customHeight="false" outlineLevel="0" collapsed="false">
      <c r="A125" s="6" t="n">
        <v>45962</v>
      </c>
      <c r="B125" s="4" t="s">
        <v>4639</v>
      </c>
      <c r="C125" s="4" t="s">
        <v>4632</v>
      </c>
      <c r="D125" s="5" t="n">
        <v>2319.78</v>
      </c>
      <c r="E125" s="4" t="n">
        <v>201</v>
      </c>
      <c r="F125" s="4" t="n">
        <v>41</v>
      </c>
      <c r="G125" s="5" t="n">
        <f aca="false">IFERROR(D125/E125,0)</f>
        <v>11.5411940298507</v>
      </c>
      <c r="H125" s="12" t="n">
        <f aca="false">IFERROR(F125/E125,0)</f>
        <v>0.203980099502488</v>
      </c>
    </row>
    <row r="126" customFormat="false" ht="15" hidden="false" customHeight="false" outlineLevel="0" collapsed="false">
      <c r="A126" s="6" t="n">
        <v>45963</v>
      </c>
      <c r="B126" s="4" t="s">
        <v>4635</v>
      </c>
      <c r="C126" s="4" t="s">
        <v>4638</v>
      </c>
      <c r="D126" s="5" t="n">
        <v>4729.37</v>
      </c>
      <c r="E126" s="4" t="n">
        <v>362</v>
      </c>
      <c r="F126" s="4" t="n">
        <v>262</v>
      </c>
      <c r="G126" s="5" t="n">
        <f aca="false">IFERROR(D126/E126,0)</f>
        <v>13.0645580110497</v>
      </c>
      <c r="H126" s="12" t="n">
        <f aca="false">IFERROR(F126/E126,0)</f>
        <v>0.723756906077348</v>
      </c>
    </row>
    <row r="127" customFormat="false" ht="15" hidden="false" customHeight="false" outlineLevel="0" collapsed="false">
      <c r="A127" s="6" t="n">
        <v>45964</v>
      </c>
      <c r="B127" s="4" t="s">
        <v>4631</v>
      </c>
      <c r="C127" s="4" t="s">
        <v>4634</v>
      </c>
      <c r="D127" s="5" t="n">
        <v>2384.08</v>
      </c>
      <c r="E127" s="4" t="n">
        <v>744</v>
      </c>
      <c r="F127" s="4" t="n">
        <v>270</v>
      </c>
      <c r="G127" s="5" t="n">
        <f aca="false">IFERROR(D127/E127,0)</f>
        <v>3.20440860215054</v>
      </c>
      <c r="H127" s="12" t="n">
        <f aca="false">IFERROR(F127/E127,0)</f>
        <v>0.362903225806452</v>
      </c>
    </row>
    <row r="128" customFormat="false" ht="15" hidden="false" customHeight="false" outlineLevel="0" collapsed="false">
      <c r="A128" s="6" t="n">
        <v>45965</v>
      </c>
      <c r="B128" s="4" t="s">
        <v>4631</v>
      </c>
      <c r="C128" s="4" t="s">
        <v>4634</v>
      </c>
      <c r="D128" s="5" t="n">
        <v>4602.18</v>
      </c>
      <c r="E128" s="4" t="n">
        <v>127</v>
      </c>
      <c r="F128" s="4" t="n">
        <v>88</v>
      </c>
      <c r="G128" s="5" t="n">
        <f aca="false">IFERROR(D128/E128,0)</f>
        <v>36.2376377952756</v>
      </c>
      <c r="H128" s="12" t="n">
        <f aca="false">IFERROR(F128/E128,0)</f>
        <v>0.692913385826772</v>
      </c>
    </row>
    <row r="129" customFormat="false" ht="15" hidden="false" customHeight="false" outlineLevel="0" collapsed="false">
      <c r="A129" s="6" t="n">
        <v>45966</v>
      </c>
      <c r="B129" s="4" t="s">
        <v>4633</v>
      </c>
      <c r="C129" s="4" t="s">
        <v>4632</v>
      </c>
      <c r="D129" s="5" t="n">
        <v>2559.01</v>
      </c>
      <c r="E129" s="4" t="n">
        <v>66</v>
      </c>
      <c r="F129" s="4" t="n">
        <v>40</v>
      </c>
      <c r="G129" s="5" t="n">
        <f aca="false">IFERROR(D129/E129,0)</f>
        <v>38.7728787878788</v>
      </c>
      <c r="H129" s="12" t="n">
        <f aca="false">IFERROR(F129/E129,0)</f>
        <v>0.606060606060606</v>
      </c>
    </row>
    <row r="130" customFormat="false" ht="15" hidden="false" customHeight="false" outlineLevel="0" collapsed="false">
      <c r="A130" s="6" t="n">
        <v>45967</v>
      </c>
      <c r="B130" s="4" t="s">
        <v>4639</v>
      </c>
      <c r="C130" s="4" t="s">
        <v>4634</v>
      </c>
      <c r="D130" s="5" t="n">
        <v>850.49</v>
      </c>
      <c r="E130" s="4" t="n">
        <v>611</v>
      </c>
      <c r="F130" s="4" t="n">
        <v>144</v>
      </c>
      <c r="G130" s="5" t="n">
        <f aca="false">IFERROR(D130/E130,0)</f>
        <v>1.39196399345336</v>
      </c>
      <c r="H130" s="12" t="n">
        <f aca="false">IFERROR(F130/E130,0)</f>
        <v>0.235679214402619</v>
      </c>
    </row>
    <row r="131" customFormat="false" ht="15" hidden="false" customHeight="false" outlineLevel="0" collapsed="false">
      <c r="A131" s="6" t="n">
        <v>45968</v>
      </c>
      <c r="B131" s="4" t="s">
        <v>4637</v>
      </c>
      <c r="C131" s="4" t="s">
        <v>4638</v>
      </c>
      <c r="D131" s="5" t="n">
        <v>2610.49</v>
      </c>
      <c r="E131" s="4" t="n">
        <v>20</v>
      </c>
      <c r="F131" s="4" t="n">
        <v>18</v>
      </c>
      <c r="G131" s="5" t="n">
        <f aca="false">IFERROR(D131/E131,0)</f>
        <v>130.5245</v>
      </c>
      <c r="H131" s="12" t="n">
        <f aca="false">IFERROR(F131/E131,0)</f>
        <v>0.9</v>
      </c>
    </row>
    <row r="132" customFormat="false" ht="15" hidden="false" customHeight="false" outlineLevel="0" collapsed="false">
      <c r="A132" s="6" t="n">
        <v>45969</v>
      </c>
      <c r="B132" s="4" t="s">
        <v>4631</v>
      </c>
      <c r="C132" s="4" t="s">
        <v>4640</v>
      </c>
      <c r="D132" s="5" t="n">
        <v>551</v>
      </c>
      <c r="E132" s="4" t="n">
        <v>428</v>
      </c>
      <c r="F132" s="4" t="n">
        <v>112</v>
      </c>
      <c r="G132" s="5" t="n">
        <f aca="false">IFERROR(D132/E132,0)</f>
        <v>1.28738317757009</v>
      </c>
      <c r="H132" s="12" t="n">
        <f aca="false">IFERROR(F132/E132,0)</f>
        <v>0.261682242990654</v>
      </c>
    </row>
    <row r="133" customFormat="false" ht="15" hidden="false" customHeight="false" outlineLevel="0" collapsed="false">
      <c r="A133" s="6" t="n">
        <v>45970</v>
      </c>
      <c r="B133" s="4" t="s">
        <v>4639</v>
      </c>
      <c r="C133" s="4" t="s">
        <v>4636</v>
      </c>
      <c r="D133" s="5" t="n">
        <v>1556.77</v>
      </c>
      <c r="E133" s="4" t="n">
        <v>74</v>
      </c>
      <c r="F133" s="4" t="n">
        <v>58</v>
      </c>
      <c r="G133" s="5" t="n">
        <f aca="false">IFERROR(D133/E133,0)</f>
        <v>21.0374324324324</v>
      </c>
      <c r="H133" s="12" t="n">
        <f aca="false">IFERROR(F133/E133,0)</f>
        <v>0.783783783783784</v>
      </c>
    </row>
    <row r="134" customFormat="false" ht="15" hidden="false" customHeight="false" outlineLevel="0" collapsed="false">
      <c r="A134" s="6" t="n">
        <v>45971</v>
      </c>
      <c r="B134" s="4" t="s">
        <v>4639</v>
      </c>
      <c r="C134" s="4" t="s">
        <v>4632</v>
      </c>
      <c r="D134" s="5" t="n">
        <v>4179.58</v>
      </c>
      <c r="E134" s="4" t="n">
        <v>305</v>
      </c>
      <c r="F134" s="4" t="n">
        <v>240</v>
      </c>
      <c r="G134" s="5" t="n">
        <f aca="false">IFERROR(D134/E134,0)</f>
        <v>13.7035409836066</v>
      </c>
      <c r="H134" s="12" t="n">
        <f aca="false">IFERROR(F134/E134,0)</f>
        <v>0.786885245901639</v>
      </c>
    </row>
    <row r="135" customFormat="false" ht="15" hidden="false" customHeight="false" outlineLevel="0" collapsed="false">
      <c r="A135" s="6" t="n">
        <v>45972</v>
      </c>
      <c r="B135" s="4" t="s">
        <v>4631</v>
      </c>
      <c r="C135" s="4" t="s">
        <v>4638</v>
      </c>
      <c r="D135" s="5" t="n">
        <v>1024.04</v>
      </c>
      <c r="E135" s="4" t="n">
        <v>593</v>
      </c>
      <c r="F135" s="4" t="n">
        <v>335</v>
      </c>
      <c r="G135" s="5" t="n">
        <f aca="false">IFERROR(D135/E135,0)</f>
        <v>1.7268802698145</v>
      </c>
      <c r="H135" s="12" t="n">
        <f aca="false">IFERROR(F135/E135,0)</f>
        <v>0.564924114671164</v>
      </c>
    </row>
    <row r="136" customFormat="false" ht="15" hidden="false" customHeight="false" outlineLevel="0" collapsed="false">
      <c r="A136" s="6" t="n">
        <v>45973</v>
      </c>
      <c r="B136" s="4" t="s">
        <v>4639</v>
      </c>
      <c r="C136" s="4" t="s">
        <v>4634</v>
      </c>
      <c r="D136" s="5" t="n">
        <v>527.45</v>
      </c>
      <c r="E136" s="4" t="n">
        <v>517</v>
      </c>
      <c r="F136" s="4" t="n">
        <v>187</v>
      </c>
      <c r="G136" s="5" t="n">
        <f aca="false">IFERROR(D136/E136,0)</f>
        <v>1.02021276595745</v>
      </c>
      <c r="H136" s="12" t="n">
        <f aca="false">IFERROR(F136/E136,0)</f>
        <v>0.361702127659575</v>
      </c>
    </row>
    <row r="137" customFormat="false" ht="15" hidden="false" customHeight="false" outlineLevel="0" collapsed="false">
      <c r="A137" s="6" t="n">
        <v>45974</v>
      </c>
      <c r="B137" s="4" t="s">
        <v>4639</v>
      </c>
      <c r="C137" s="4" t="s">
        <v>4640</v>
      </c>
      <c r="D137" s="5" t="n">
        <v>3656.11</v>
      </c>
      <c r="E137" s="4" t="n">
        <v>266</v>
      </c>
      <c r="F137" s="4" t="n">
        <v>46</v>
      </c>
      <c r="G137" s="5" t="n">
        <f aca="false">IFERROR(D137/E137,0)</f>
        <v>13.7447744360902</v>
      </c>
      <c r="H137" s="12" t="n">
        <f aca="false">IFERROR(F137/E137,0)</f>
        <v>0.172932330827068</v>
      </c>
    </row>
    <row r="138" customFormat="false" ht="15" hidden="false" customHeight="false" outlineLevel="0" collapsed="false">
      <c r="A138" s="6" t="n">
        <v>45975</v>
      </c>
      <c r="B138" s="4" t="s">
        <v>4637</v>
      </c>
      <c r="C138" s="4" t="s">
        <v>4640</v>
      </c>
      <c r="D138" s="5" t="n">
        <v>594.32</v>
      </c>
      <c r="E138" s="4" t="n">
        <v>575</v>
      </c>
      <c r="F138" s="4" t="n">
        <v>382</v>
      </c>
      <c r="G138" s="5" t="n">
        <f aca="false">IFERROR(D138/E138,0)</f>
        <v>1.0336</v>
      </c>
      <c r="H138" s="12" t="n">
        <f aca="false">IFERROR(F138/E138,0)</f>
        <v>0.664347826086957</v>
      </c>
    </row>
    <row r="139" customFormat="false" ht="15" hidden="false" customHeight="false" outlineLevel="0" collapsed="false">
      <c r="A139" s="6" t="n">
        <v>45976</v>
      </c>
      <c r="B139" s="4" t="s">
        <v>4637</v>
      </c>
      <c r="C139" s="4" t="s">
        <v>4638</v>
      </c>
      <c r="D139" s="5" t="n">
        <v>563.08</v>
      </c>
      <c r="E139" s="4" t="n">
        <v>379</v>
      </c>
      <c r="F139" s="4" t="n">
        <v>287</v>
      </c>
      <c r="G139" s="5" t="n">
        <f aca="false">IFERROR(D139/E139,0)</f>
        <v>1.48569920844327</v>
      </c>
      <c r="H139" s="12" t="n">
        <f aca="false">IFERROR(F139/E139,0)</f>
        <v>0.757255936675462</v>
      </c>
    </row>
    <row r="140" customFormat="false" ht="15" hidden="false" customHeight="false" outlineLevel="0" collapsed="false">
      <c r="A140" s="6" t="n">
        <v>45977</v>
      </c>
      <c r="B140" s="4" t="s">
        <v>4635</v>
      </c>
      <c r="C140" s="4" t="s">
        <v>4636</v>
      </c>
      <c r="D140" s="5" t="n">
        <v>801.8</v>
      </c>
      <c r="E140" s="4" t="n">
        <v>400</v>
      </c>
      <c r="F140" s="4" t="n">
        <v>0</v>
      </c>
      <c r="G140" s="5" t="n">
        <f aca="false">IFERROR(D140/E140,0)</f>
        <v>2.0045</v>
      </c>
      <c r="H140" s="12" t="n">
        <f aca="false">IFERROR(F140/E140,0)</f>
        <v>0</v>
      </c>
    </row>
    <row r="141" customFormat="false" ht="15" hidden="false" customHeight="false" outlineLevel="0" collapsed="false">
      <c r="A141" s="6" t="n">
        <v>45978</v>
      </c>
      <c r="B141" s="4" t="s">
        <v>4631</v>
      </c>
      <c r="C141" s="4" t="s">
        <v>4636</v>
      </c>
      <c r="D141" s="5" t="n">
        <v>4258.24</v>
      </c>
      <c r="E141" s="4" t="n">
        <v>131</v>
      </c>
      <c r="F141" s="4" t="n">
        <v>22</v>
      </c>
      <c r="G141" s="5" t="n">
        <f aca="false">IFERROR(D141/E141,0)</f>
        <v>32.5056488549618</v>
      </c>
      <c r="H141" s="12" t="n">
        <f aca="false">IFERROR(F141/E141,0)</f>
        <v>0.16793893129771</v>
      </c>
    </row>
    <row r="142" customFormat="false" ht="15" hidden="false" customHeight="false" outlineLevel="0" collapsed="false">
      <c r="A142" s="6" t="n">
        <v>45979</v>
      </c>
      <c r="B142" s="4" t="s">
        <v>4631</v>
      </c>
      <c r="C142" s="4" t="s">
        <v>4636</v>
      </c>
      <c r="D142" s="5" t="n">
        <v>2280.17</v>
      </c>
      <c r="E142" s="4" t="n">
        <v>785</v>
      </c>
      <c r="F142" s="4" t="n">
        <v>44</v>
      </c>
      <c r="G142" s="5" t="n">
        <f aca="false">IFERROR(D142/E142,0)</f>
        <v>2.90467515923567</v>
      </c>
      <c r="H142" s="12" t="n">
        <f aca="false">IFERROR(F142/E142,0)</f>
        <v>0.0560509554140127</v>
      </c>
    </row>
    <row r="143" customFormat="false" ht="15" hidden="false" customHeight="false" outlineLevel="0" collapsed="false">
      <c r="A143" s="6" t="n">
        <v>45980</v>
      </c>
      <c r="B143" s="4" t="s">
        <v>4635</v>
      </c>
      <c r="C143" s="4" t="s">
        <v>4636</v>
      </c>
      <c r="D143" s="5" t="n">
        <v>4748.27</v>
      </c>
      <c r="E143" s="4" t="n">
        <v>471</v>
      </c>
      <c r="F143" s="4" t="n">
        <v>27</v>
      </c>
      <c r="G143" s="5" t="n">
        <f aca="false">IFERROR(D143/E143,0)</f>
        <v>10.0812526539278</v>
      </c>
      <c r="H143" s="12" t="n">
        <f aca="false">IFERROR(F143/E143,0)</f>
        <v>0.0573248407643312</v>
      </c>
    </row>
    <row r="144" customFormat="false" ht="15" hidden="false" customHeight="false" outlineLevel="0" collapsed="false">
      <c r="A144" s="6" t="n">
        <v>45981</v>
      </c>
      <c r="B144" s="4" t="s">
        <v>4637</v>
      </c>
      <c r="C144" s="4" t="s">
        <v>4640</v>
      </c>
      <c r="D144" s="5" t="n">
        <v>1198.15</v>
      </c>
      <c r="E144" s="4" t="n">
        <v>53</v>
      </c>
      <c r="F144" s="4" t="n">
        <v>29</v>
      </c>
      <c r="G144" s="5" t="n">
        <f aca="false">IFERROR(D144/E144,0)</f>
        <v>22.6066037735849</v>
      </c>
      <c r="H144" s="12" t="n">
        <f aca="false">IFERROR(F144/E144,0)</f>
        <v>0.547169811320755</v>
      </c>
    </row>
    <row r="145" customFormat="false" ht="15" hidden="false" customHeight="false" outlineLevel="0" collapsed="false">
      <c r="A145" s="6" t="n">
        <v>45982</v>
      </c>
      <c r="B145" s="4" t="s">
        <v>4637</v>
      </c>
      <c r="C145" s="4" t="s">
        <v>4640</v>
      </c>
      <c r="D145" s="5" t="n">
        <v>3069.83</v>
      </c>
      <c r="E145" s="4" t="n">
        <v>716</v>
      </c>
      <c r="F145" s="4" t="n">
        <v>15</v>
      </c>
      <c r="G145" s="5" t="n">
        <f aca="false">IFERROR(D145/E145,0)</f>
        <v>4.28747206703911</v>
      </c>
      <c r="H145" s="12" t="n">
        <f aca="false">IFERROR(F145/E145,0)</f>
        <v>0.0209497206703911</v>
      </c>
    </row>
    <row r="146" customFormat="false" ht="15" hidden="false" customHeight="false" outlineLevel="0" collapsed="false">
      <c r="A146" s="6" t="n">
        <v>45983</v>
      </c>
      <c r="B146" s="4" t="s">
        <v>4637</v>
      </c>
      <c r="C146" s="4" t="s">
        <v>4632</v>
      </c>
      <c r="D146" s="5" t="n">
        <v>1468.02</v>
      </c>
      <c r="E146" s="4" t="n">
        <v>737</v>
      </c>
      <c r="F146" s="4" t="n">
        <v>669</v>
      </c>
      <c r="G146" s="5" t="n">
        <f aca="false">IFERROR(D146/E146,0)</f>
        <v>1.99188602442334</v>
      </c>
      <c r="H146" s="12" t="n">
        <f aca="false">IFERROR(F146/E146,0)</f>
        <v>0.907734056987788</v>
      </c>
    </row>
    <row r="147" customFormat="false" ht="15" hidden="false" customHeight="false" outlineLevel="0" collapsed="false">
      <c r="A147" s="6" t="n">
        <v>45984</v>
      </c>
      <c r="B147" s="4" t="s">
        <v>4631</v>
      </c>
      <c r="C147" s="4" t="s">
        <v>4634</v>
      </c>
      <c r="D147" s="5" t="n">
        <v>2976.51</v>
      </c>
      <c r="E147" s="4" t="n">
        <v>339</v>
      </c>
      <c r="F147" s="4" t="n">
        <v>287</v>
      </c>
      <c r="G147" s="5" t="n">
        <f aca="false">IFERROR(D147/E147,0)</f>
        <v>8.78026548672566</v>
      </c>
      <c r="H147" s="12" t="n">
        <f aca="false">IFERROR(F147/E147,0)</f>
        <v>0.846607669616519</v>
      </c>
    </row>
    <row r="148" customFormat="false" ht="15" hidden="false" customHeight="false" outlineLevel="0" collapsed="false">
      <c r="A148" s="6" t="n">
        <v>45985</v>
      </c>
      <c r="B148" s="4" t="s">
        <v>4635</v>
      </c>
      <c r="C148" s="4" t="s">
        <v>4632</v>
      </c>
      <c r="D148" s="5" t="n">
        <v>1328.27</v>
      </c>
      <c r="E148" s="4" t="n">
        <v>681</v>
      </c>
      <c r="F148" s="4" t="n">
        <v>144</v>
      </c>
      <c r="G148" s="5" t="n">
        <f aca="false">IFERROR(D148/E148,0)</f>
        <v>1.95046989720999</v>
      </c>
      <c r="H148" s="12" t="n">
        <f aca="false">IFERROR(F148/E148,0)</f>
        <v>0.211453744493392</v>
      </c>
    </row>
    <row r="149" customFormat="false" ht="15" hidden="false" customHeight="false" outlineLevel="0" collapsed="false">
      <c r="A149" s="6" t="n">
        <v>45986</v>
      </c>
      <c r="B149" s="4" t="s">
        <v>4635</v>
      </c>
      <c r="C149" s="4" t="s">
        <v>4636</v>
      </c>
      <c r="D149" s="5" t="n">
        <v>2474.54</v>
      </c>
      <c r="E149" s="4" t="n">
        <v>627</v>
      </c>
      <c r="F149" s="4" t="n">
        <v>568</v>
      </c>
      <c r="G149" s="5" t="n">
        <f aca="false">IFERROR(D149/E149,0)</f>
        <v>3.94663476874003</v>
      </c>
      <c r="H149" s="12" t="n">
        <f aca="false">IFERROR(F149/E149,0)</f>
        <v>0.905901116427432</v>
      </c>
    </row>
    <row r="150" customFormat="false" ht="15" hidden="false" customHeight="false" outlineLevel="0" collapsed="false">
      <c r="A150" s="6" t="n">
        <v>45987</v>
      </c>
      <c r="B150" s="4" t="s">
        <v>4639</v>
      </c>
      <c r="C150" s="4" t="s">
        <v>4632</v>
      </c>
      <c r="D150" s="5" t="n">
        <v>4359.72</v>
      </c>
      <c r="E150" s="4" t="n">
        <v>442</v>
      </c>
      <c r="F150" s="4" t="n">
        <v>176</v>
      </c>
      <c r="G150" s="5" t="n">
        <f aca="false">IFERROR(D150/E150,0)</f>
        <v>9.86361990950226</v>
      </c>
      <c r="H150" s="12" t="n">
        <f aca="false">IFERROR(F150/E150,0)</f>
        <v>0.398190045248869</v>
      </c>
    </row>
    <row r="151" customFormat="false" ht="15" hidden="false" customHeight="false" outlineLevel="0" collapsed="false">
      <c r="A151" s="6" t="n">
        <v>45988</v>
      </c>
      <c r="B151" s="4" t="s">
        <v>4637</v>
      </c>
      <c r="C151" s="4" t="s">
        <v>4640</v>
      </c>
      <c r="D151" s="5" t="n">
        <v>1471.18</v>
      </c>
      <c r="E151" s="4" t="n">
        <v>503</v>
      </c>
      <c r="F151" s="4" t="n">
        <v>392</v>
      </c>
      <c r="G151" s="5" t="n">
        <f aca="false">IFERROR(D151/E151,0)</f>
        <v>2.9248111332008</v>
      </c>
      <c r="H151" s="12" t="n">
        <f aca="false">IFERROR(F151/E151,0)</f>
        <v>0.779324055666004</v>
      </c>
    </row>
    <row r="152" customFormat="false" ht="15" hidden="false" customHeight="false" outlineLevel="0" collapsed="false">
      <c r="A152" s="6" t="n">
        <v>45989</v>
      </c>
      <c r="B152" s="4" t="s">
        <v>4635</v>
      </c>
      <c r="C152" s="4" t="s">
        <v>4636</v>
      </c>
      <c r="D152" s="5" t="n">
        <v>4222.58</v>
      </c>
      <c r="E152" s="4" t="n">
        <v>110</v>
      </c>
      <c r="F152" s="4" t="n">
        <v>79</v>
      </c>
      <c r="G152" s="5" t="n">
        <f aca="false">IFERROR(D152/E152,0)</f>
        <v>38.3870909090909</v>
      </c>
      <c r="H152" s="12" t="n">
        <f aca="false">IFERROR(F152/E152,0)</f>
        <v>0.718181818181818</v>
      </c>
    </row>
    <row r="153" customFormat="false" ht="15" hidden="false" customHeight="false" outlineLevel="0" collapsed="false">
      <c r="A153" s="6" t="n">
        <v>45990</v>
      </c>
      <c r="B153" s="4" t="s">
        <v>4631</v>
      </c>
      <c r="C153" s="4" t="s">
        <v>4632</v>
      </c>
      <c r="D153" s="5" t="n">
        <v>4892.67</v>
      </c>
      <c r="E153" s="4" t="n">
        <v>227</v>
      </c>
      <c r="F153" s="4" t="n">
        <v>206</v>
      </c>
      <c r="G153" s="5" t="n">
        <f aca="false">IFERROR(D153/E153,0)</f>
        <v>21.5536123348018</v>
      </c>
      <c r="H153" s="12" t="n">
        <f aca="false">IFERROR(F153/E153,0)</f>
        <v>0.907488986784141</v>
      </c>
    </row>
    <row r="154" customFormat="false" ht="15" hidden="false" customHeight="false" outlineLevel="0" collapsed="false">
      <c r="A154" s="6" t="n">
        <v>45991</v>
      </c>
      <c r="B154" s="4" t="s">
        <v>4637</v>
      </c>
      <c r="C154" s="4" t="s">
        <v>4634</v>
      </c>
      <c r="D154" s="5" t="n">
        <v>642.55</v>
      </c>
      <c r="E154" s="4" t="n">
        <v>762</v>
      </c>
      <c r="F154" s="4" t="n">
        <v>72</v>
      </c>
      <c r="G154" s="5" t="n">
        <f aca="false">IFERROR(D154/E154,0)</f>
        <v>0.843241469816273</v>
      </c>
      <c r="H154" s="12" t="n">
        <f aca="false">IFERROR(F154/E154,0)</f>
        <v>0.094488188976378</v>
      </c>
    </row>
    <row r="155" customFormat="false" ht="15" hidden="false" customHeight="false" outlineLevel="0" collapsed="false">
      <c r="A155" s="6" t="n">
        <v>45992</v>
      </c>
      <c r="B155" s="4" t="s">
        <v>4635</v>
      </c>
      <c r="C155" s="4" t="s">
        <v>4632</v>
      </c>
      <c r="D155" s="5" t="n">
        <v>1828.38</v>
      </c>
      <c r="E155" s="4" t="n">
        <v>177</v>
      </c>
      <c r="F155" s="4" t="n">
        <v>90</v>
      </c>
      <c r="G155" s="5" t="n">
        <f aca="false">IFERROR(D155/E155,0)</f>
        <v>10.3298305084746</v>
      </c>
      <c r="H155" s="12" t="n">
        <f aca="false">IFERROR(F155/E155,0)</f>
        <v>0.508474576271186</v>
      </c>
    </row>
    <row r="156" customFormat="false" ht="15" hidden="false" customHeight="false" outlineLevel="0" collapsed="false">
      <c r="A156" s="6" t="n">
        <v>45993</v>
      </c>
      <c r="B156" s="4" t="s">
        <v>4637</v>
      </c>
      <c r="C156" s="4" t="s">
        <v>4640</v>
      </c>
      <c r="D156" s="5" t="n">
        <v>2165.59</v>
      </c>
      <c r="E156" s="4" t="n">
        <v>721</v>
      </c>
      <c r="F156" s="4" t="n">
        <v>187</v>
      </c>
      <c r="G156" s="5" t="n">
        <f aca="false">IFERROR(D156/E156,0)</f>
        <v>3.00359223300971</v>
      </c>
      <c r="H156" s="12" t="n">
        <f aca="false">IFERROR(F156/E156,0)</f>
        <v>0.259361997226075</v>
      </c>
    </row>
    <row r="157" customFormat="false" ht="15" hidden="false" customHeight="false" outlineLevel="0" collapsed="false">
      <c r="A157" s="6" t="n">
        <v>45994</v>
      </c>
      <c r="B157" s="4" t="s">
        <v>4631</v>
      </c>
      <c r="C157" s="4" t="s">
        <v>4640</v>
      </c>
      <c r="D157" s="5" t="n">
        <v>4488.91</v>
      </c>
      <c r="E157" s="4" t="n">
        <v>238</v>
      </c>
      <c r="F157" s="4" t="n">
        <v>225</v>
      </c>
      <c r="G157" s="5" t="n">
        <f aca="false">IFERROR(D157/E157,0)</f>
        <v>18.8609663865546</v>
      </c>
      <c r="H157" s="12" t="n">
        <f aca="false">IFERROR(F157/E157,0)</f>
        <v>0.945378151260504</v>
      </c>
    </row>
    <row r="158" customFormat="false" ht="15" hidden="false" customHeight="false" outlineLevel="0" collapsed="false">
      <c r="A158" s="6" t="n">
        <v>45995</v>
      </c>
      <c r="B158" s="4" t="s">
        <v>4639</v>
      </c>
      <c r="C158" s="4" t="s">
        <v>4640</v>
      </c>
      <c r="D158" s="5" t="n">
        <v>1466.16</v>
      </c>
      <c r="E158" s="4" t="n">
        <v>267</v>
      </c>
      <c r="F158" s="4" t="n">
        <v>172</v>
      </c>
      <c r="G158" s="5" t="n">
        <f aca="false">IFERROR(D158/E158,0)</f>
        <v>5.49123595505618</v>
      </c>
      <c r="H158" s="12" t="n">
        <f aca="false">IFERROR(F158/E158,0)</f>
        <v>0.644194756554307</v>
      </c>
    </row>
    <row r="159" customFormat="false" ht="15" hidden="false" customHeight="false" outlineLevel="0" collapsed="false">
      <c r="A159" s="6" t="n">
        <v>45996</v>
      </c>
      <c r="B159" s="4" t="s">
        <v>4635</v>
      </c>
      <c r="C159" s="4" t="s">
        <v>4640</v>
      </c>
      <c r="D159" s="5" t="n">
        <v>2767.21</v>
      </c>
      <c r="E159" s="4" t="n">
        <v>435</v>
      </c>
      <c r="F159" s="4" t="n">
        <v>139</v>
      </c>
      <c r="G159" s="5" t="n">
        <f aca="false">IFERROR(D159/E159,0)</f>
        <v>6.36140229885057</v>
      </c>
      <c r="H159" s="12" t="n">
        <f aca="false">IFERROR(F159/E159,0)</f>
        <v>0.319540229885058</v>
      </c>
    </row>
    <row r="160" customFormat="false" ht="15" hidden="false" customHeight="false" outlineLevel="0" collapsed="false">
      <c r="A160" s="6" t="n">
        <v>45997</v>
      </c>
      <c r="B160" s="4" t="s">
        <v>4639</v>
      </c>
      <c r="C160" s="4" t="s">
        <v>4632</v>
      </c>
      <c r="D160" s="5" t="n">
        <v>434.86</v>
      </c>
      <c r="E160" s="4" t="n">
        <v>459</v>
      </c>
      <c r="F160" s="4" t="n">
        <v>229</v>
      </c>
      <c r="G160" s="5" t="n">
        <f aca="false">IFERROR(D160/E160,0)</f>
        <v>0.947407407407408</v>
      </c>
      <c r="H160" s="12" t="n">
        <f aca="false">IFERROR(F160/E160,0)</f>
        <v>0.498910675381264</v>
      </c>
    </row>
    <row r="161" customFormat="false" ht="15" hidden="false" customHeight="false" outlineLevel="0" collapsed="false">
      <c r="A161" s="6" t="n">
        <v>45998</v>
      </c>
      <c r="B161" s="4" t="s">
        <v>4631</v>
      </c>
      <c r="C161" s="4" t="s">
        <v>4632</v>
      </c>
      <c r="D161" s="5" t="n">
        <v>2852.78</v>
      </c>
      <c r="E161" s="4" t="n">
        <v>754</v>
      </c>
      <c r="F161" s="4" t="n">
        <v>257</v>
      </c>
      <c r="G161" s="5" t="n">
        <f aca="false">IFERROR(D161/E161,0)</f>
        <v>3.78352785145889</v>
      </c>
      <c r="H161" s="12" t="n">
        <f aca="false">IFERROR(F161/E161,0)</f>
        <v>0.340848806366048</v>
      </c>
    </row>
    <row r="162" customFormat="false" ht="15" hidden="false" customHeight="false" outlineLevel="0" collapsed="false">
      <c r="A162" s="6" t="n">
        <v>45999</v>
      </c>
      <c r="B162" s="4" t="s">
        <v>4639</v>
      </c>
      <c r="C162" s="4" t="s">
        <v>4634</v>
      </c>
      <c r="D162" s="5" t="n">
        <v>2641.05</v>
      </c>
      <c r="E162" s="4" t="n">
        <v>580</v>
      </c>
      <c r="F162" s="4" t="n">
        <v>310</v>
      </c>
      <c r="G162" s="5" t="n">
        <f aca="false">IFERROR(D162/E162,0)</f>
        <v>4.55353448275862</v>
      </c>
      <c r="H162" s="12" t="n">
        <f aca="false">IFERROR(F162/E162,0)</f>
        <v>0.53448275862069</v>
      </c>
    </row>
    <row r="163" customFormat="false" ht="15" hidden="false" customHeight="false" outlineLevel="0" collapsed="false">
      <c r="A163" s="6" t="n">
        <v>46000</v>
      </c>
      <c r="B163" s="4" t="s">
        <v>4631</v>
      </c>
      <c r="C163" s="4" t="s">
        <v>4640</v>
      </c>
      <c r="D163" s="5" t="n">
        <v>4050.96</v>
      </c>
      <c r="E163" s="4" t="n">
        <v>411</v>
      </c>
      <c r="F163" s="4" t="n">
        <v>408</v>
      </c>
      <c r="G163" s="5" t="n">
        <f aca="false">IFERROR(D163/E163,0)</f>
        <v>9.8563503649635</v>
      </c>
      <c r="H163" s="12" t="n">
        <f aca="false">IFERROR(F163/E163,0)</f>
        <v>0.992700729927007</v>
      </c>
    </row>
    <row r="164" customFormat="false" ht="15" hidden="false" customHeight="false" outlineLevel="0" collapsed="false">
      <c r="A164" s="6" t="n">
        <v>46001</v>
      </c>
      <c r="B164" s="4" t="s">
        <v>4631</v>
      </c>
      <c r="C164" s="4" t="s">
        <v>4634</v>
      </c>
      <c r="D164" s="5" t="n">
        <v>4596.27</v>
      </c>
      <c r="E164" s="4" t="n">
        <v>573</v>
      </c>
      <c r="F164" s="4" t="n">
        <v>48</v>
      </c>
      <c r="G164" s="5" t="n">
        <f aca="false">IFERROR(D164/E164,0)</f>
        <v>8.02141361256545</v>
      </c>
      <c r="H164" s="12" t="n">
        <f aca="false">IFERROR(F164/E164,0)</f>
        <v>0.0837696335078534</v>
      </c>
    </row>
    <row r="165" customFormat="false" ht="15" hidden="false" customHeight="false" outlineLevel="0" collapsed="false">
      <c r="A165" s="6" t="n">
        <v>46002</v>
      </c>
      <c r="B165" s="4" t="s">
        <v>4631</v>
      </c>
      <c r="C165" s="4" t="s">
        <v>4638</v>
      </c>
      <c r="D165" s="5" t="n">
        <v>502.1</v>
      </c>
      <c r="E165" s="4" t="n">
        <v>474</v>
      </c>
      <c r="F165" s="4" t="n">
        <v>474</v>
      </c>
      <c r="G165" s="5" t="n">
        <f aca="false">IFERROR(D165/E165,0)</f>
        <v>1.05928270042194</v>
      </c>
      <c r="H165" s="12" t="n">
        <f aca="false">IFERROR(F165/E165,0)</f>
        <v>1</v>
      </c>
    </row>
    <row r="166" customFormat="false" ht="15" hidden="false" customHeight="false" outlineLevel="0" collapsed="false">
      <c r="A166" s="6" t="n">
        <v>46003</v>
      </c>
      <c r="B166" s="4" t="s">
        <v>4631</v>
      </c>
      <c r="C166" s="4" t="s">
        <v>4634</v>
      </c>
      <c r="D166" s="5" t="n">
        <v>2119</v>
      </c>
      <c r="E166" s="4" t="n">
        <v>479</v>
      </c>
      <c r="F166" s="4" t="n">
        <v>317</v>
      </c>
      <c r="G166" s="5" t="n">
        <f aca="false">IFERROR(D166/E166,0)</f>
        <v>4.42379958246347</v>
      </c>
      <c r="H166" s="12" t="n">
        <f aca="false">IFERROR(F166/E166,0)</f>
        <v>0.661795407098121</v>
      </c>
    </row>
    <row r="167" customFormat="false" ht="15" hidden="false" customHeight="false" outlineLevel="0" collapsed="false">
      <c r="A167" s="6" t="n">
        <v>46004</v>
      </c>
      <c r="B167" s="4" t="s">
        <v>4639</v>
      </c>
      <c r="C167" s="4" t="s">
        <v>4632</v>
      </c>
      <c r="D167" s="5" t="n">
        <v>630.29</v>
      </c>
      <c r="E167" s="4" t="n">
        <v>426</v>
      </c>
      <c r="F167" s="4" t="n">
        <v>81</v>
      </c>
      <c r="G167" s="5" t="n">
        <f aca="false">IFERROR(D167/E167,0)</f>
        <v>1.47955399061033</v>
      </c>
      <c r="H167" s="12" t="n">
        <f aca="false">IFERROR(F167/E167,0)</f>
        <v>0.190140845070423</v>
      </c>
    </row>
    <row r="168" customFormat="false" ht="15" hidden="false" customHeight="false" outlineLevel="0" collapsed="false">
      <c r="A168" s="6" t="n">
        <v>46005</v>
      </c>
      <c r="B168" s="4" t="s">
        <v>4637</v>
      </c>
      <c r="C168" s="4" t="s">
        <v>4632</v>
      </c>
      <c r="D168" s="5" t="n">
        <v>1118.17</v>
      </c>
      <c r="E168" s="4" t="n">
        <v>29</v>
      </c>
      <c r="F168" s="4" t="n">
        <v>19</v>
      </c>
      <c r="G168" s="5" t="n">
        <f aca="false">IFERROR(D168/E168,0)</f>
        <v>38.5575862068966</v>
      </c>
      <c r="H168" s="12" t="n">
        <f aca="false">IFERROR(F168/E168,0)</f>
        <v>0.655172413793103</v>
      </c>
    </row>
    <row r="169" customFormat="false" ht="15" hidden="false" customHeight="false" outlineLevel="0" collapsed="false">
      <c r="A169" s="6" t="n">
        <v>46006</v>
      </c>
      <c r="B169" s="4" t="s">
        <v>4637</v>
      </c>
      <c r="C169" s="4" t="s">
        <v>4640</v>
      </c>
      <c r="D169" s="5" t="n">
        <v>4700.36</v>
      </c>
      <c r="E169" s="4" t="n">
        <v>352</v>
      </c>
      <c r="F169" s="4" t="n">
        <v>54</v>
      </c>
      <c r="G169" s="5" t="n">
        <f aca="false">IFERROR(D169/E169,0)</f>
        <v>13.3532954545455</v>
      </c>
      <c r="H169" s="12" t="n">
        <f aca="false">IFERROR(F169/E169,0)</f>
        <v>0.153409090909091</v>
      </c>
    </row>
    <row r="170" customFormat="false" ht="15" hidden="false" customHeight="false" outlineLevel="0" collapsed="false">
      <c r="A170" s="6" t="n">
        <v>46007</v>
      </c>
      <c r="B170" s="4" t="s">
        <v>4635</v>
      </c>
      <c r="C170" s="4" t="s">
        <v>4638</v>
      </c>
      <c r="D170" s="5" t="n">
        <v>3237.48</v>
      </c>
      <c r="E170" s="4" t="n">
        <v>336</v>
      </c>
      <c r="F170" s="4" t="n">
        <v>14</v>
      </c>
      <c r="G170" s="5" t="n">
        <f aca="false">IFERROR(D170/E170,0)</f>
        <v>9.63535714285714</v>
      </c>
      <c r="H170" s="12" t="n">
        <f aca="false">IFERROR(F170/E170,0)</f>
        <v>0.0416666666666667</v>
      </c>
    </row>
    <row r="171" customFormat="false" ht="15" hidden="false" customHeight="false" outlineLevel="0" collapsed="false">
      <c r="A171" s="6" t="n">
        <v>46008</v>
      </c>
      <c r="B171" s="4" t="s">
        <v>4637</v>
      </c>
      <c r="C171" s="4" t="s">
        <v>4638</v>
      </c>
      <c r="D171" s="5" t="n">
        <v>4475.05</v>
      </c>
      <c r="E171" s="4" t="n">
        <v>122</v>
      </c>
      <c r="F171" s="4" t="n">
        <v>121</v>
      </c>
      <c r="G171" s="5" t="n">
        <f aca="false">IFERROR(D171/E171,0)</f>
        <v>36.680737704918</v>
      </c>
      <c r="H171" s="12" t="n">
        <f aca="false">IFERROR(F171/E171,0)</f>
        <v>0.991803278688525</v>
      </c>
    </row>
    <row r="172" customFormat="false" ht="15" hidden="false" customHeight="false" outlineLevel="0" collapsed="false">
      <c r="A172" s="6" t="n">
        <v>46009</v>
      </c>
      <c r="B172" s="4" t="s">
        <v>4637</v>
      </c>
      <c r="C172" s="4" t="s">
        <v>4632</v>
      </c>
      <c r="D172" s="5" t="n">
        <v>2447.82</v>
      </c>
      <c r="E172" s="4" t="n">
        <v>539</v>
      </c>
      <c r="F172" s="4" t="n">
        <v>397</v>
      </c>
      <c r="G172" s="5" t="n">
        <f aca="false">IFERROR(D172/E172,0)</f>
        <v>4.54141001855288</v>
      </c>
      <c r="H172" s="12" t="n">
        <f aca="false">IFERROR(F172/E172,0)</f>
        <v>0.736549165120594</v>
      </c>
    </row>
    <row r="173" customFormat="false" ht="15" hidden="false" customHeight="false" outlineLevel="0" collapsed="false">
      <c r="A173" s="6" t="n">
        <v>46010</v>
      </c>
      <c r="B173" s="4" t="s">
        <v>4631</v>
      </c>
      <c r="C173" s="4" t="s">
        <v>4634</v>
      </c>
      <c r="D173" s="5" t="n">
        <v>4934.83</v>
      </c>
      <c r="E173" s="4" t="n">
        <v>39</v>
      </c>
      <c r="F173" s="4" t="n">
        <v>9</v>
      </c>
      <c r="G173" s="5" t="n">
        <f aca="false">IFERROR(D173/E173,0)</f>
        <v>126.534102564103</v>
      </c>
      <c r="H173" s="12" t="n">
        <f aca="false">IFERROR(F173/E173,0)</f>
        <v>0.230769230769231</v>
      </c>
    </row>
    <row r="174" customFormat="false" ht="15" hidden="false" customHeight="false" outlineLevel="0" collapsed="false">
      <c r="A174" s="6" t="n">
        <v>46011</v>
      </c>
      <c r="B174" s="4" t="s">
        <v>4633</v>
      </c>
      <c r="C174" s="4" t="s">
        <v>4638</v>
      </c>
      <c r="D174" s="5" t="n">
        <v>3594.76</v>
      </c>
      <c r="E174" s="4" t="n">
        <v>475</v>
      </c>
      <c r="F174" s="4" t="n">
        <v>349</v>
      </c>
      <c r="G174" s="5" t="n">
        <f aca="false">IFERROR(D174/E174,0)</f>
        <v>7.56791578947369</v>
      </c>
      <c r="H174" s="12" t="n">
        <f aca="false">IFERROR(F174/E174,0)</f>
        <v>0.734736842105263</v>
      </c>
    </row>
    <row r="175" customFormat="false" ht="15" hidden="false" customHeight="false" outlineLevel="0" collapsed="false">
      <c r="A175" s="6" t="n">
        <v>46012</v>
      </c>
      <c r="B175" s="4" t="s">
        <v>4637</v>
      </c>
      <c r="C175" s="4" t="s">
        <v>4640</v>
      </c>
      <c r="D175" s="5" t="n">
        <v>3512</v>
      </c>
      <c r="E175" s="4" t="n">
        <v>201</v>
      </c>
      <c r="F175" s="4" t="n">
        <v>43</v>
      </c>
      <c r="G175" s="5" t="n">
        <f aca="false">IFERROR(D175/E175,0)</f>
        <v>17.4726368159204</v>
      </c>
      <c r="H175" s="12" t="n">
        <f aca="false">IFERROR(F175/E175,0)</f>
        <v>0.213930348258706</v>
      </c>
    </row>
    <row r="176" customFormat="false" ht="15" hidden="false" customHeight="false" outlineLevel="0" collapsed="false">
      <c r="A176" s="6" t="n">
        <v>46013</v>
      </c>
      <c r="B176" s="4" t="s">
        <v>4631</v>
      </c>
      <c r="C176" s="4" t="s">
        <v>4634</v>
      </c>
      <c r="D176" s="5" t="n">
        <v>3656.16</v>
      </c>
      <c r="E176" s="4" t="n">
        <v>399</v>
      </c>
      <c r="F176" s="4" t="n">
        <v>119</v>
      </c>
      <c r="G176" s="5" t="n">
        <f aca="false">IFERROR(D176/E176,0)</f>
        <v>9.16330827067669</v>
      </c>
      <c r="H176" s="12" t="n">
        <f aca="false">IFERROR(F176/E176,0)</f>
        <v>0.298245614035088</v>
      </c>
    </row>
    <row r="177" customFormat="false" ht="15" hidden="false" customHeight="false" outlineLevel="0" collapsed="false">
      <c r="A177" s="6" t="n">
        <v>46014</v>
      </c>
      <c r="B177" s="4" t="s">
        <v>4639</v>
      </c>
      <c r="C177" s="4" t="s">
        <v>4638</v>
      </c>
      <c r="D177" s="5" t="n">
        <v>3568.5</v>
      </c>
      <c r="E177" s="4" t="n">
        <v>105</v>
      </c>
      <c r="F177" s="4" t="n">
        <v>87</v>
      </c>
      <c r="G177" s="5" t="n">
        <f aca="false">IFERROR(D177/E177,0)</f>
        <v>33.9857142857143</v>
      </c>
      <c r="H177" s="12" t="n">
        <f aca="false">IFERROR(F177/E177,0)</f>
        <v>0.828571428571429</v>
      </c>
    </row>
    <row r="178" customFormat="false" ht="15" hidden="false" customHeight="false" outlineLevel="0" collapsed="false">
      <c r="A178" s="6" t="n">
        <v>46015</v>
      </c>
      <c r="B178" s="4" t="s">
        <v>4639</v>
      </c>
      <c r="C178" s="4" t="s">
        <v>4640</v>
      </c>
      <c r="D178" s="5" t="n">
        <v>4491.6</v>
      </c>
      <c r="E178" s="4" t="n">
        <v>702</v>
      </c>
      <c r="F178" s="4" t="n">
        <v>138</v>
      </c>
      <c r="G178" s="5" t="n">
        <f aca="false">IFERROR(D178/E178,0)</f>
        <v>6.3982905982906</v>
      </c>
      <c r="H178" s="12" t="n">
        <f aca="false">IFERROR(F178/E178,0)</f>
        <v>0.196581196581197</v>
      </c>
    </row>
    <row r="179" customFormat="false" ht="15" hidden="false" customHeight="false" outlineLevel="0" collapsed="false">
      <c r="A179" s="6" t="n">
        <v>46016</v>
      </c>
      <c r="B179" s="4" t="s">
        <v>4637</v>
      </c>
      <c r="C179" s="4" t="s">
        <v>4638</v>
      </c>
      <c r="D179" s="5" t="n">
        <v>4530.31</v>
      </c>
      <c r="E179" s="4" t="n">
        <v>599</v>
      </c>
      <c r="F179" s="4" t="n">
        <v>365</v>
      </c>
      <c r="G179" s="5" t="n">
        <f aca="false">IFERROR(D179/E179,0)</f>
        <v>7.56312186978297</v>
      </c>
      <c r="H179" s="12" t="n">
        <f aca="false">IFERROR(F179/E179,0)</f>
        <v>0.609348914858097</v>
      </c>
    </row>
    <row r="180" customFormat="false" ht="15" hidden="false" customHeight="false" outlineLevel="0" collapsed="false">
      <c r="A180" s="6" t="n">
        <v>46017</v>
      </c>
      <c r="B180" s="4" t="s">
        <v>4637</v>
      </c>
      <c r="C180" s="4" t="s">
        <v>4638</v>
      </c>
      <c r="D180" s="5" t="n">
        <v>1000.07</v>
      </c>
      <c r="E180" s="4" t="n">
        <v>447</v>
      </c>
      <c r="F180" s="4" t="n">
        <v>388</v>
      </c>
      <c r="G180" s="5" t="n">
        <f aca="false">IFERROR(D180/E180,0)</f>
        <v>2.23729306487696</v>
      </c>
      <c r="H180" s="12" t="n">
        <f aca="false">IFERROR(F180/E180,0)</f>
        <v>0.868008948545861</v>
      </c>
    </row>
    <row r="181" customFormat="false" ht="15" hidden="false" customHeight="false" outlineLevel="0" collapsed="false">
      <c r="A181" s="6" t="n">
        <v>46018</v>
      </c>
      <c r="B181" s="4" t="s">
        <v>4639</v>
      </c>
      <c r="C181" s="4" t="s">
        <v>4634</v>
      </c>
      <c r="D181" s="5" t="n">
        <v>1767.66</v>
      </c>
      <c r="E181" s="4" t="n">
        <v>365</v>
      </c>
      <c r="F181" s="4" t="n">
        <v>109</v>
      </c>
      <c r="G181" s="5" t="n">
        <f aca="false">IFERROR(D181/E181,0)</f>
        <v>4.84290410958904</v>
      </c>
      <c r="H181" s="12" t="n">
        <f aca="false">IFERROR(F181/E181,0)</f>
        <v>0.298630136986301</v>
      </c>
    </row>
    <row r="182" customFormat="false" ht="15" hidden="false" customHeight="false" outlineLevel="0" collapsed="false">
      <c r="A182" s="6" t="n">
        <v>46019</v>
      </c>
      <c r="B182" s="4" t="s">
        <v>4631</v>
      </c>
      <c r="C182" s="4" t="s">
        <v>4640</v>
      </c>
      <c r="D182" s="5" t="n">
        <v>4841.41</v>
      </c>
      <c r="E182" s="4" t="n">
        <v>690</v>
      </c>
      <c r="F182" s="4" t="n">
        <v>602</v>
      </c>
      <c r="G182" s="5" t="n">
        <f aca="false">IFERROR(D182/E182,0)</f>
        <v>7.01653623188406</v>
      </c>
      <c r="H182" s="12" t="n">
        <f aca="false">IFERROR(F182/E182,0)</f>
        <v>0.872463768115942</v>
      </c>
    </row>
    <row r="183" customFormat="false" ht="15" hidden="false" customHeight="false" outlineLevel="0" collapsed="false">
      <c r="A183" s="6" t="n">
        <v>46020</v>
      </c>
      <c r="B183" s="4" t="s">
        <v>4637</v>
      </c>
      <c r="C183" s="4" t="s">
        <v>4640</v>
      </c>
      <c r="D183" s="5" t="n">
        <v>3260.15</v>
      </c>
      <c r="E183" s="4" t="n">
        <v>652</v>
      </c>
      <c r="F183" s="4" t="n">
        <v>347</v>
      </c>
      <c r="G183" s="5" t="n">
        <f aca="false">IFERROR(D183/E183,0)</f>
        <v>5.00023006134969</v>
      </c>
      <c r="H183" s="12" t="n">
        <f aca="false">IFERROR(F183/E183,0)</f>
        <v>0.532208588957055</v>
      </c>
    </row>
    <row r="184" customFormat="false" ht="15" hidden="false" customHeight="false" outlineLevel="0" collapsed="false">
      <c r="A184" s="6" t="n">
        <v>46021</v>
      </c>
      <c r="B184" s="4" t="s">
        <v>4633</v>
      </c>
      <c r="C184" s="4" t="s">
        <v>4636</v>
      </c>
      <c r="D184" s="5" t="n">
        <v>1591.97</v>
      </c>
      <c r="E184" s="4" t="n">
        <v>524</v>
      </c>
      <c r="F184" s="4" t="n">
        <v>102</v>
      </c>
      <c r="G184" s="5" t="n">
        <f aca="false">IFERROR(D184/E184,0)</f>
        <v>3.0381106870229</v>
      </c>
      <c r="H184" s="12" t="n">
        <f aca="false">IFERROR(F184/E184,0)</f>
        <v>0.194656488549618</v>
      </c>
    </row>
    <row r="185" customFormat="false" ht="15" hidden="false" customHeight="false" outlineLevel="0" collapsed="false">
      <c r="A185" s="6" t="n">
        <v>46022</v>
      </c>
      <c r="B185" s="4" t="s">
        <v>4635</v>
      </c>
      <c r="C185" s="4" t="s">
        <v>4638</v>
      </c>
      <c r="D185" s="5" t="n">
        <v>4261.49</v>
      </c>
      <c r="E185" s="4" t="n">
        <v>494</v>
      </c>
      <c r="F185" s="4" t="n">
        <v>304</v>
      </c>
      <c r="G185" s="5" t="n">
        <f aca="false">IFERROR(D185/E185,0)</f>
        <v>8.6264979757085</v>
      </c>
      <c r="H185" s="12" t="n">
        <f aca="false">IFERROR(F185/E185,0)</f>
        <v>0.615384615384615</v>
      </c>
    </row>
    <row r="186" customFormat="false" ht="15" hidden="false" customHeight="false" outlineLevel="0" collapsed="false">
      <c r="A186" s="6" t="n">
        <v>46023</v>
      </c>
      <c r="B186" s="4" t="s">
        <v>4631</v>
      </c>
      <c r="C186" s="4" t="s">
        <v>4638</v>
      </c>
      <c r="D186" s="5" t="n">
        <v>4671.06</v>
      </c>
      <c r="E186" s="4" t="n">
        <v>745</v>
      </c>
      <c r="F186" s="4" t="n">
        <v>604</v>
      </c>
      <c r="G186" s="5" t="n">
        <f aca="false">IFERROR(D186/E186,0)</f>
        <v>6.26987919463087</v>
      </c>
      <c r="H186" s="12" t="n">
        <f aca="false">IFERROR(F186/E186,0)</f>
        <v>0.810738255033557</v>
      </c>
    </row>
    <row r="187" customFormat="false" ht="15" hidden="false" customHeight="false" outlineLevel="0" collapsed="false">
      <c r="A187" s="6" t="n">
        <v>46024</v>
      </c>
      <c r="B187" s="4" t="s">
        <v>4637</v>
      </c>
      <c r="C187" s="4" t="s">
        <v>4638</v>
      </c>
      <c r="D187" s="5" t="n">
        <v>4588.91</v>
      </c>
      <c r="E187" s="4" t="n">
        <v>702</v>
      </c>
      <c r="F187" s="4" t="n">
        <v>67</v>
      </c>
      <c r="G187" s="5" t="n">
        <f aca="false">IFERROR(D187/E187,0)</f>
        <v>6.53690883190883</v>
      </c>
      <c r="H187" s="12" t="n">
        <f aca="false">IFERROR(F187/E187,0)</f>
        <v>0.0954415954415954</v>
      </c>
    </row>
    <row r="188" customFormat="false" ht="15" hidden="false" customHeight="false" outlineLevel="0" collapsed="false">
      <c r="A188" s="6" t="n">
        <v>46025</v>
      </c>
      <c r="B188" s="4" t="s">
        <v>4631</v>
      </c>
      <c r="C188" s="4" t="s">
        <v>4638</v>
      </c>
      <c r="D188" s="5" t="n">
        <v>4917.19</v>
      </c>
      <c r="E188" s="4" t="n">
        <v>314</v>
      </c>
      <c r="F188" s="4" t="n">
        <v>110</v>
      </c>
      <c r="G188" s="5" t="n">
        <f aca="false">IFERROR(D188/E188,0)</f>
        <v>15.6598407643312</v>
      </c>
      <c r="H188" s="12" t="n">
        <f aca="false">IFERROR(F188/E188,0)</f>
        <v>0.35031847133758</v>
      </c>
    </row>
    <row r="189" customFormat="false" ht="15" hidden="false" customHeight="false" outlineLevel="0" collapsed="false">
      <c r="A189" s="6" t="n">
        <v>46026</v>
      </c>
      <c r="B189" s="4" t="s">
        <v>4637</v>
      </c>
      <c r="C189" s="4" t="s">
        <v>4634</v>
      </c>
      <c r="D189" s="5" t="n">
        <v>1215.5</v>
      </c>
      <c r="E189" s="4" t="n">
        <v>612</v>
      </c>
      <c r="F189" s="4" t="n">
        <v>121</v>
      </c>
      <c r="G189" s="5" t="n">
        <f aca="false">IFERROR(D189/E189,0)</f>
        <v>1.98611111111111</v>
      </c>
      <c r="H189" s="12" t="n">
        <f aca="false">IFERROR(F189/E189,0)</f>
        <v>0.197712418300654</v>
      </c>
    </row>
    <row r="190" customFormat="false" ht="15" hidden="false" customHeight="false" outlineLevel="0" collapsed="false">
      <c r="A190" s="6" t="n">
        <v>46027</v>
      </c>
      <c r="B190" s="4" t="s">
        <v>4633</v>
      </c>
      <c r="C190" s="4" t="s">
        <v>4638</v>
      </c>
      <c r="D190" s="5" t="n">
        <v>1904</v>
      </c>
      <c r="E190" s="4" t="n">
        <v>52</v>
      </c>
      <c r="F190" s="4" t="n">
        <v>13</v>
      </c>
      <c r="G190" s="5" t="n">
        <f aca="false">IFERROR(D190/E190,0)</f>
        <v>36.6153846153846</v>
      </c>
      <c r="H190" s="12" t="n">
        <f aca="false">IFERROR(F190/E190,0)</f>
        <v>0.25</v>
      </c>
    </row>
    <row r="191" customFormat="false" ht="15" hidden="false" customHeight="false" outlineLevel="0" collapsed="false">
      <c r="A191" s="6" t="n">
        <v>46028</v>
      </c>
      <c r="B191" s="4" t="s">
        <v>4637</v>
      </c>
      <c r="C191" s="4" t="s">
        <v>4638</v>
      </c>
      <c r="D191" s="5" t="n">
        <v>2655.79</v>
      </c>
      <c r="E191" s="4" t="n">
        <v>735</v>
      </c>
      <c r="F191" s="4" t="n">
        <v>291</v>
      </c>
      <c r="G191" s="5" t="n">
        <f aca="false">IFERROR(D191/E191,0)</f>
        <v>3.61331972789116</v>
      </c>
      <c r="H191" s="12" t="n">
        <f aca="false">IFERROR(F191/E191,0)</f>
        <v>0.395918367346939</v>
      </c>
    </row>
    <row r="192" customFormat="false" ht="15" hidden="false" customHeight="false" outlineLevel="0" collapsed="false">
      <c r="A192" s="6" t="n">
        <v>46029</v>
      </c>
      <c r="B192" s="4" t="s">
        <v>4637</v>
      </c>
      <c r="C192" s="4" t="s">
        <v>4636</v>
      </c>
      <c r="D192" s="5" t="n">
        <v>2828.12</v>
      </c>
      <c r="E192" s="4" t="n">
        <v>661</v>
      </c>
      <c r="F192" s="4" t="n">
        <v>628</v>
      </c>
      <c r="G192" s="5" t="n">
        <f aca="false">IFERROR(D192/E192,0)</f>
        <v>4.27854765506808</v>
      </c>
      <c r="H192" s="12" t="n">
        <f aca="false">IFERROR(F192/E192,0)</f>
        <v>0.950075642965204</v>
      </c>
    </row>
    <row r="193" customFormat="false" ht="15" hidden="false" customHeight="false" outlineLevel="0" collapsed="false">
      <c r="A193" s="6" t="n">
        <v>46030</v>
      </c>
      <c r="B193" s="4" t="s">
        <v>4635</v>
      </c>
      <c r="C193" s="4" t="s">
        <v>4636</v>
      </c>
      <c r="D193" s="5" t="n">
        <v>4954.81</v>
      </c>
      <c r="E193" s="4" t="n">
        <v>364</v>
      </c>
      <c r="F193" s="4" t="n">
        <v>315</v>
      </c>
      <c r="G193" s="5" t="n">
        <f aca="false">IFERROR(D193/E193,0)</f>
        <v>13.6121153846154</v>
      </c>
      <c r="H193" s="12" t="n">
        <f aca="false">IFERROR(F193/E193,0)</f>
        <v>0.865384615384615</v>
      </c>
    </row>
    <row r="194" customFormat="false" ht="15" hidden="false" customHeight="false" outlineLevel="0" collapsed="false">
      <c r="A194" s="6" t="n">
        <v>46031</v>
      </c>
      <c r="B194" s="4" t="s">
        <v>4639</v>
      </c>
      <c r="C194" s="4" t="s">
        <v>4634</v>
      </c>
      <c r="D194" s="5" t="n">
        <v>4809.26</v>
      </c>
      <c r="E194" s="4" t="n">
        <v>387</v>
      </c>
      <c r="F194" s="4" t="n">
        <v>177</v>
      </c>
      <c r="G194" s="5" t="n">
        <f aca="false">IFERROR(D194/E194,0)</f>
        <v>12.4270284237726</v>
      </c>
      <c r="H194" s="12" t="n">
        <f aca="false">IFERROR(F194/E194,0)</f>
        <v>0.457364341085271</v>
      </c>
    </row>
    <row r="195" customFormat="false" ht="15" hidden="false" customHeight="false" outlineLevel="0" collapsed="false">
      <c r="A195" s="6" t="n">
        <v>46032</v>
      </c>
      <c r="B195" s="4" t="s">
        <v>4637</v>
      </c>
      <c r="C195" s="4" t="s">
        <v>4634</v>
      </c>
      <c r="D195" s="5" t="n">
        <v>3508.62</v>
      </c>
      <c r="E195" s="4" t="n">
        <v>368</v>
      </c>
      <c r="F195" s="4" t="n">
        <v>75</v>
      </c>
      <c r="G195" s="5" t="n">
        <f aca="false">IFERROR(D195/E195,0)</f>
        <v>9.53429347826087</v>
      </c>
      <c r="H195" s="12" t="n">
        <f aca="false">IFERROR(F195/E195,0)</f>
        <v>0.203804347826087</v>
      </c>
    </row>
    <row r="196" customFormat="false" ht="15" hidden="false" customHeight="false" outlineLevel="0" collapsed="false">
      <c r="A196" s="6" t="n">
        <v>46033</v>
      </c>
      <c r="B196" s="4" t="s">
        <v>4633</v>
      </c>
      <c r="C196" s="4" t="s">
        <v>4640</v>
      </c>
      <c r="D196" s="5" t="n">
        <v>2092.63</v>
      </c>
      <c r="E196" s="4" t="n">
        <v>54</v>
      </c>
      <c r="F196" s="4" t="n">
        <v>3</v>
      </c>
      <c r="G196" s="5" t="n">
        <f aca="false">IFERROR(D196/E196,0)</f>
        <v>38.7524074074074</v>
      </c>
      <c r="H196" s="12" t="n">
        <f aca="false">IFERROR(F196/E196,0)</f>
        <v>0.0555555555555556</v>
      </c>
    </row>
    <row r="197" customFormat="false" ht="15" hidden="false" customHeight="false" outlineLevel="0" collapsed="false">
      <c r="A197" s="6" t="n">
        <v>46034</v>
      </c>
      <c r="B197" s="4" t="s">
        <v>4637</v>
      </c>
      <c r="C197" s="4" t="s">
        <v>4640</v>
      </c>
      <c r="D197" s="5" t="n">
        <v>2954.62</v>
      </c>
      <c r="E197" s="4" t="n">
        <v>611</v>
      </c>
      <c r="F197" s="4" t="n">
        <v>13</v>
      </c>
      <c r="G197" s="5" t="n">
        <f aca="false">IFERROR(D197/E197,0)</f>
        <v>4.83571194762684</v>
      </c>
      <c r="H197" s="12" t="n">
        <f aca="false">IFERROR(F197/E197,0)</f>
        <v>0.0212765957446809</v>
      </c>
    </row>
    <row r="198" customFormat="false" ht="15" hidden="false" customHeight="false" outlineLevel="0" collapsed="false">
      <c r="A198" s="6" t="n">
        <v>46035</v>
      </c>
      <c r="B198" s="4" t="s">
        <v>4637</v>
      </c>
      <c r="C198" s="4" t="s">
        <v>4632</v>
      </c>
      <c r="D198" s="5" t="n">
        <v>2963.17</v>
      </c>
      <c r="E198" s="4" t="n">
        <v>580</v>
      </c>
      <c r="F198" s="4" t="n">
        <v>60</v>
      </c>
      <c r="G198" s="5" t="n">
        <f aca="false">IFERROR(D198/E198,0)</f>
        <v>5.10891379310345</v>
      </c>
      <c r="H198" s="12" t="n">
        <f aca="false">IFERROR(F198/E198,0)</f>
        <v>0.103448275862069</v>
      </c>
    </row>
    <row r="199" customFormat="false" ht="15" hidden="false" customHeight="false" outlineLevel="0" collapsed="false">
      <c r="A199" s="6" t="n">
        <v>46036</v>
      </c>
      <c r="B199" s="4" t="s">
        <v>4631</v>
      </c>
      <c r="C199" s="4" t="s">
        <v>4638</v>
      </c>
      <c r="D199" s="5" t="n">
        <v>2087.57</v>
      </c>
      <c r="E199" s="4" t="n">
        <v>469</v>
      </c>
      <c r="F199" s="4" t="n">
        <v>244</v>
      </c>
      <c r="G199" s="5" t="n">
        <f aca="false">IFERROR(D199/E199,0)</f>
        <v>4.45110874200427</v>
      </c>
      <c r="H199" s="12" t="n">
        <f aca="false">IFERROR(F199/E199,0)</f>
        <v>0.520255863539446</v>
      </c>
    </row>
    <row r="200" customFormat="false" ht="15" hidden="false" customHeight="false" outlineLevel="0" collapsed="false">
      <c r="A200" s="6" t="n">
        <v>46037</v>
      </c>
      <c r="B200" s="4" t="s">
        <v>4635</v>
      </c>
      <c r="C200" s="4" t="s">
        <v>4634</v>
      </c>
      <c r="D200" s="5" t="n">
        <v>3946.9</v>
      </c>
      <c r="E200" s="4" t="n">
        <v>267</v>
      </c>
      <c r="F200" s="4" t="n">
        <v>245</v>
      </c>
      <c r="G200" s="5" t="n">
        <f aca="false">IFERROR(D200/E200,0)</f>
        <v>14.7823970037453</v>
      </c>
      <c r="H200" s="12" t="n">
        <f aca="false">IFERROR(F200/E200,0)</f>
        <v>0.917602996254682</v>
      </c>
    </row>
    <row r="201" customFormat="false" ht="15" hidden="false" customHeight="false" outlineLevel="0" collapsed="false">
      <c r="A201" s="6" t="n">
        <v>46038</v>
      </c>
      <c r="B201" s="4" t="s">
        <v>4639</v>
      </c>
      <c r="C201" s="4" t="s">
        <v>4632</v>
      </c>
      <c r="D201" s="5" t="n">
        <v>3548.34</v>
      </c>
      <c r="E201" s="4" t="n">
        <v>148</v>
      </c>
      <c r="F201" s="4" t="n">
        <v>55</v>
      </c>
      <c r="G201" s="5" t="n">
        <f aca="false">IFERROR(D201/E201,0)</f>
        <v>23.9752702702703</v>
      </c>
      <c r="H201" s="12" t="n">
        <f aca="false">IFERROR(F201/E201,0)</f>
        <v>0.371621621621622</v>
      </c>
    </row>
    <row r="202" customFormat="false" ht="15" hidden="false" customHeight="false" outlineLevel="0" collapsed="false">
      <c r="A202" s="6" t="n">
        <v>46039</v>
      </c>
      <c r="B202" s="4" t="s">
        <v>4631</v>
      </c>
      <c r="C202" s="4" t="s">
        <v>4636</v>
      </c>
      <c r="D202" s="5" t="n">
        <v>4279.32</v>
      </c>
      <c r="E202" s="4" t="n">
        <v>334</v>
      </c>
      <c r="F202" s="4" t="n">
        <v>297</v>
      </c>
      <c r="G202" s="5" t="n">
        <f aca="false">IFERROR(D202/E202,0)</f>
        <v>12.8123353293413</v>
      </c>
      <c r="H202" s="12" t="n">
        <f aca="false">IFERROR(F202/E202,0)</f>
        <v>0.889221556886228</v>
      </c>
    </row>
    <row r="203" customFormat="false" ht="15" hidden="false" customHeight="false" outlineLevel="0" collapsed="false">
      <c r="A203" s="6" t="n">
        <v>46040</v>
      </c>
      <c r="B203" s="4" t="s">
        <v>4633</v>
      </c>
      <c r="C203" s="4" t="s">
        <v>4640</v>
      </c>
      <c r="D203" s="5" t="n">
        <v>347.43</v>
      </c>
      <c r="E203" s="4" t="n">
        <v>422</v>
      </c>
      <c r="F203" s="4" t="n">
        <v>251</v>
      </c>
      <c r="G203" s="5" t="n">
        <f aca="false">IFERROR(D203/E203,0)</f>
        <v>0.823293838862559</v>
      </c>
      <c r="H203" s="12" t="n">
        <f aca="false">IFERROR(F203/E203,0)</f>
        <v>0.59478672985782</v>
      </c>
    </row>
    <row r="204" customFormat="false" ht="15" hidden="false" customHeight="false" outlineLevel="0" collapsed="false">
      <c r="A204" s="6" t="n">
        <v>46041</v>
      </c>
      <c r="B204" s="4" t="s">
        <v>4631</v>
      </c>
      <c r="C204" s="4" t="s">
        <v>4638</v>
      </c>
      <c r="D204" s="5" t="n">
        <v>3854.12</v>
      </c>
      <c r="E204" s="4" t="n">
        <v>180</v>
      </c>
      <c r="F204" s="4" t="n">
        <v>85</v>
      </c>
      <c r="G204" s="5" t="n">
        <f aca="false">IFERROR(D204/E204,0)</f>
        <v>21.4117777777778</v>
      </c>
      <c r="H204" s="12" t="n">
        <f aca="false">IFERROR(F204/E204,0)</f>
        <v>0.472222222222222</v>
      </c>
    </row>
    <row r="205" customFormat="false" ht="15" hidden="false" customHeight="false" outlineLevel="0" collapsed="false">
      <c r="A205" s="6" t="n">
        <v>46042</v>
      </c>
      <c r="B205" s="4" t="s">
        <v>4637</v>
      </c>
      <c r="C205" s="4" t="s">
        <v>4638</v>
      </c>
      <c r="D205" s="5" t="n">
        <v>1285.34</v>
      </c>
      <c r="E205" s="4" t="n">
        <v>668</v>
      </c>
      <c r="F205" s="4" t="n">
        <v>356</v>
      </c>
      <c r="G205" s="5" t="n">
        <f aca="false">IFERROR(D205/E205,0)</f>
        <v>1.92416167664671</v>
      </c>
      <c r="H205" s="12" t="n">
        <f aca="false">IFERROR(F205/E205,0)</f>
        <v>0.532934131736527</v>
      </c>
    </row>
    <row r="206" customFormat="false" ht="15" hidden="false" customHeight="false" outlineLevel="0" collapsed="false">
      <c r="A206" s="6" t="n">
        <v>46043</v>
      </c>
      <c r="B206" s="4" t="s">
        <v>4631</v>
      </c>
      <c r="C206" s="4" t="s">
        <v>4636</v>
      </c>
      <c r="D206" s="5" t="n">
        <v>2592.84</v>
      </c>
      <c r="E206" s="4" t="n">
        <v>408</v>
      </c>
      <c r="F206" s="4" t="n">
        <v>160</v>
      </c>
      <c r="G206" s="5" t="n">
        <f aca="false">IFERROR(D206/E206,0)</f>
        <v>6.355</v>
      </c>
      <c r="H206" s="12" t="n">
        <f aca="false">IFERROR(F206/E206,0)</f>
        <v>0.392156862745098</v>
      </c>
    </row>
    <row r="207" customFormat="false" ht="15" hidden="false" customHeight="false" outlineLevel="0" collapsed="false">
      <c r="A207" s="6" t="n">
        <v>46044</v>
      </c>
      <c r="B207" s="4" t="s">
        <v>4637</v>
      </c>
      <c r="C207" s="4" t="s">
        <v>4640</v>
      </c>
      <c r="D207" s="5" t="n">
        <v>4519.51</v>
      </c>
      <c r="E207" s="4" t="n">
        <v>208</v>
      </c>
      <c r="F207" s="4" t="n">
        <v>73</v>
      </c>
      <c r="G207" s="5" t="n">
        <f aca="false">IFERROR(D207/E207,0)</f>
        <v>21.7284134615385</v>
      </c>
      <c r="H207" s="12" t="n">
        <f aca="false">IFERROR(F207/E207,0)</f>
        <v>0.350961538461538</v>
      </c>
    </row>
    <row r="208" customFormat="false" ht="15" hidden="false" customHeight="false" outlineLevel="0" collapsed="false">
      <c r="A208" s="6" t="n">
        <v>46045</v>
      </c>
      <c r="B208" s="4" t="s">
        <v>4637</v>
      </c>
      <c r="C208" s="4" t="s">
        <v>4636</v>
      </c>
      <c r="D208" s="5" t="n">
        <v>2801.88</v>
      </c>
      <c r="E208" s="4" t="n">
        <v>208</v>
      </c>
      <c r="F208" s="4" t="n">
        <v>149</v>
      </c>
      <c r="G208" s="5" t="n">
        <f aca="false">IFERROR(D208/E208,0)</f>
        <v>13.4705769230769</v>
      </c>
      <c r="H208" s="12" t="n">
        <f aca="false">IFERROR(F208/E208,0)</f>
        <v>0.716346153846154</v>
      </c>
    </row>
    <row r="209" customFormat="false" ht="15" hidden="false" customHeight="false" outlineLevel="0" collapsed="false">
      <c r="A209" s="6" t="n">
        <v>46046</v>
      </c>
      <c r="B209" s="4" t="s">
        <v>4639</v>
      </c>
      <c r="C209" s="4" t="s">
        <v>4636</v>
      </c>
      <c r="D209" s="5" t="n">
        <v>3392.08</v>
      </c>
      <c r="E209" s="4" t="n">
        <v>606</v>
      </c>
      <c r="F209" s="4" t="n">
        <v>153</v>
      </c>
      <c r="G209" s="5" t="n">
        <f aca="false">IFERROR(D209/E209,0)</f>
        <v>5.59749174917492</v>
      </c>
      <c r="H209" s="12" t="n">
        <f aca="false">IFERROR(F209/E209,0)</f>
        <v>0.252475247524753</v>
      </c>
    </row>
    <row r="210" customFormat="false" ht="15" hidden="false" customHeight="false" outlineLevel="0" collapsed="false">
      <c r="A210" s="6" t="n">
        <v>46047</v>
      </c>
      <c r="B210" s="4" t="s">
        <v>4637</v>
      </c>
      <c r="C210" s="4" t="s">
        <v>4638</v>
      </c>
      <c r="D210" s="5" t="n">
        <v>1711.65</v>
      </c>
      <c r="E210" s="4" t="n">
        <v>117</v>
      </c>
      <c r="F210" s="4" t="n">
        <v>8</v>
      </c>
      <c r="G210" s="5" t="n">
        <f aca="false">IFERROR(D210/E210,0)</f>
        <v>14.6294871794872</v>
      </c>
      <c r="H210" s="12" t="n">
        <f aca="false">IFERROR(F210/E210,0)</f>
        <v>0.0683760683760684</v>
      </c>
    </row>
    <row r="211" customFormat="false" ht="15" hidden="false" customHeight="false" outlineLevel="0" collapsed="false">
      <c r="A211" s="6" t="n">
        <v>46048</v>
      </c>
      <c r="B211" s="4" t="s">
        <v>4637</v>
      </c>
      <c r="C211" s="4" t="s">
        <v>4634</v>
      </c>
      <c r="D211" s="5" t="n">
        <v>2963.76</v>
      </c>
      <c r="E211" s="4" t="n">
        <v>678</v>
      </c>
      <c r="F211" s="4" t="n">
        <v>431</v>
      </c>
      <c r="G211" s="5" t="n">
        <f aca="false">IFERROR(D211/E211,0)</f>
        <v>4.37132743362832</v>
      </c>
      <c r="H211" s="12" t="n">
        <f aca="false">IFERROR(F211/E211,0)</f>
        <v>0.635693215339233</v>
      </c>
    </row>
    <row r="212" customFormat="false" ht="15" hidden="false" customHeight="false" outlineLevel="0" collapsed="false">
      <c r="A212" s="6" t="n">
        <v>46049</v>
      </c>
      <c r="B212" s="4" t="s">
        <v>4635</v>
      </c>
      <c r="C212" s="4" t="s">
        <v>4640</v>
      </c>
      <c r="D212" s="5" t="n">
        <v>1410.36</v>
      </c>
      <c r="E212" s="4" t="n">
        <v>672</v>
      </c>
      <c r="F212" s="4" t="n">
        <v>553</v>
      </c>
      <c r="G212" s="5" t="n">
        <f aca="false">IFERROR(D212/E212,0)</f>
        <v>2.09875</v>
      </c>
      <c r="H212" s="12" t="n">
        <f aca="false">IFERROR(F212/E212,0)</f>
        <v>0.822916666666667</v>
      </c>
    </row>
    <row r="213" customFormat="false" ht="15" hidden="false" customHeight="false" outlineLevel="0" collapsed="false">
      <c r="A213" s="6" t="n">
        <v>46050</v>
      </c>
      <c r="B213" s="4" t="s">
        <v>4639</v>
      </c>
      <c r="C213" s="4" t="s">
        <v>4638</v>
      </c>
      <c r="D213" s="5" t="n">
        <v>2674.57</v>
      </c>
      <c r="E213" s="4" t="n">
        <v>268</v>
      </c>
      <c r="F213" s="4" t="n">
        <v>7</v>
      </c>
      <c r="G213" s="5" t="n">
        <f aca="false">IFERROR(D213/E213,0)</f>
        <v>9.97973880597015</v>
      </c>
      <c r="H213" s="12" t="n">
        <f aca="false">IFERROR(F213/E213,0)</f>
        <v>0.0261194029850746</v>
      </c>
    </row>
    <row r="214" customFormat="false" ht="15" hidden="false" customHeight="false" outlineLevel="0" collapsed="false">
      <c r="A214" s="6" t="n">
        <v>46051</v>
      </c>
      <c r="B214" s="4" t="s">
        <v>4639</v>
      </c>
      <c r="C214" s="4" t="s">
        <v>4636</v>
      </c>
      <c r="D214" s="5" t="n">
        <v>669.83</v>
      </c>
      <c r="E214" s="4" t="n">
        <v>422</v>
      </c>
      <c r="F214" s="4" t="n">
        <v>227</v>
      </c>
      <c r="G214" s="5" t="n">
        <f aca="false">IFERROR(D214/E214,0)</f>
        <v>1.58727488151659</v>
      </c>
      <c r="H214" s="12" t="n">
        <f aca="false">IFERROR(F214/E214,0)</f>
        <v>0.537914691943128</v>
      </c>
    </row>
    <row r="215" customFormat="false" ht="15" hidden="false" customHeight="false" outlineLevel="0" collapsed="false">
      <c r="A215" s="6" t="n">
        <v>46052</v>
      </c>
      <c r="B215" s="4" t="s">
        <v>4631</v>
      </c>
      <c r="C215" s="4" t="s">
        <v>4640</v>
      </c>
      <c r="D215" s="5" t="n">
        <v>3177.26</v>
      </c>
      <c r="E215" s="4" t="n">
        <v>26</v>
      </c>
      <c r="F215" s="4" t="n">
        <v>9</v>
      </c>
      <c r="G215" s="5" t="n">
        <f aca="false">IFERROR(D215/E215,0)</f>
        <v>122.202307692308</v>
      </c>
      <c r="H215" s="12" t="n">
        <f aca="false">IFERROR(F215/E215,0)</f>
        <v>0.346153846153846</v>
      </c>
    </row>
    <row r="216" customFormat="false" ht="15" hidden="false" customHeight="false" outlineLevel="0" collapsed="false">
      <c r="A216" s="6" t="n">
        <v>46053</v>
      </c>
      <c r="B216" s="4" t="s">
        <v>4635</v>
      </c>
      <c r="C216" s="4" t="s">
        <v>4640</v>
      </c>
      <c r="D216" s="5" t="n">
        <v>1836.89</v>
      </c>
      <c r="E216" s="4" t="n">
        <v>596</v>
      </c>
      <c r="F216" s="4" t="n">
        <v>569</v>
      </c>
      <c r="G216" s="5" t="n">
        <f aca="false">IFERROR(D216/E216,0)</f>
        <v>3.08203020134228</v>
      </c>
      <c r="H216" s="12" t="n">
        <f aca="false">IFERROR(F216/E216,0)</f>
        <v>0.954697986577181</v>
      </c>
    </row>
    <row r="217" customFormat="false" ht="15" hidden="false" customHeight="false" outlineLevel="0" collapsed="false">
      <c r="A217" s="6" t="n">
        <v>46054</v>
      </c>
      <c r="B217" s="4" t="s">
        <v>4637</v>
      </c>
      <c r="C217" s="4" t="s">
        <v>4636</v>
      </c>
      <c r="D217" s="5" t="n">
        <v>1785.57</v>
      </c>
      <c r="E217" s="4" t="n">
        <v>599</v>
      </c>
      <c r="F217" s="4" t="n">
        <v>190</v>
      </c>
      <c r="G217" s="5" t="n">
        <f aca="false">IFERROR(D217/E217,0)</f>
        <v>2.98091819699499</v>
      </c>
      <c r="H217" s="12" t="n">
        <f aca="false">IFERROR(F217/E217,0)</f>
        <v>0.317195325542571</v>
      </c>
    </row>
    <row r="218" customFormat="false" ht="15" hidden="false" customHeight="false" outlineLevel="0" collapsed="false">
      <c r="A218" s="6" t="n">
        <v>46055</v>
      </c>
      <c r="B218" s="4" t="s">
        <v>4631</v>
      </c>
      <c r="C218" s="4" t="s">
        <v>4636</v>
      </c>
      <c r="D218" s="5" t="n">
        <v>3068.74</v>
      </c>
      <c r="E218" s="4" t="n">
        <v>627</v>
      </c>
      <c r="F218" s="4" t="n">
        <v>433</v>
      </c>
      <c r="G218" s="5" t="n">
        <f aca="false">IFERROR(D218/E218,0)</f>
        <v>4.89432216905901</v>
      </c>
      <c r="H218" s="12" t="n">
        <f aca="false">IFERROR(F218/E218,0)</f>
        <v>0.690590111642743</v>
      </c>
    </row>
    <row r="219" customFormat="false" ht="15" hidden="false" customHeight="false" outlineLevel="0" collapsed="false">
      <c r="A219" s="6" t="n">
        <v>46056</v>
      </c>
      <c r="B219" s="4" t="s">
        <v>4633</v>
      </c>
      <c r="C219" s="4" t="s">
        <v>4636</v>
      </c>
      <c r="D219" s="5" t="n">
        <v>2127.4</v>
      </c>
      <c r="E219" s="4" t="n">
        <v>256</v>
      </c>
      <c r="F219" s="4" t="n">
        <v>123</v>
      </c>
      <c r="G219" s="5" t="n">
        <f aca="false">IFERROR(D219/E219,0)</f>
        <v>8.31015625</v>
      </c>
      <c r="H219" s="12" t="n">
        <f aca="false">IFERROR(F219/E219,0)</f>
        <v>0.48046875</v>
      </c>
    </row>
    <row r="220" customFormat="false" ht="15" hidden="false" customHeight="false" outlineLevel="0" collapsed="false">
      <c r="A220" s="6" t="n">
        <v>46057</v>
      </c>
      <c r="B220" s="4" t="s">
        <v>4633</v>
      </c>
      <c r="C220" s="4" t="s">
        <v>4634</v>
      </c>
      <c r="D220" s="5" t="n">
        <v>4037.36</v>
      </c>
      <c r="E220" s="4" t="n">
        <v>730</v>
      </c>
      <c r="F220" s="4" t="n">
        <v>144</v>
      </c>
      <c r="G220" s="5" t="n">
        <f aca="false">IFERROR(D220/E220,0)</f>
        <v>5.5306301369863</v>
      </c>
      <c r="H220" s="12" t="n">
        <f aca="false">IFERROR(F220/E220,0)</f>
        <v>0.197260273972603</v>
      </c>
    </row>
    <row r="221" customFormat="false" ht="15" hidden="false" customHeight="false" outlineLevel="0" collapsed="false">
      <c r="A221" s="6" t="n">
        <v>46058</v>
      </c>
      <c r="B221" s="4" t="s">
        <v>4631</v>
      </c>
      <c r="C221" s="4" t="s">
        <v>4640</v>
      </c>
      <c r="D221" s="5" t="n">
        <v>1930.18</v>
      </c>
      <c r="E221" s="4" t="n">
        <v>211</v>
      </c>
      <c r="F221" s="4" t="n">
        <v>19</v>
      </c>
      <c r="G221" s="5" t="n">
        <f aca="false">IFERROR(D221/E221,0)</f>
        <v>9.14777251184834</v>
      </c>
      <c r="H221" s="12" t="n">
        <f aca="false">IFERROR(F221/E221,0)</f>
        <v>0.0900473933649289</v>
      </c>
    </row>
    <row r="222" customFormat="false" ht="15" hidden="false" customHeight="false" outlineLevel="0" collapsed="false">
      <c r="A222" s="6" t="n">
        <v>46059</v>
      </c>
      <c r="B222" s="4" t="s">
        <v>4635</v>
      </c>
      <c r="C222" s="4" t="s">
        <v>4636</v>
      </c>
      <c r="D222" s="5" t="n">
        <v>4920.69</v>
      </c>
      <c r="E222" s="4" t="n">
        <v>45</v>
      </c>
      <c r="F222" s="4" t="n">
        <v>44</v>
      </c>
      <c r="G222" s="5" t="n">
        <f aca="false">IFERROR(D222/E222,0)</f>
        <v>109.348666666667</v>
      </c>
      <c r="H222" s="12" t="n">
        <f aca="false">IFERROR(F222/E222,0)</f>
        <v>0.977777777777778</v>
      </c>
    </row>
    <row r="223" customFormat="false" ht="15" hidden="false" customHeight="false" outlineLevel="0" collapsed="false">
      <c r="A223" s="6" t="n">
        <v>46060</v>
      </c>
      <c r="B223" s="4" t="s">
        <v>4637</v>
      </c>
      <c r="C223" s="4" t="s">
        <v>4634</v>
      </c>
      <c r="D223" s="5" t="n">
        <v>255.21</v>
      </c>
      <c r="E223" s="4" t="n">
        <v>475</v>
      </c>
      <c r="F223" s="4" t="n">
        <v>58</v>
      </c>
      <c r="G223" s="5" t="n">
        <f aca="false">IFERROR(D223/E223,0)</f>
        <v>0.537284210526316</v>
      </c>
      <c r="H223" s="12" t="n">
        <f aca="false">IFERROR(F223/E223,0)</f>
        <v>0.122105263157895</v>
      </c>
    </row>
    <row r="224" customFormat="false" ht="15" hidden="false" customHeight="false" outlineLevel="0" collapsed="false">
      <c r="A224" s="6" t="n">
        <v>46061</v>
      </c>
      <c r="B224" s="4" t="s">
        <v>4635</v>
      </c>
      <c r="C224" s="4" t="s">
        <v>4638</v>
      </c>
      <c r="D224" s="5" t="n">
        <v>4248.81</v>
      </c>
      <c r="E224" s="4" t="n">
        <v>251</v>
      </c>
      <c r="F224" s="4" t="n">
        <v>182</v>
      </c>
      <c r="G224" s="5" t="n">
        <f aca="false">IFERROR(D224/E224,0)</f>
        <v>16.9275298804781</v>
      </c>
      <c r="H224" s="12" t="n">
        <f aca="false">IFERROR(F224/E224,0)</f>
        <v>0.725099601593626</v>
      </c>
    </row>
    <row r="225" customFormat="false" ht="15" hidden="false" customHeight="false" outlineLevel="0" collapsed="false">
      <c r="A225" s="6" t="n">
        <v>46062</v>
      </c>
      <c r="B225" s="4" t="s">
        <v>4639</v>
      </c>
      <c r="C225" s="4" t="s">
        <v>4638</v>
      </c>
      <c r="D225" s="5" t="n">
        <v>1109.43</v>
      </c>
      <c r="E225" s="4" t="n">
        <v>461</v>
      </c>
      <c r="F225" s="4" t="n">
        <v>358</v>
      </c>
      <c r="G225" s="5" t="n">
        <f aca="false">IFERROR(D225/E225,0)</f>
        <v>2.4065726681128</v>
      </c>
      <c r="H225" s="12" t="n">
        <f aca="false">IFERROR(F225/E225,0)</f>
        <v>0.776572668112798</v>
      </c>
    </row>
    <row r="226" customFormat="false" ht="15" hidden="false" customHeight="false" outlineLevel="0" collapsed="false">
      <c r="A226" s="6" t="n">
        <v>46063</v>
      </c>
      <c r="B226" s="4" t="s">
        <v>4637</v>
      </c>
      <c r="C226" s="4" t="s">
        <v>4634</v>
      </c>
      <c r="D226" s="5" t="n">
        <v>3323.42</v>
      </c>
      <c r="E226" s="4" t="n">
        <v>642</v>
      </c>
      <c r="F226" s="4" t="n">
        <v>175</v>
      </c>
      <c r="G226" s="5" t="n">
        <f aca="false">IFERROR(D226/E226,0)</f>
        <v>5.17666666666667</v>
      </c>
      <c r="H226" s="12" t="n">
        <f aca="false">IFERROR(F226/E226,0)</f>
        <v>0.272585669781931</v>
      </c>
    </row>
    <row r="227" customFormat="false" ht="15" hidden="false" customHeight="false" outlineLevel="0" collapsed="false">
      <c r="A227" s="6" t="n">
        <v>46064</v>
      </c>
      <c r="B227" s="4" t="s">
        <v>4635</v>
      </c>
      <c r="C227" s="4" t="s">
        <v>4632</v>
      </c>
      <c r="D227" s="5" t="n">
        <v>4557.8</v>
      </c>
      <c r="E227" s="4" t="n">
        <v>557</v>
      </c>
      <c r="F227" s="4" t="n">
        <v>127</v>
      </c>
      <c r="G227" s="5" t="n">
        <f aca="false">IFERROR(D227/E227,0)</f>
        <v>8.18276481149013</v>
      </c>
      <c r="H227" s="12" t="n">
        <f aca="false">IFERROR(F227/E227,0)</f>
        <v>0.228007181328546</v>
      </c>
    </row>
    <row r="228" customFormat="false" ht="15" hidden="false" customHeight="false" outlineLevel="0" collapsed="false">
      <c r="A228" s="6" t="n">
        <v>46065</v>
      </c>
      <c r="B228" s="4" t="s">
        <v>4631</v>
      </c>
      <c r="C228" s="4" t="s">
        <v>4632</v>
      </c>
      <c r="D228" s="5" t="n">
        <v>4571.84</v>
      </c>
      <c r="E228" s="4" t="n">
        <v>760</v>
      </c>
      <c r="F228" s="4" t="n">
        <v>4</v>
      </c>
      <c r="G228" s="5" t="n">
        <f aca="false">IFERROR(D228/E228,0)</f>
        <v>6.01557894736842</v>
      </c>
      <c r="H228" s="12" t="n">
        <f aca="false">IFERROR(F228/E228,0)</f>
        <v>0.00526315789473684</v>
      </c>
    </row>
    <row r="229" customFormat="false" ht="15" hidden="false" customHeight="false" outlineLevel="0" collapsed="false">
      <c r="A229" s="6" t="n">
        <v>46066</v>
      </c>
      <c r="B229" s="4" t="s">
        <v>4635</v>
      </c>
      <c r="C229" s="4" t="s">
        <v>4640</v>
      </c>
      <c r="D229" s="5" t="n">
        <v>698.7</v>
      </c>
      <c r="E229" s="4" t="n">
        <v>128</v>
      </c>
      <c r="F229" s="4" t="n">
        <v>28</v>
      </c>
      <c r="G229" s="5" t="n">
        <f aca="false">IFERROR(D229/E229,0)</f>
        <v>5.45859375</v>
      </c>
      <c r="H229" s="12" t="n">
        <f aca="false">IFERROR(F229/E229,0)</f>
        <v>0.21875</v>
      </c>
    </row>
    <row r="230" customFormat="false" ht="15" hidden="false" customHeight="false" outlineLevel="0" collapsed="false">
      <c r="A230" s="6" t="n">
        <v>46067</v>
      </c>
      <c r="B230" s="4" t="s">
        <v>4635</v>
      </c>
      <c r="C230" s="4" t="s">
        <v>4632</v>
      </c>
      <c r="D230" s="5" t="n">
        <v>1254.32</v>
      </c>
      <c r="E230" s="4" t="n">
        <v>400</v>
      </c>
      <c r="F230" s="4" t="n">
        <v>170</v>
      </c>
      <c r="G230" s="5" t="n">
        <f aca="false">IFERROR(D230/E230,0)</f>
        <v>3.1358</v>
      </c>
      <c r="H230" s="12" t="n">
        <f aca="false">IFERROR(F230/E230,0)</f>
        <v>0.425</v>
      </c>
    </row>
    <row r="231" customFormat="false" ht="15" hidden="false" customHeight="false" outlineLevel="0" collapsed="false">
      <c r="A231" s="6" t="n">
        <v>46068</v>
      </c>
      <c r="B231" s="4" t="s">
        <v>4635</v>
      </c>
      <c r="C231" s="4" t="s">
        <v>4640</v>
      </c>
      <c r="D231" s="5" t="n">
        <v>637.38</v>
      </c>
      <c r="E231" s="4" t="n">
        <v>622</v>
      </c>
      <c r="F231" s="4" t="n">
        <v>320</v>
      </c>
      <c r="G231" s="5" t="n">
        <f aca="false">IFERROR(D231/E231,0)</f>
        <v>1.02472668810289</v>
      </c>
      <c r="H231" s="12" t="n">
        <f aca="false">IFERROR(F231/E231,0)</f>
        <v>0.514469453376206</v>
      </c>
    </row>
    <row r="232" customFormat="false" ht="15" hidden="false" customHeight="false" outlineLevel="0" collapsed="false">
      <c r="A232" s="6" t="n">
        <v>46069</v>
      </c>
      <c r="B232" s="4" t="s">
        <v>4637</v>
      </c>
      <c r="C232" s="4" t="s">
        <v>4640</v>
      </c>
      <c r="D232" s="5" t="n">
        <v>3528.77</v>
      </c>
      <c r="E232" s="4" t="n">
        <v>501</v>
      </c>
      <c r="F232" s="4" t="n">
        <v>85</v>
      </c>
      <c r="G232" s="5" t="n">
        <f aca="false">IFERROR(D232/E232,0)</f>
        <v>7.04345309381238</v>
      </c>
      <c r="H232" s="12" t="n">
        <f aca="false">IFERROR(F232/E232,0)</f>
        <v>0.169660678642715</v>
      </c>
    </row>
    <row r="233" customFormat="false" ht="15" hidden="false" customHeight="false" outlineLevel="0" collapsed="false">
      <c r="A233" s="6" t="n">
        <v>46070</v>
      </c>
      <c r="B233" s="4" t="s">
        <v>4631</v>
      </c>
      <c r="C233" s="4" t="s">
        <v>4636</v>
      </c>
      <c r="D233" s="5" t="n">
        <v>2891.06</v>
      </c>
      <c r="E233" s="4" t="n">
        <v>65</v>
      </c>
      <c r="F233" s="4" t="n">
        <v>6</v>
      </c>
      <c r="G233" s="5" t="n">
        <f aca="false">IFERROR(D233/E233,0)</f>
        <v>44.4778461538462</v>
      </c>
      <c r="H233" s="12" t="n">
        <f aca="false">IFERROR(F233/E233,0)</f>
        <v>0.0923076923076923</v>
      </c>
    </row>
    <row r="234" customFormat="false" ht="15" hidden="false" customHeight="false" outlineLevel="0" collapsed="false">
      <c r="A234" s="6" t="n">
        <v>46071</v>
      </c>
      <c r="B234" s="4" t="s">
        <v>4639</v>
      </c>
      <c r="C234" s="4" t="s">
        <v>4638</v>
      </c>
      <c r="D234" s="5" t="n">
        <v>2524.06</v>
      </c>
      <c r="E234" s="4" t="n">
        <v>736</v>
      </c>
      <c r="F234" s="4" t="n">
        <v>618</v>
      </c>
      <c r="G234" s="5" t="n">
        <f aca="false">IFERROR(D234/E234,0)</f>
        <v>3.42942934782609</v>
      </c>
      <c r="H234" s="12" t="n">
        <f aca="false">IFERROR(F234/E234,0)</f>
        <v>0.839673913043478</v>
      </c>
    </row>
    <row r="235" customFormat="false" ht="15" hidden="false" customHeight="false" outlineLevel="0" collapsed="false">
      <c r="A235" s="6" t="n">
        <v>46072</v>
      </c>
      <c r="B235" s="4" t="s">
        <v>4639</v>
      </c>
      <c r="C235" s="4" t="s">
        <v>4632</v>
      </c>
      <c r="D235" s="5" t="n">
        <v>2850.57</v>
      </c>
      <c r="E235" s="4" t="n">
        <v>404</v>
      </c>
      <c r="F235" s="4" t="n">
        <v>311</v>
      </c>
      <c r="G235" s="5" t="n">
        <f aca="false">IFERROR(D235/E235,0)</f>
        <v>7.05586633663366</v>
      </c>
      <c r="H235" s="12" t="n">
        <f aca="false">IFERROR(F235/E235,0)</f>
        <v>0.76980198019802</v>
      </c>
    </row>
    <row r="236" customFormat="false" ht="15" hidden="false" customHeight="false" outlineLevel="0" collapsed="false">
      <c r="A236" s="6" t="n">
        <v>46073</v>
      </c>
      <c r="B236" s="4" t="s">
        <v>4635</v>
      </c>
      <c r="C236" s="4" t="s">
        <v>4634</v>
      </c>
      <c r="D236" s="5" t="n">
        <v>4565.92</v>
      </c>
      <c r="E236" s="4" t="n">
        <v>511</v>
      </c>
      <c r="F236" s="4" t="n">
        <v>176</v>
      </c>
      <c r="G236" s="5" t="n">
        <f aca="false">IFERROR(D236/E236,0)</f>
        <v>8.93526418786693</v>
      </c>
      <c r="H236" s="12" t="n">
        <f aca="false">IFERROR(F236/E236,0)</f>
        <v>0.344422700587084</v>
      </c>
    </row>
    <row r="237" customFormat="false" ht="15" hidden="false" customHeight="false" outlineLevel="0" collapsed="false">
      <c r="A237" s="6" t="n">
        <v>46074</v>
      </c>
      <c r="B237" s="4" t="s">
        <v>4637</v>
      </c>
      <c r="C237" s="4" t="s">
        <v>4632</v>
      </c>
      <c r="D237" s="5" t="n">
        <v>1825.57</v>
      </c>
      <c r="E237" s="4" t="n">
        <v>338</v>
      </c>
      <c r="F237" s="4" t="n">
        <v>27</v>
      </c>
      <c r="G237" s="5" t="n">
        <f aca="false">IFERROR(D237/E237,0)</f>
        <v>5.40109467455621</v>
      </c>
      <c r="H237" s="12" t="n">
        <f aca="false">IFERROR(F237/E237,0)</f>
        <v>0.0798816568047337</v>
      </c>
    </row>
    <row r="238" customFormat="false" ht="15" hidden="false" customHeight="false" outlineLevel="0" collapsed="false">
      <c r="A238" s="6" t="n">
        <v>46075</v>
      </c>
      <c r="B238" s="4" t="s">
        <v>4639</v>
      </c>
      <c r="C238" s="4" t="s">
        <v>4638</v>
      </c>
      <c r="D238" s="5" t="n">
        <v>905.99</v>
      </c>
      <c r="E238" s="4" t="n">
        <v>759</v>
      </c>
      <c r="F238" s="4" t="n">
        <v>488</v>
      </c>
      <c r="G238" s="5" t="n">
        <f aca="false">IFERROR(D238/E238,0)</f>
        <v>1.1936627140975</v>
      </c>
      <c r="H238" s="12" t="n">
        <f aca="false">IFERROR(F238/E238,0)</f>
        <v>0.642951251646904</v>
      </c>
    </row>
    <row r="239" customFormat="false" ht="15" hidden="false" customHeight="false" outlineLevel="0" collapsed="false">
      <c r="A239" s="6" t="n">
        <v>46076</v>
      </c>
      <c r="B239" s="4" t="s">
        <v>4635</v>
      </c>
      <c r="C239" s="4" t="s">
        <v>4634</v>
      </c>
      <c r="D239" s="5" t="n">
        <v>506.38</v>
      </c>
      <c r="E239" s="4" t="n">
        <v>584</v>
      </c>
      <c r="F239" s="4" t="n">
        <v>218</v>
      </c>
      <c r="G239" s="5" t="n">
        <f aca="false">IFERROR(D239/E239,0)</f>
        <v>0.86708904109589</v>
      </c>
      <c r="H239" s="12" t="n">
        <f aca="false">IFERROR(F239/E239,0)</f>
        <v>0.373287671232877</v>
      </c>
    </row>
    <row r="240" customFormat="false" ht="15" hidden="false" customHeight="false" outlineLevel="0" collapsed="false">
      <c r="A240" s="6" t="n">
        <v>46077</v>
      </c>
      <c r="B240" s="4" t="s">
        <v>4639</v>
      </c>
      <c r="C240" s="4" t="s">
        <v>4636</v>
      </c>
      <c r="D240" s="5" t="n">
        <v>2799.11</v>
      </c>
      <c r="E240" s="4" t="n">
        <v>660</v>
      </c>
      <c r="F240" s="4" t="n">
        <v>234</v>
      </c>
      <c r="G240" s="5" t="n">
        <f aca="false">IFERROR(D240/E240,0)</f>
        <v>4.24107575757576</v>
      </c>
      <c r="H240" s="12" t="n">
        <f aca="false">IFERROR(F240/E240,0)</f>
        <v>0.354545454545455</v>
      </c>
    </row>
    <row r="241" customFormat="false" ht="15" hidden="false" customHeight="false" outlineLevel="0" collapsed="false">
      <c r="A241" s="6" t="n">
        <v>46078</v>
      </c>
      <c r="B241" s="4" t="s">
        <v>4631</v>
      </c>
      <c r="C241" s="4" t="s">
        <v>4640</v>
      </c>
      <c r="D241" s="5" t="n">
        <v>531.01</v>
      </c>
      <c r="E241" s="4" t="n">
        <v>110</v>
      </c>
      <c r="F241" s="4" t="n">
        <v>35</v>
      </c>
      <c r="G241" s="5" t="n">
        <f aca="false">IFERROR(D241/E241,0)</f>
        <v>4.82736363636364</v>
      </c>
      <c r="H241" s="12" t="n">
        <f aca="false">IFERROR(F241/E241,0)</f>
        <v>0.318181818181818</v>
      </c>
    </row>
    <row r="242" customFormat="false" ht="15" hidden="false" customHeight="false" outlineLevel="0" collapsed="false">
      <c r="A242" s="6" t="n">
        <v>46079</v>
      </c>
      <c r="B242" s="4" t="s">
        <v>4639</v>
      </c>
      <c r="C242" s="4" t="s">
        <v>4632</v>
      </c>
      <c r="D242" s="5" t="n">
        <v>4940.16</v>
      </c>
      <c r="E242" s="4" t="n">
        <v>690</v>
      </c>
      <c r="F242" s="4" t="n">
        <v>216</v>
      </c>
      <c r="G242" s="5" t="n">
        <f aca="false">IFERROR(D242/E242,0)</f>
        <v>7.15965217391304</v>
      </c>
      <c r="H242" s="12" t="n">
        <f aca="false">IFERROR(F242/E242,0)</f>
        <v>0.31304347826087</v>
      </c>
    </row>
    <row r="243" customFormat="false" ht="15" hidden="false" customHeight="false" outlineLevel="0" collapsed="false">
      <c r="A243" s="6" t="n">
        <v>46080</v>
      </c>
      <c r="B243" s="4" t="s">
        <v>4631</v>
      </c>
      <c r="C243" s="4" t="s">
        <v>4632</v>
      </c>
      <c r="D243" s="5" t="n">
        <v>3801.92</v>
      </c>
      <c r="E243" s="4" t="n">
        <v>87</v>
      </c>
      <c r="F243" s="4" t="n">
        <v>53</v>
      </c>
      <c r="G243" s="5" t="n">
        <f aca="false">IFERROR(D243/E243,0)</f>
        <v>43.7002298850575</v>
      </c>
      <c r="H243" s="12" t="n">
        <f aca="false">IFERROR(F243/E243,0)</f>
        <v>0.609195402298851</v>
      </c>
    </row>
    <row r="244" customFormat="false" ht="15" hidden="false" customHeight="false" outlineLevel="0" collapsed="false">
      <c r="A244" s="6" t="n">
        <v>46081</v>
      </c>
      <c r="B244" s="4" t="s">
        <v>4637</v>
      </c>
      <c r="C244" s="4" t="s">
        <v>4636</v>
      </c>
      <c r="D244" s="5" t="n">
        <v>3111.61</v>
      </c>
      <c r="E244" s="4" t="n">
        <v>220</v>
      </c>
      <c r="F244" s="4" t="n">
        <v>179</v>
      </c>
      <c r="G244" s="5" t="n">
        <f aca="false">IFERROR(D244/E244,0)</f>
        <v>14.1436818181818</v>
      </c>
      <c r="H244" s="12" t="n">
        <f aca="false">IFERROR(F244/E244,0)</f>
        <v>0.813636363636364</v>
      </c>
    </row>
    <row r="245" customFormat="false" ht="15" hidden="false" customHeight="false" outlineLevel="0" collapsed="false">
      <c r="A245" s="6" t="n">
        <v>46082</v>
      </c>
      <c r="B245" s="4" t="s">
        <v>4639</v>
      </c>
      <c r="C245" s="4" t="s">
        <v>4638</v>
      </c>
      <c r="D245" s="5" t="n">
        <v>3744.67</v>
      </c>
      <c r="E245" s="4" t="n">
        <v>772</v>
      </c>
      <c r="F245" s="4" t="n">
        <v>13</v>
      </c>
      <c r="G245" s="5" t="n">
        <f aca="false">IFERROR(D245/E245,0)</f>
        <v>4.85060880829016</v>
      </c>
      <c r="H245" s="12" t="n">
        <f aca="false">IFERROR(F245/E245,0)</f>
        <v>0.016839378238342</v>
      </c>
    </row>
    <row r="246" customFormat="false" ht="15" hidden="false" customHeight="false" outlineLevel="0" collapsed="false">
      <c r="A246" s="6" t="n">
        <v>46083</v>
      </c>
      <c r="B246" s="4" t="s">
        <v>4639</v>
      </c>
      <c r="C246" s="4" t="s">
        <v>4636</v>
      </c>
      <c r="D246" s="5" t="n">
        <v>3261.71</v>
      </c>
      <c r="E246" s="4" t="n">
        <v>71</v>
      </c>
      <c r="F246" s="4" t="n">
        <v>35</v>
      </c>
      <c r="G246" s="5" t="n">
        <f aca="false">IFERROR(D246/E246,0)</f>
        <v>45.9395774647887</v>
      </c>
      <c r="H246" s="12" t="n">
        <f aca="false">IFERROR(F246/E246,0)</f>
        <v>0.492957746478873</v>
      </c>
    </row>
    <row r="247" customFormat="false" ht="15" hidden="false" customHeight="false" outlineLevel="0" collapsed="false">
      <c r="A247" s="6" t="n">
        <v>46084</v>
      </c>
      <c r="B247" s="4" t="s">
        <v>4633</v>
      </c>
      <c r="C247" s="4" t="s">
        <v>4634</v>
      </c>
      <c r="D247" s="5" t="n">
        <v>4298.78</v>
      </c>
      <c r="E247" s="4" t="n">
        <v>153</v>
      </c>
      <c r="F247" s="4" t="n">
        <v>112</v>
      </c>
      <c r="G247" s="5" t="n">
        <f aca="false">IFERROR(D247/E247,0)</f>
        <v>28.0966013071895</v>
      </c>
      <c r="H247" s="12" t="n">
        <f aca="false">IFERROR(F247/E247,0)</f>
        <v>0.73202614379085</v>
      </c>
    </row>
    <row r="248" customFormat="false" ht="15" hidden="false" customHeight="false" outlineLevel="0" collapsed="false">
      <c r="A248" s="6" t="n">
        <v>46085</v>
      </c>
      <c r="B248" s="4" t="s">
        <v>4639</v>
      </c>
      <c r="C248" s="4" t="s">
        <v>4634</v>
      </c>
      <c r="D248" s="5" t="n">
        <v>4289.81</v>
      </c>
      <c r="E248" s="4" t="n">
        <v>150</v>
      </c>
      <c r="F248" s="4" t="n">
        <v>26</v>
      </c>
      <c r="G248" s="5" t="n">
        <f aca="false">IFERROR(D248/E248,0)</f>
        <v>28.5987333333333</v>
      </c>
      <c r="H248" s="12" t="n">
        <f aca="false">IFERROR(F248/E248,0)</f>
        <v>0.173333333333333</v>
      </c>
    </row>
    <row r="249" customFormat="false" ht="15" hidden="false" customHeight="false" outlineLevel="0" collapsed="false">
      <c r="A249" s="6" t="n">
        <v>46086</v>
      </c>
      <c r="B249" s="4" t="s">
        <v>4639</v>
      </c>
      <c r="C249" s="4" t="s">
        <v>4632</v>
      </c>
      <c r="D249" s="5" t="n">
        <v>3659.8</v>
      </c>
      <c r="E249" s="4" t="n">
        <v>62</v>
      </c>
      <c r="F249" s="4" t="n">
        <v>57</v>
      </c>
      <c r="G249" s="5" t="n">
        <f aca="false">IFERROR(D249/E249,0)</f>
        <v>59.0290322580645</v>
      </c>
      <c r="H249" s="12" t="n">
        <f aca="false">IFERROR(F249/E249,0)</f>
        <v>0.919354838709677</v>
      </c>
    </row>
    <row r="250" customFormat="false" ht="15" hidden="false" customHeight="false" outlineLevel="0" collapsed="false">
      <c r="A250" s="6" t="n">
        <v>46087</v>
      </c>
      <c r="B250" s="4" t="s">
        <v>4633</v>
      </c>
      <c r="C250" s="4" t="s">
        <v>4634</v>
      </c>
      <c r="D250" s="5" t="n">
        <v>694.3</v>
      </c>
      <c r="E250" s="4" t="n">
        <v>363</v>
      </c>
      <c r="F250" s="4" t="n">
        <v>24</v>
      </c>
      <c r="G250" s="5" t="n">
        <f aca="false">IFERROR(D250/E250,0)</f>
        <v>1.91267217630854</v>
      </c>
      <c r="H250" s="12" t="n">
        <f aca="false">IFERROR(F250/E250,0)</f>
        <v>0.0661157024793388</v>
      </c>
    </row>
    <row r="251" customFormat="false" ht="15" hidden="false" customHeight="false" outlineLevel="0" collapsed="false">
      <c r="A251" s="6" t="n">
        <v>46088</v>
      </c>
      <c r="B251" s="4" t="s">
        <v>4637</v>
      </c>
      <c r="C251" s="4" t="s">
        <v>4634</v>
      </c>
      <c r="D251" s="5" t="n">
        <v>2130.4</v>
      </c>
      <c r="E251" s="4" t="n">
        <v>22</v>
      </c>
      <c r="F251" s="4" t="n">
        <v>21</v>
      </c>
      <c r="G251" s="5" t="n">
        <f aca="false">IFERROR(D251/E251,0)</f>
        <v>96.8363636363636</v>
      </c>
      <c r="H251" s="12" t="n">
        <f aca="false">IFERROR(F251/E251,0)</f>
        <v>0.954545454545455</v>
      </c>
    </row>
    <row r="252" customFormat="false" ht="15" hidden="false" customHeight="false" outlineLevel="0" collapsed="false">
      <c r="A252" s="6" t="n">
        <v>46089</v>
      </c>
      <c r="B252" s="4" t="s">
        <v>4633</v>
      </c>
      <c r="C252" s="4" t="s">
        <v>4640</v>
      </c>
      <c r="D252" s="5" t="n">
        <v>3647.42</v>
      </c>
      <c r="E252" s="4" t="n">
        <v>629</v>
      </c>
      <c r="F252" s="4" t="n">
        <v>236</v>
      </c>
      <c r="G252" s="5" t="n">
        <f aca="false">IFERROR(D252/E252,0)</f>
        <v>5.798759936407</v>
      </c>
      <c r="H252" s="12" t="n">
        <f aca="false">IFERROR(F252/E252,0)</f>
        <v>0.375198728139905</v>
      </c>
    </row>
    <row r="253" customFormat="false" ht="15" hidden="false" customHeight="false" outlineLevel="0" collapsed="false">
      <c r="A253" s="6" t="n">
        <v>46090</v>
      </c>
      <c r="B253" s="4" t="s">
        <v>4637</v>
      </c>
      <c r="C253" s="4" t="s">
        <v>4632</v>
      </c>
      <c r="D253" s="5" t="n">
        <v>2433.09</v>
      </c>
      <c r="E253" s="4" t="n">
        <v>427</v>
      </c>
      <c r="F253" s="4" t="n">
        <v>299</v>
      </c>
      <c r="G253" s="5" t="n">
        <f aca="false">IFERROR(D253/E253,0)</f>
        <v>5.69810304449649</v>
      </c>
      <c r="H253" s="12" t="n">
        <f aca="false">IFERROR(F253/E253,0)</f>
        <v>0.700234192037471</v>
      </c>
    </row>
    <row r="254" customFormat="false" ht="15" hidden="false" customHeight="false" outlineLevel="0" collapsed="false">
      <c r="A254" s="6" t="n">
        <v>46091</v>
      </c>
      <c r="B254" s="4" t="s">
        <v>4637</v>
      </c>
      <c r="C254" s="4" t="s">
        <v>4636</v>
      </c>
      <c r="D254" s="5" t="n">
        <v>2802.03</v>
      </c>
      <c r="E254" s="4" t="n">
        <v>155</v>
      </c>
      <c r="F254" s="4" t="n">
        <v>18</v>
      </c>
      <c r="G254" s="5" t="n">
        <f aca="false">IFERROR(D254/E254,0)</f>
        <v>18.0776129032258</v>
      </c>
      <c r="H254" s="12" t="n">
        <f aca="false">IFERROR(F254/E254,0)</f>
        <v>0.116129032258065</v>
      </c>
    </row>
    <row r="255" customFormat="false" ht="15" hidden="false" customHeight="false" outlineLevel="0" collapsed="false">
      <c r="A255" s="6" t="n">
        <v>46092</v>
      </c>
      <c r="B255" s="4" t="s">
        <v>4637</v>
      </c>
      <c r="C255" s="4" t="s">
        <v>4640</v>
      </c>
      <c r="D255" s="5" t="n">
        <v>4955.67</v>
      </c>
      <c r="E255" s="4" t="n">
        <v>111</v>
      </c>
      <c r="F255" s="4" t="n">
        <v>53</v>
      </c>
      <c r="G255" s="5" t="n">
        <f aca="false">IFERROR(D255/E255,0)</f>
        <v>44.6456756756757</v>
      </c>
      <c r="H255" s="12" t="n">
        <f aca="false">IFERROR(F255/E255,0)</f>
        <v>0.477477477477478</v>
      </c>
    </row>
    <row r="256" customFormat="false" ht="15" hidden="false" customHeight="false" outlineLevel="0" collapsed="false">
      <c r="A256" s="6" t="n">
        <v>46093</v>
      </c>
      <c r="B256" s="4" t="s">
        <v>4639</v>
      </c>
      <c r="C256" s="4" t="s">
        <v>4632</v>
      </c>
      <c r="D256" s="5" t="n">
        <v>1668.06</v>
      </c>
      <c r="E256" s="4" t="n">
        <v>642</v>
      </c>
      <c r="F256" s="4" t="n">
        <v>41</v>
      </c>
      <c r="G256" s="5" t="n">
        <f aca="false">IFERROR(D256/E256,0)</f>
        <v>2.59822429906542</v>
      </c>
      <c r="H256" s="12" t="n">
        <f aca="false">IFERROR(F256/E256,0)</f>
        <v>0.0638629283489097</v>
      </c>
    </row>
    <row r="257" customFormat="false" ht="15" hidden="false" customHeight="false" outlineLevel="0" collapsed="false">
      <c r="A257" s="6" t="n">
        <v>46094</v>
      </c>
      <c r="B257" s="4" t="s">
        <v>4637</v>
      </c>
      <c r="C257" s="4" t="s">
        <v>4638</v>
      </c>
      <c r="D257" s="5" t="n">
        <v>3808.1</v>
      </c>
      <c r="E257" s="4" t="n">
        <v>563</v>
      </c>
      <c r="F257" s="4" t="n">
        <v>223</v>
      </c>
      <c r="G257" s="5" t="n">
        <f aca="false">IFERROR(D257/E257,0)</f>
        <v>6.7639431616341</v>
      </c>
      <c r="H257" s="12" t="n">
        <f aca="false">IFERROR(F257/E257,0)</f>
        <v>0.396092362344583</v>
      </c>
    </row>
    <row r="258" customFormat="false" ht="15" hidden="false" customHeight="false" outlineLevel="0" collapsed="false">
      <c r="A258" s="6" t="n">
        <v>46095</v>
      </c>
      <c r="B258" s="4" t="s">
        <v>4631</v>
      </c>
      <c r="C258" s="4" t="s">
        <v>4638</v>
      </c>
      <c r="D258" s="5" t="n">
        <v>1502.44</v>
      </c>
      <c r="E258" s="4" t="n">
        <v>779</v>
      </c>
      <c r="F258" s="4" t="n">
        <v>554</v>
      </c>
      <c r="G258" s="5" t="n">
        <f aca="false">IFERROR(D258/E258,0)</f>
        <v>1.92867779204108</v>
      </c>
      <c r="H258" s="12" t="n">
        <f aca="false">IFERROR(F258/E258,0)</f>
        <v>0.711168164313222</v>
      </c>
    </row>
    <row r="259" customFormat="false" ht="15" hidden="false" customHeight="false" outlineLevel="0" collapsed="false">
      <c r="A259" s="6" t="n">
        <v>46096</v>
      </c>
      <c r="B259" s="4" t="s">
        <v>4639</v>
      </c>
      <c r="C259" s="4" t="s">
        <v>4632</v>
      </c>
      <c r="D259" s="5" t="n">
        <v>3195.42</v>
      </c>
      <c r="E259" s="4" t="n">
        <v>421</v>
      </c>
      <c r="F259" s="4" t="n">
        <v>83</v>
      </c>
      <c r="G259" s="5" t="n">
        <f aca="false">IFERROR(D259/E259,0)</f>
        <v>7.59007125890736</v>
      </c>
      <c r="H259" s="12" t="n">
        <f aca="false">IFERROR(F259/E259,0)</f>
        <v>0.197149643705463</v>
      </c>
    </row>
    <row r="260" customFormat="false" ht="15" hidden="false" customHeight="false" outlineLevel="0" collapsed="false">
      <c r="A260" s="6" t="n">
        <v>46097</v>
      </c>
      <c r="B260" s="4" t="s">
        <v>4633</v>
      </c>
      <c r="C260" s="4" t="s">
        <v>4640</v>
      </c>
      <c r="D260" s="5" t="n">
        <v>635.51</v>
      </c>
      <c r="E260" s="4" t="n">
        <v>227</v>
      </c>
      <c r="F260" s="4" t="n">
        <v>30</v>
      </c>
      <c r="G260" s="5" t="n">
        <f aca="false">IFERROR(D260/E260,0)</f>
        <v>2.79960352422907</v>
      </c>
      <c r="H260" s="12" t="n">
        <f aca="false">IFERROR(F260/E260,0)</f>
        <v>0.13215859030837</v>
      </c>
    </row>
    <row r="261" customFormat="false" ht="15" hidden="false" customHeight="false" outlineLevel="0" collapsed="false">
      <c r="A261" s="6" t="n">
        <v>46098</v>
      </c>
      <c r="B261" s="4" t="s">
        <v>4633</v>
      </c>
      <c r="C261" s="4" t="s">
        <v>4632</v>
      </c>
      <c r="D261" s="5" t="n">
        <v>316.46</v>
      </c>
      <c r="E261" s="4" t="n">
        <v>77</v>
      </c>
      <c r="F261" s="4" t="n">
        <v>46</v>
      </c>
      <c r="G261" s="5" t="n">
        <f aca="false">IFERROR(D261/E261,0)</f>
        <v>4.10987012987013</v>
      </c>
      <c r="H261" s="12" t="n">
        <f aca="false">IFERROR(F261/E261,0)</f>
        <v>0.597402597402597</v>
      </c>
    </row>
    <row r="262" customFormat="false" ht="15" hidden="false" customHeight="false" outlineLevel="0" collapsed="false">
      <c r="A262" s="6" t="n">
        <v>46099</v>
      </c>
      <c r="B262" s="4" t="s">
        <v>4633</v>
      </c>
      <c r="C262" s="4" t="s">
        <v>4640</v>
      </c>
      <c r="D262" s="5" t="n">
        <v>4452.79</v>
      </c>
      <c r="E262" s="4" t="n">
        <v>447</v>
      </c>
      <c r="F262" s="4" t="n">
        <v>430</v>
      </c>
      <c r="G262" s="5" t="n">
        <f aca="false">IFERROR(D262/E262,0)</f>
        <v>9.96149888143177</v>
      </c>
      <c r="H262" s="12" t="n">
        <f aca="false">IFERROR(F262/E262,0)</f>
        <v>0.961968680089485</v>
      </c>
    </row>
    <row r="263" customFormat="false" ht="15" hidden="false" customHeight="false" outlineLevel="0" collapsed="false">
      <c r="A263" s="6" t="n">
        <v>46100</v>
      </c>
      <c r="B263" s="4" t="s">
        <v>4639</v>
      </c>
      <c r="C263" s="4" t="s">
        <v>4640</v>
      </c>
      <c r="D263" s="5" t="n">
        <v>4781.72</v>
      </c>
      <c r="E263" s="4" t="n">
        <v>61</v>
      </c>
      <c r="F263" s="4" t="n">
        <v>24</v>
      </c>
      <c r="G263" s="5" t="n">
        <f aca="false">IFERROR(D263/E263,0)</f>
        <v>78.3888524590164</v>
      </c>
      <c r="H263" s="12" t="n">
        <f aca="false">IFERROR(F263/E263,0)</f>
        <v>0.39344262295082</v>
      </c>
    </row>
    <row r="264" customFormat="false" ht="15" hidden="false" customHeight="false" outlineLevel="0" collapsed="false">
      <c r="A264" s="6" t="n">
        <v>46101</v>
      </c>
      <c r="B264" s="4" t="s">
        <v>4635</v>
      </c>
      <c r="C264" s="4" t="s">
        <v>4640</v>
      </c>
      <c r="D264" s="5" t="n">
        <v>4666.84</v>
      </c>
      <c r="E264" s="4" t="n">
        <v>106</v>
      </c>
      <c r="F264" s="4" t="n">
        <v>73</v>
      </c>
      <c r="G264" s="5" t="n">
        <f aca="false">IFERROR(D264/E264,0)</f>
        <v>44.0267924528302</v>
      </c>
      <c r="H264" s="12" t="n">
        <f aca="false">IFERROR(F264/E264,0)</f>
        <v>0.688679245283019</v>
      </c>
    </row>
    <row r="265" customFormat="false" ht="15" hidden="false" customHeight="false" outlineLevel="0" collapsed="false">
      <c r="A265" s="6" t="n">
        <v>46102</v>
      </c>
      <c r="B265" s="4" t="s">
        <v>4635</v>
      </c>
      <c r="C265" s="4" t="s">
        <v>4634</v>
      </c>
      <c r="D265" s="5" t="n">
        <v>1969.74</v>
      </c>
      <c r="E265" s="4" t="n">
        <v>81</v>
      </c>
      <c r="F265" s="4" t="n">
        <v>38</v>
      </c>
      <c r="G265" s="5" t="n">
        <f aca="false">IFERROR(D265/E265,0)</f>
        <v>24.3177777777778</v>
      </c>
      <c r="H265" s="12" t="n">
        <f aca="false">IFERROR(F265/E265,0)</f>
        <v>0.469135802469136</v>
      </c>
    </row>
    <row r="266" customFormat="false" ht="15" hidden="false" customHeight="false" outlineLevel="0" collapsed="false">
      <c r="A266" s="6" t="n">
        <v>46103</v>
      </c>
      <c r="B266" s="4" t="s">
        <v>4637</v>
      </c>
      <c r="C266" s="4" t="s">
        <v>4640</v>
      </c>
      <c r="D266" s="5" t="n">
        <v>3949.31</v>
      </c>
      <c r="E266" s="4" t="n">
        <v>280</v>
      </c>
      <c r="F266" s="4" t="n">
        <v>153</v>
      </c>
      <c r="G266" s="5" t="n">
        <f aca="false">IFERROR(D266/E266,0)</f>
        <v>14.1046785714286</v>
      </c>
      <c r="H266" s="12" t="n">
        <f aca="false">IFERROR(F266/E266,0)</f>
        <v>0.546428571428571</v>
      </c>
    </row>
    <row r="267" customFormat="false" ht="15" hidden="false" customHeight="false" outlineLevel="0" collapsed="false">
      <c r="A267" s="6" t="n">
        <v>46104</v>
      </c>
      <c r="B267" s="4" t="s">
        <v>4631</v>
      </c>
      <c r="C267" s="4" t="s">
        <v>4632</v>
      </c>
      <c r="D267" s="5" t="n">
        <v>4835.23</v>
      </c>
      <c r="E267" s="4" t="n">
        <v>420</v>
      </c>
      <c r="F267" s="4" t="n">
        <v>100</v>
      </c>
      <c r="G267" s="5" t="n">
        <f aca="false">IFERROR(D267/E267,0)</f>
        <v>11.5124523809524</v>
      </c>
      <c r="H267" s="12" t="n">
        <f aca="false">IFERROR(F267/E267,0)</f>
        <v>0.238095238095238</v>
      </c>
    </row>
    <row r="268" customFormat="false" ht="15" hidden="false" customHeight="false" outlineLevel="0" collapsed="false">
      <c r="A268" s="6" t="n">
        <v>46105</v>
      </c>
      <c r="B268" s="4" t="s">
        <v>4635</v>
      </c>
      <c r="C268" s="4" t="s">
        <v>4640</v>
      </c>
      <c r="D268" s="5" t="n">
        <v>3908.5</v>
      </c>
      <c r="E268" s="4" t="n">
        <v>754</v>
      </c>
      <c r="F268" s="4" t="n">
        <v>230</v>
      </c>
      <c r="G268" s="5" t="n">
        <f aca="false">IFERROR(D268/E268,0)</f>
        <v>5.18368700265252</v>
      </c>
      <c r="H268" s="12" t="n">
        <f aca="false">IFERROR(F268/E268,0)</f>
        <v>0.305039787798409</v>
      </c>
    </row>
    <row r="269" customFormat="false" ht="15" hidden="false" customHeight="false" outlineLevel="0" collapsed="false">
      <c r="A269" s="6" t="n">
        <v>46106</v>
      </c>
      <c r="B269" s="4" t="s">
        <v>4633</v>
      </c>
      <c r="C269" s="4" t="s">
        <v>4636</v>
      </c>
      <c r="D269" s="5" t="n">
        <v>1883</v>
      </c>
      <c r="E269" s="4" t="n">
        <v>329</v>
      </c>
      <c r="F269" s="4" t="n">
        <v>309</v>
      </c>
      <c r="G269" s="5" t="n">
        <f aca="false">IFERROR(D269/E269,0)</f>
        <v>5.72340425531915</v>
      </c>
      <c r="H269" s="12" t="n">
        <f aca="false">IFERROR(F269/E269,0)</f>
        <v>0.939209726443769</v>
      </c>
    </row>
    <row r="270" customFormat="false" ht="15" hidden="false" customHeight="false" outlineLevel="0" collapsed="false">
      <c r="A270" s="6" t="n">
        <v>46107</v>
      </c>
      <c r="B270" s="4" t="s">
        <v>4633</v>
      </c>
      <c r="C270" s="4" t="s">
        <v>4636</v>
      </c>
      <c r="D270" s="5" t="n">
        <v>2404.67</v>
      </c>
      <c r="E270" s="4" t="n">
        <v>152</v>
      </c>
      <c r="F270" s="4" t="n">
        <v>43</v>
      </c>
      <c r="G270" s="5" t="n">
        <f aca="false">IFERROR(D270/E270,0)</f>
        <v>15.8201973684211</v>
      </c>
      <c r="H270" s="12" t="n">
        <f aca="false">IFERROR(F270/E270,0)</f>
        <v>0.282894736842105</v>
      </c>
    </row>
    <row r="271" customFormat="false" ht="15" hidden="false" customHeight="false" outlineLevel="0" collapsed="false">
      <c r="A271" s="6" t="n">
        <v>46108</v>
      </c>
      <c r="B271" s="4" t="s">
        <v>4631</v>
      </c>
      <c r="C271" s="4" t="s">
        <v>4636</v>
      </c>
      <c r="D271" s="5" t="n">
        <v>2310.74</v>
      </c>
      <c r="E271" s="4" t="n">
        <v>140</v>
      </c>
      <c r="F271" s="4" t="n">
        <v>22</v>
      </c>
      <c r="G271" s="5" t="n">
        <f aca="false">IFERROR(D271/E271,0)</f>
        <v>16.5052857142857</v>
      </c>
      <c r="H271" s="12" t="n">
        <f aca="false">IFERROR(F271/E271,0)</f>
        <v>0.157142857142857</v>
      </c>
    </row>
    <row r="272" customFormat="false" ht="15" hidden="false" customHeight="false" outlineLevel="0" collapsed="false">
      <c r="A272" s="6" t="n">
        <v>46109</v>
      </c>
      <c r="B272" s="4" t="s">
        <v>4639</v>
      </c>
      <c r="C272" s="4" t="s">
        <v>4634</v>
      </c>
      <c r="D272" s="5" t="n">
        <v>1464.7</v>
      </c>
      <c r="E272" s="4" t="n">
        <v>440</v>
      </c>
      <c r="F272" s="4" t="n">
        <v>340</v>
      </c>
      <c r="G272" s="5" t="n">
        <f aca="false">IFERROR(D272/E272,0)</f>
        <v>3.32886363636364</v>
      </c>
      <c r="H272" s="12" t="n">
        <f aca="false">IFERROR(F272/E272,0)</f>
        <v>0.772727272727273</v>
      </c>
    </row>
    <row r="273" customFormat="false" ht="15" hidden="false" customHeight="false" outlineLevel="0" collapsed="false">
      <c r="A273" s="6" t="n">
        <v>46110</v>
      </c>
      <c r="B273" s="4" t="s">
        <v>4631</v>
      </c>
      <c r="C273" s="4" t="s">
        <v>4636</v>
      </c>
      <c r="D273" s="5" t="n">
        <v>4718.98</v>
      </c>
      <c r="E273" s="4" t="n">
        <v>588</v>
      </c>
      <c r="F273" s="4" t="n">
        <v>328</v>
      </c>
      <c r="G273" s="5" t="n">
        <f aca="false">IFERROR(D273/E273,0)</f>
        <v>8.02547619047619</v>
      </c>
      <c r="H273" s="12" t="n">
        <f aca="false">IFERROR(F273/E273,0)</f>
        <v>0.557823129251701</v>
      </c>
    </row>
    <row r="274" customFormat="false" ht="15" hidden="false" customHeight="false" outlineLevel="0" collapsed="false">
      <c r="A274" s="6" t="n">
        <v>46111</v>
      </c>
      <c r="B274" s="4" t="s">
        <v>4637</v>
      </c>
      <c r="C274" s="4" t="s">
        <v>4632</v>
      </c>
      <c r="D274" s="5" t="n">
        <v>731.71</v>
      </c>
      <c r="E274" s="4" t="n">
        <v>547</v>
      </c>
      <c r="F274" s="4" t="n">
        <v>525</v>
      </c>
      <c r="G274" s="5" t="n">
        <f aca="false">IFERROR(D274/E274,0)</f>
        <v>1.33767824497258</v>
      </c>
      <c r="H274" s="12" t="n">
        <f aca="false">IFERROR(F274/E274,0)</f>
        <v>0.959780621572212</v>
      </c>
    </row>
    <row r="275" customFormat="false" ht="15" hidden="false" customHeight="false" outlineLevel="0" collapsed="false">
      <c r="A275" s="6" t="n">
        <v>46112</v>
      </c>
      <c r="B275" s="4" t="s">
        <v>4635</v>
      </c>
      <c r="C275" s="4" t="s">
        <v>4640</v>
      </c>
      <c r="D275" s="5" t="n">
        <v>3741.02</v>
      </c>
      <c r="E275" s="4" t="n">
        <v>628</v>
      </c>
      <c r="F275" s="4" t="n">
        <v>100</v>
      </c>
      <c r="G275" s="5" t="n">
        <f aca="false">IFERROR(D275/E275,0)</f>
        <v>5.95703821656051</v>
      </c>
      <c r="H275" s="12" t="n">
        <f aca="false">IFERROR(F275/E275,0)</f>
        <v>0.159235668789809</v>
      </c>
    </row>
    <row r="276" customFormat="false" ht="15" hidden="false" customHeight="false" outlineLevel="0" collapsed="false">
      <c r="A276" s="6" t="n">
        <v>46113</v>
      </c>
      <c r="B276" s="4" t="s">
        <v>4637</v>
      </c>
      <c r="C276" s="4" t="s">
        <v>4632</v>
      </c>
      <c r="D276" s="5" t="n">
        <v>950.71</v>
      </c>
      <c r="E276" s="4" t="n">
        <v>265</v>
      </c>
      <c r="F276" s="4" t="n">
        <v>159</v>
      </c>
      <c r="G276" s="5" t="n">
        <f aca="false">IFERROR(D276/E276,0)</f>
        <v>3.58758490566038</v>
      </c>
      <c r="H276" s="12" t="n">
        <f aca="false">IFERROR(F276/E276,0)</f>
        <v>0.6</v>
      </c>
    </row>
    <row r="277" customFormat="false" ht="15" hidden="false" customHeight="false" outlineLevel="0" collapsed="false">
      <c r="A277" s="6" t="n">
        <v>46114</v>
      </c>
      <c r="B277" s="4" t="s">
        <v>4639</v>
      </c>
      <c r="C277" s="4" t="s">
        <v>4636</v>
      </c>
      <c r="D277" s="5" t="n">
        <v>2961.74</v>
      </c>
      <c r="E277" s="4" t="n">
        <v>409</v>
      </c>
      <c r="F277" s="4" t="n">
        <v>134</v>
      </c>
      <c r="G277" s="5" t="n">
        <f aca="false">IFERROR(D277/E277,0)</f>
        <v>7.24141809290954</v>
      </c>
      <c r="H277" s="12" t="n">
        <f aca="false">IFERROR(F277/E277,0)</f>
        <v>0.327628361858191</v>
      </c>
    </row>
    <row r="278" customFormat="false" ht="15" hidden="false" customHeight="false" outlineLevel="0" collapsed="false">
      <c r="A278" s="6" t="n">
        <v>46115</v>
      </c>
      <c r="B278" s="4" t="s">
        <v>4631</v>
      </c>
      <c r="C278" s="4" t="s">
        <v>4640</v>
      </c>
      <c r="D278" s="5" t="n">
        <v>2908.6</v>
      </c>
      <c r="E278" s="4" t="n">
        <v>265</v>
      </c>
      <c r="F278" s="4" t="n">
        <v>68</v>
      </c>
      <c r="G278" s="5" t="n">
        <f aca="false">IFERROR(D278/E278,0)</f>
        <v>10.9758490566038</v>
      </c>
      <c r="H278" s="12" t="n">
        <f aca="false">IFERROR(F278/E278,0)</f>
        <v>0.256603773584906</v>
      </c>
    </row>
    <row r="279" customFormat="false" ht="15" hidden="false" customHeight="false" outlineLevel="0" collapsed="false">
      <c r="A279" s="6" t="n">
        <v>46116</v>
      </c>
      <c r="B279" s="4" t="s">
        <v>4637</v>
      </c>
      <c r="C279" s="4" t="s">
        <v>4634</v>
      </c>
      <c r="D279" s="5" t="n">
        <v>4877.01</v>
      </c>
      <c r="E279" s="4" t="n">
        <v>211</v>
      </c>
      <c r="F279" s="4" t="n">
        <v>93</v>
      </c>
      <c r="G279" s="5" t="n">
        <f aca="false">IFERROR(D279/E279,0)</f>
        <v>23.1137914691943</v>
      </c>
      <c r="H279" s="12" t="n">
        <f aca="false">IFERROR(F279/E279,0)</f>
        <v>0.440758293838863</v>
      </c>
    </row>
    <row r="280" customFormat="false" ht="15" hidden="false" customHeight="false" outlineLevel="0" collapsed="false">
      <c r="A280" s="6" t="n">
        <v>46117</v>
      </c>
      <c r="B280" s="4" t="s">
        <v>4631</v>
      </c>
      <c r="C280" s="4" t="s">
        <v>4636</v>
      </c>
      <c r="D280" s="5" t="n">
        <v>2775.24</v>
      </c>
      <c r="E280" s="4" t="n">
        <v>250</v>
      </c>
      <c r="F280" s="4" t="n">
        <v>62</v>
      </c>
      <c r="G280" s="5" t="n">
        <f aca="false">IFERROR(D280/E280,0)</f>
        <v>11.10096</v>
      </c>
      <c r="H280" s="12" t="n">
        <f aca="false">IFERROR(F280/E280,0)</f>
        <v>0.248</v>
      </c>
    </row>
    <row r="281" customFormat="false" ht="15" hidden="false" customHeight="false" outlineLevel="0" collapsed="false">
      <c r="A281" s="6" t="n">
        <v>46118</v>
      </c>
      <c r="B281" s="4" t="s">
        <v>4639</v>
      </c>
      <c r="C281" s="4" t="s">
        <v>4638</v>
      </c>
      <c r="D281" s="5" t="n">
        <v>4759.48</v>
      </c>
      <c r="E281" s="4" t="n">
        <v>55</v>
      </c>
      <c r="F281" s="4" t="n">
        <v>51</v>
      </c>
      <c r="G281" s="5" t="n">
        <f aca="false">IFERROR(D281/E281,0)</f>
        <v>86.536</v>
      </c>
      <c r="H281" s="12" t="n">
        <f aca="false">IFERROR(F281/E281,0)</f>
        <v>0.927272727272727</v>
      </c>
    </row>
    <row r="282" customFormat="false" ht="15" hidden="false" customHeight="false" outlineLevel="0" collapsed="false">
      <c r="A282" s="6" t="n">
        <v>46119</v>
      </c>
      <c r="B282" s="4" t="s">
        <v>4635</v>
      </c>
      <c r="C282" s="4" t="s">
        <v>4640</v>
      </c>
      <c r="D282" s="5" t="n">
        <v>623.76</v>
      </c>
      <c r="E282" s="4" t="n">
        <v>394</v>
      </c>
      <c r="F282" s="4" t="n">
        <v>342</v>
      </c>
      <c r="G282" s="5" t="n">
        <f aca="false">IFERROR(D282/E282,0)</f>
        <v>1.58314720812183</v>
      </c>
      <c r="H282" s="12" t="n">
        <f aca="false">IFERROR(F282/E282,0)</f>
        <v>0.868020304568528</v>
      </c>
    </row>
    <row r="283" customFormat="false" ht="15" hidden="false" customHeight="false" outlineLevel="0" collapsed="false">
      <c r="A283" s="6" t="n">
        <v>46120</v>
      </c>
      <c r="B283" s="4" t="s">
        <v>4631</v>
      </c>
      <c r="C283" s="4" t="s">
        <v>4634</v>
      </c>
      <c r="D283" s="5" t="n">
        <v>2176.92</v>
      </c>
      <c r="E283" s="4" t="n">
        <v>402</v>
      </c>
      <c r="F283" s="4" t="n">
        <v>368</v>
      </c>
      <c r="G283" s="5" t="n">
        <f aca="false">IFERROR(D283/E283,0)</f>
        <v>5.41522388059702</v>
      </c>
      <c r="H283" s="12" t="n">
        <f aca="false">IFERROR(F283/E283,0)</f>
        <v>0.915422885572139</v>
      </c>
    </row>
    <row r="284" customFormat="false" ht="15" hidden="false" customHeight="false" outlineLevel="0" collapsed="false">
      <c r="A284" s="6" t="n">
        <v>46121</v>
      </c>
      <c r="B284" s="4" t="s">
        <v>4635</v>
      </c>
      <c r="C284" s="4" t="s">
        <v>4634</v>
      </c>
      <c r="D284" s="5" t="n">
        <v>4351.94</v>
      </c>
      <c r="E284" s="4" t="n">
        <v>765</v>
      </c>
      <c r="F284" s="4" t="n">
        <v>399</v>
      </c>
      <c r="G284" s="5" t="n">
        <f aca="false">IFERROR(D284/E284,0)</f>
        <v>5.68881045751634</v>
      </c>
      <c r="H284" s="12" t="n">
        <f aca="false">IFERROR(F284/E284,0)</f>
        <v>0.52156862745098</v>
      </c>
    </row>
    <row r="285" customFormat="false" ht="15" hidden="false" customHeight="false" outlineLevel="0" collapsed="false">
      <c r="A285" s="6" t="n">
        <v>46122</v>
      </c>
      <c r="B285" s="4" t="s">
        <v>4635</v>
      </c>
      <c r="C285" s="4" t="s">
        <v>4634</v>
      </c>
      <c r="D285" s="5" t="n">
        <v>2622.05</v>
      </c>
      <c r="E285" s="4" t="n">
        <v>484</v>
      </c>
      <c r="F285" s="4" t="n">
        <v>205</v>
      </c>
      <c r="G285" s="5" t="n">
        <f aca="false">IFERROR(D285/E285,0)</f>
        <v>5.41745867768595</v>
      </c>
      <c r="H285" s="12" t="n">
        <f aca="false">IFERROR(F285/E285,0)</f>
        <v>0.423553719008264</v>
      </c>
    </row>
    <row r="286" customFormat="false" ht="15" hidden="false" customHeight="false" outlineLevel="0" collapsed="false">
      <c r="A286" s="6" t="n">
        <v>46123</v>
      </c>
      <c r="B286" s="4" t="s">
        <v>4639</v>
      </c>
      <c r="C286" s="4" t="s">
        <v>4634</v>
      </c>
      <c r="D286" s="5" t="n">
        <v>3678.29</v>
      </c>
      <c r="E286" s="4" t="n">
        <v>670</v>
      </c>
      <c r="F286" s="4" t="n">
        <v>343</v>
      </c>
      <c r="G286" s="5" t="n">
        <f aca="false">IFERROR(D286/E286,0)</f>
        <v>5.48998507462687</v>
      </c>
      <c r="H286" s="12" t="n">
        <f aca="false">IFERROR(F286/E286,0)</f>
        <v>0.511940298507463</v>
      </c>
    </row>
    <row r="287" customFormat="false" ht="15" hidden="false" customHeight="false" outlineLevel="0" collapsed="false">
      <c r="A287" s="6" t="n">
        <v>46124</v>
      </c>
      <c r="B287" s="4" t="s">
        <v>4635</v>
      </c>
      <c r="C287" s="4" t="s">
        <v>4640</v>
      </c>
      <c r="D287" s="5" t="n">
        <v>4843.51</v>
      </c>
      <c r="E287" s="4" t="n">
        <v>467</v>
      </c>
      <c r="F287" s="4" t="n">
        <v>189</v>
      </c>
      <c r="G287" s="5" t="n">
        <f aca="false">IFERROR(D287/E287,0)</f>
        <v>10.3715417558887</v>
      </c>
      <c r="H287" s="12" t="n">
        <f aca="false">IFERROR(F287/E287,0)</f>
        <v>0.404710920770878</v>
      </c>
    </row>
    <row r="288" customFormat="false" ht="15" hidden="false" customHeight="false" outlineLevel="0" collapsed="false">
      <c r="A288" s="6" t="n">
        <v>46125</v>
      </c>
      <c r="B288" s="4" t="s">
        <v>4633</v>
      </c>
      <c r="C288" s="4" t="s">
        <v>4632</v>
      </c>
      <c r="D288" s="5" t="n">
        <v>4957.86</v>
      </c>
      <c r="E288" s="4" t="n">
        <v>297</v>
      </c>
      <c r="F288" s="4" t="n">
        <v>201</v>
      </c>
      <c r="G288" s="5" t="n">
        <f aca="false">IFERROR(D288/E288,0)</f>
        <v>16.6931313131313</v>
      </c>
      <c r="H288" s="12" t="n">
        <f aca="false">IFERROR(F288/E288,0)</f>
        <v>0.676767676767677</v>
      </c>
    </row>
    <row r="289" customFormat="false" ht="15" hidden="false" customHeight="false" outlineLevel="0" collapsed="false">
      <c r="A289" s="6" t="n">
        <v>46126</v>
      </c>
      <c r="B289" s="4" t="s">
        <v>4633</v>
      </c>
      <c r="C289" s="4" t="s">
        <v>4636</v>
      </c>
      <c r="D289" s="5" t="n">
        <v>3940.37</v>
      </c>
      <c r="E289" s="4" t="n">
        <v>411</v>
      </c>
      <c r="F289" s="4" t="n">
        <v>32</v>
      </c>
      <c r="G289" s="5" t="n">
        <f aca="false">IFERROR(D289/E289,0)</f>
        <v>9.58727493917275</v>
      </c>
      <c r="H289" s="12" t="n">
        <f aca="false">IFERROR(F289/E289,0)</f>
        <v>0.0778588807785888</v>
      </c>
    </row>
    <row r="290" customFormat="false" ht="15" hidden="false" customHeight="false" outlineLevel="0" collapsed="false">
      <c r="A290" s="6" t="n">
        <v>46127</v>
      </c>
      <c r="B290" s="4" t="s">
        <v>4639</v>
      </c>
      <c r="C290" s="4" t="s">
        <v>4634</v>
      </c>
      <c r="D290" s="5" t="n">
        <v>4553.24</v>
      </c>
      <c r="E290" s="4" t="n">
        <v>149</v>
      </c>
      <c r="F290" s="4" t="n">
        <v>20</v>
      </c>
      <c r="G290" s="5" t="n">
        <f aca="false">IFERROR(D290/E290,0)</f>
        <v>30.5586577181208</v>
      </c>
      <c r="H290" s="12" t="n">
        <f aca="false">IFERROR(F290/E290,0)</f>
        <v>0.134228187919463</v>
      </c>
    </row>
    <row r="291" customFormat="false" ht="15" hidden="false" customHeight="false" outlineLevel="0" collapsed="false">
      <c r="A291" s="6" t="n">
        <v>46128</v>
      </c>
      <c r="B291" s="4" t="s">
        <v>4637</v>
      </c>
      <c r="C291" s="4" t="s">
        <v>4632</v>
      </c>
      <c r="D291" s="5" t="n">
        <v>1606.37</v>
      </c>
      <c r="E291" s="4" t="n">
        <v>42</v>
      </c>
      <c r="F291" s="4" t="n">
        <v>34</v>
      </c>
      <c r="G291" s="5" t="n">
        <f aca="false">IFERROR(D291/E291,0)</f>
        <v>38.2469047619048</v>
      </c>
      <c r="H291" s="12" t="n">
        <f aca="false">IFERROR(F291/E291,0)</f>
        <v>0.80952380952381</v>
      </c>
    </row>
    <row r="292" customFormat="false" ht="15" hidden="false" customHeight="false" outlineLevel="0" collapsed="false">
      <c r="A292" s="6" t="n">
        <v>46129</v>
      </c>
      <c r="B292" s="4" t="s">
        <v>4635</v>
      </c>
      <c r="C292" s="4" t="s">
        <v>4638</v>
      </c>
      <c r="D292" s="5" t="n">
        <v>1827.19</v>
      </c>
      <c r="E292" s="4" t="n">
        <v>653</v>
      </c>
      <c r="F292" s="4" t="n">
        <v>313</v>
      </c>
      <c r="G292" s="5" t="n">
        <f aca="false">IFERROR(D292/E292,0)</f>
        <v>2.79814701378254</v>
      </c>
      <c r="H292" s="12" t="n">
        <f aca="false">IFERROR(F292/E292,0)</f>
        <v>0.479326186830015</v>
      </c>
    </row>
    <row r="293" customFormat="false" ht="15" hidden="false" customHeight="false" outlineLevel="0" collapsed="false">
      <c r="A293" s="6" t="n">
        <v>46130</v>
      </c>
      <c r="B293" s="4" t="s">
        <v>4633</v>
      </c>
      <c r="C293" s="4" t="s">
        <v>4632</v>
      </c>
      <c r="D293" s="5" t="n">
        <v>4120.14</v>
      </c>
      <c r="E293" s="4" t="n">
        <v>209</v>
      </c>
      <c r="F293" s="4" t="n">
        <v>194</v>
      </c>
      <c r="G293" s="5" t="n">
        <f aca="false">IFERROR(D293/E293,0)</f>
        <v>19.7135885167464</v>
      </c>
      <c r="H293" s="12" t="n">
        <f aca="false">IFERROR(F293/E293,0)</f>
        <v>0.92822966507177</v>
      </c>
    </row>
    <row r="294" customFormat="false" ht="15" hidden="false" customHeight="false" outlineLevel="0" collapsed="false">
      <c r="A294" s="6" t="n">
        <v>46131</v>
      </c>
      <c r="B294" s="4" t="s">
        <v>4633</v>
      </c>
      <c r="C294" s="4" t="s">
        <v>4640</v>
      </c>
      <c r="D294" s="5" t="n">
        <v>927.33</v>
      </c>
      <c r="E294" s="4" t="n">
        <v>400</v>
      </c>
      <c r="F294" s="4" t="n">
        <v>294</v>
      </c>
      <c r="G294" s="5" t="n">
        <f aca="false">IFERROR(D294/E294,0)</f>
        <v>2.318325</v>
      </c>
      <c r="H294" s="12" t="n">
        <f aca="false">IFERROR(F294/E294,0)</f>
        <v>0.735</v>
      </c>
    </row>
    <row r="295" customFormat="false" ht="15" hidden="false" customHeight="false" outlineLevel="0" collapsed="false">
      <c r="A295" s="6" t="n">
        <v>46132</v>
      </c>
      <c r="B295" s="4" t="s">
        <v>4637</v>
      </c>
      <c r="C295" s="4" t="s">
        <v>4636</v>
      </c>
      <c r="D295" s="5" t="n">
        <v>1684.91</v>
      </c>
      <c r="E295" s="4" t="n">
        <v>477</v>
      </c>
      <c r="F295" s="4" t="n">
        <v>93</v>
      </c>
      <c r="G295" s="5" t="n">
        <f aca="false">IFERROR(D295/E295,0)</f>
        <v>3.53230607966457</v>
      </c>
      <c r="H295" s="12" t="n">
        <f aca="false">IFERROR(F295/E295,0)</f>
        <v>0.19496855345912</v>
      </c>
    </row>
    <row r="296" customFormat="false" ht="15" hidden="false" customHeight="false" outlineLevel="0" collapsed="false">
      <c r="A296" s="6" t="n">
        <v>46133</v>
      </c>
      <c r="B296" s="4" t="s">
        <v>4639</v>
      </c>
      <c r="C296" s="4" t="s">
        <v>4634</v>
      </c>
      <c r="D296" s="5" t="n">
        <v>314.34</v>
      </c>
      <c r="E296" s="4" t="n">
        <v>302</v>
      </c>
      <c r="F296" s="4" t="n">
        <v>69</v>
      </c>
      <c r="G296" s="5" t="n">
        <f aca="false">IFERROR(D296/E296,0)</f>
        <v>1.04086092715232</v>
      </c>
      <c r="H296" s="12" t="n">
        <f aca="false">IFERROR(F296/E296,0)</f>
        <v>0.228476821192053</v>
      </c>
    </row>
    <row r="297" customFormat="false" ht="15" hidden="false" customHeight="false" outlineLevel="0" collapsed="false">
      <c r="A297" s="6" t="n">
        <v>46134</v>
      </c>
      <c r="B297" s="4" t="s">
        <v>4631</v>
      </c>
      <c r="C297" s="4" t="s">
        <v>4636</v>
      </c>
      <c r="D297" s="5" t="n">
        <v>3940.37</v>
      </c>
      <c r="E297" s="4" t="n">
        <v>622</v>
      </c>
      <c r="F297" s="4" t="n">
        <v>121</v>
      </c>
      <c r="G297" s="5" t="n">
        <f aca="false">IFERROR(D297/E297,0)</f>
        <v>6.335</v>
      </c>
      <c r="H297" s="12" t="n">
        <f aca="false">IFERROR(F297/E297,0)</f>
        <v>0.194533762057878</v>
      </c>
    </row>
    <row r="298" customFormat="false" ht="15" hidden="false" customHeight="false" outlineLevel="0" collapsed="false">
      <c r="A298" s="6" t="n">
        <v>46135</v>
      </c>
      <c r="B298" s="4" t="s">
        <v>4631</v>
      </c>
      <c r="C298" s="4" t="s">
        <v>4632</v>
      </c>
      <c r="D298" s="5" t="n">
        <v>2077.83</v>
      </c>
      <c r="E298" s="4" t="n">
        <v>312</v>
      </c>
      <c r="F298" s="4" t="n">
        <v>26</v>
      </c>
      <c r="G298" s="5" t="n">
        <f aca="false">IFERROR(D298/E298,0)</f>
        <v>6.65971153846154</v>
      </c>
      <c r="H298" s="12" t="n">
        <f aca="false">IFERROR(F298/E298,0)</f>
        <v>0.0833333333333333</v>
      </c>
    </row>
    <row r="299" customFormat="false" ht="15" hidden="false" customHeight="false" outlineLevel="0" collapsed="false">
      <c r="A299" s="6" t="n">
        <v>46136</v>
      </c>
      <c r="B299" s="4" t="s">
        <v>4633</v>
      </c>
      <c r="C299" s="4" t="s">
        <v>4638</v>
      </c>
      <c r="D299" s="5" t="n">
        <v>3021.73</v>
      </c>
      <c r="E299" s="4" t="n">
        <v>273</v>
      </c>
      <c r="F299" s="4" t="n">
        <v>80</v>
      </c>
      <c r="G299" s="5" t="n">
        <f aca="false">IFERROR(D299/E299,0)</f>
        <v>11.0686080586081</v>
      </c>
      <c r="H299" s="12" t="n">
        <f aca="false">IFERROR(F299/E299,0)</f>
        <v>0.293040293040293</v>
      </c>
    </row>
    <row r="300" customFormat="false" ht="15" hidden="false" customHeight="false" outlineLevel="0" collapsed="false">
      <c r="A300" s="6" t="n">
        <v>46137</v>
      </c>
      <c r="B300" s="4" t="s">
        <v>4639</v>
      </c>
      <c r="C300" s="4" t="s">
        <v>4638</v>
      </c>
      <c r="D300" s="5" t="n">
        <v>1679.74</v>
      </c>
      <c r="E300" s="4" t="n">
        <v>344</v>
      </c>
      <c r="F300" s="4" t="n">
        <v>158</v>
      </c>
      <c r="G300" s="5" t="n">
        <f aca="false">IFERROR(D300/E300,0)</f>
        <v>4.88296511627907</v>
      </c>
      <c r="H300" s="12" t="n">
        <f aca="false">IFERROR(F300/E300,0)</f>
        <v>0.459302325581395</v>
      </c>
    </row>
    <row r="301" customFormat="false" ht="15" hidden="false" customHeight="false" outlineLevel="0" collapsed="false">
      <c r="A301" s="6" t="n">
        <v>46138</v>
      </c>
      <c r="B301" s="4" t="s">
        <v>4633</v>
      </c>
      <c r="C301" s="4" t="s">
        <v>4636</v>
      </c>
      <c r="D301" s="5" t="n">
        <v>2400.82</v>
      </c>
      <c r="E301" s="4" t="n">
        <v>442</v>
      </c>
      <c r="F301" s="4" t="n">
        <v>112</v>
      </c>
      <c r="G301" s="5" t="n">
        <f aca="false">IFERROR(D301/E301,0)</f>
        <v>5.43171945701358</v>
      </c>
      <c r="H301" s="12" t="n">
        <f aca="false">IFERROR(F301/E301,0)</f>
        <v>0.253393665158371</v>
      </c>
    </row>
    <row r="302" customFormat="false" ht="15" hidden="false" customHeight="false" outlineLevel="0" collapsed="false">
      <c r="A302" s="6" t="n">
        <v>46139</v>
      </c>
      <c r="B302" s="4" t="s">
        <v>4637</v>
      </c>
      <c r="C302" s="4" t="s">
        <v>4632</v>
      </c>
      <c r="D302" s="5" t="n">
        <v>745.19</v>
      </c>
      <c r="E302" s="4" t="n">
        <v>717</v>
      </c>
      <c r="F302" s="4" t="n">
        <v>18</v>
      </c>
      <c r="G302" s="5" t="n">
        <f aca="false">IFERROR(D302/E302,0)</f>
        <v>1.03931659693166</v>
      </c>
      <c r="H302" s="12" t="n">
        <f aca="false">IFERROR(F302/E302,0)</f>
        <v>0.0251046025104603</v>
      </c>
    </row>
    <row r="303" customFormat="false" ht="15" hidden="false" customHeight="false" outlineLevel="0" collapsed="false">
      <c r="A303" s="6" t="n">
        <v>46140</v>
      </c>
      <c r="B303" s="4" t="s">
        <v>4633</v>
      </c>
      <c r="C303" s="4" t="s">
        <v>4632</v>
      </c>
      <c r="D303" s="5" t="n">
        <v>3316.68</v>
      </c>
      <c r="E303" s="4" t="n">
        <v>768</v>
      </c>
      <c r="F303" s="4" t="n">
        <v>124</v>
      </c>
      <c r="G303" s="5" t="n">
        <f aca="false">IFERROR(D303/E303,0)</f>
        <v>4.31859375</v>
      </c>
      <c r="H303" s="12" t="n">
        <f aca="false">IFERROR(F303/E303,0)</f>
        <v>0.161458333333333</v>
      </c>
    </row>
    <row r="304" customFormat="false" ht="15" hidden="false" customHeight="false" outlineLevel="0" collapsed="false">
      <c r="A304" s="6" t="n">
        <v>46141</v>
      </c>
      <c r="B304" s="4" t="s">
        <v>4637</v>
      </c>
      <c r="C304" s="4" t="s">
        <v>4638</v>
      </c>
      <c r="D304" s="5" t="n">
        <v>4154.27</v>
      </c>
      <c r="E304" s="4" t="n">
        <v>191</v>
      </c>
      <c r="F304" s="4" t="n">
        <v>36</v>
      </c>
      <c r="G304" s="5" t="n">
        <f aca="false">IFERROR(D304/E304,0)</f>
        <v>21.7501047120419</v>
      </c>
      <c r="H304" s="12" t="n">
        <f aca="false">IFERROR(F304/E304,0)</f>
        <v>0.18848167539267</v>
      </c>
    </row>
    <row r="305" customFormat="false" ht="15" hidden="false" customHeight="false" outlineLevel="0" collapsed="false">
      <c r="A305" s="6" t="n">
        <v>46142</v>
      </c>
      <c r="B305" s="4" t="s">
        <v>4637</v>
      </c>
      <c r="C305" s="4" t="s">
        <v>4632</v>
      </c>
      <c r="D305" s="5" t="n">
        <v>1999.71</v>
      </c>
      <c r="E305" s="4" t="n">
        <v>582</v>
      </c>
      <c r="F305" s="4" t="n">
        <v>457</v>
      </c>
      <c r="G305" s="5" t="n">
        <f aca="false">IFERROR(D305/E305,0)</f>
        <v>3.43592783505155</v>
      </c>
      <c r="H305" s="12" t="n">
        <f aca="false">IFERROR(F305/E305,0)</f>
        <v>0.785223367697595</v>
      </c>
    </row>
    <row r="306" customFormat="false" ht="15" hidden="false" customHeight="false" outlineLevel="0" collapsed="false">
      <c r="A306" s="6" t="n">
        <v>46143</v>
      </c>
      <c r="B306" s="4" t="s">
        <v>4631</v>
      </c>
      <c r="C306" s="4" t="s">
        <v>4634</v>
      </c>
      <c r="D306" s="5" t="n">
        <v>1584.04</v>
      </c>
      <c r="E306" s="4" t="n">
        <v>180</v>
      </c>
      <c r="F306" s="4" t="n">
        <v>53</v>
      </c>
      <c r="G306" s="5" t="n">
        <f aca="false">IFERROR(D306/E306,0)</f>
        <v>8.80022222222222</v>
      </c>
      <c r="H306" s="12" t="n">
        <f aca="false">IFERROR(F306/E306,0)</f>
        <v>0.294444444444444</v>
      </c>
    </row>
    <row r="307" customFormat="false" ht="15" hidden="false" customHeight="false" outlineLevel="0" collapsed="false">
      <c r="A307" s="6" t="n">
        <v>46144</v>
      </c>
      <c r="B307" s="4" t="s">
        <v>4635</v>
      </c>
      <c r="C307" s="4" t="s">
        <v>4640</v>
      </c>
      <c r="D307" s="5" t="n">
        <v>3760.84</v>
      </c>
      <c r="E307" s="4" t="n">
        <v>200</v>
      </c>
      <c r="F307" s="4" t="n">
        <v>110</v>
      </c>
      <c r="G307" s="5" t="n">
        <f aca="false">IFERROR(D307/E307,0)</f>
        <v>18.8042</v>
      </c>
      <c r="H307" s="12" t="n">
        <f aca="false">IFERROR(F307/E307,0)</f>
        <v>0.55</v>
      </c>
    </row>
    <row r="308" customFormat="false" ht="15" hidden="false" customHeight="false" outlineLevel="0" collapsed="false">
      <c r="A308" s="6" t="n">
        <v>46145</v>
      </c>
      <c r="B308" s="4" t="s">
        <v>4633</v>
      </c>
      <c r="C308" s="4" t="s">
        <v>4638</v>
      </c>
      <c r="D308" s="5" t="n">
        <v>1483.87</v>
      </c>
      <c r="E308" s="4" t="n">
        <v>716</v>
      </c>
      <c r="F308" s="4" t="n">
        <v>666</v>
      </c>
      <c r="G308" s="5" t="n">
        <f aca="false">IFERROR(D308/E308,0)</f>
        <v>2.07244413407821</v>
      </c>
      <c r="H308" s="12" t="n">
        <f aca="false">IFERROR(F308/E308,0)</f>
        <v>0.930167597765363</v>
      </c>
    </row>
    <row r="309" customFormat="false" ht="15" hidden="false" customHeight="false" outlineLevel="0" collapsed="false">
      <c r="A309" s="6" t="n">
        <v>46146</v>
      </c>
      <c r="B309" s="4" t="s">
        <v>4639</v>
      </c>
      <c r="C309" s="4" t="s">
        <v>4638</v>
      </c>
      <c r="D309" s="5" t="n">
        <v>784.04</v>
      </c>
      <c r="E309" s="4" t="n">
        <v>218</v>
      </c>
      <c r="F309" s="4" t="n">
        <v>164</v>
      </c>
      <c r="G309" s="5" t="n">
        <f aca="false">IFERROR(D309/E309,0)</f>
        <v>3.59651376146789</v>
      </c>
      <c r="H309" s="12" t="n">
        <f aca="false">IFERROR(F309/E309,0)</f>
        <v>0.752293577981651</v>
      </c>
    </row>
    <row r="310" customFormat="false" ht="15" hidden="false" customHeight="false" outlineLevel="0" collapsed="false">
      <c r="A310" s="6" t="n">
        <v>46147</v>
      </c>
      <c r="B310" s="4" t="s">
        <v>4631</v>
      </c>
      <c r="C310" s="4" t="s">
        <v>4636</v>
      </c>
      <c r="D310" s="5" t="n">
        <v>3534.63</v>
      </c>
      <c r="E310" s="4" t="n">
        <v>440</v>
      </c>
      <c r="F310" s="4" t="n">
        <v>407</v>
      </c>
      <c r="G310" s="5" t="n">
        <f aca="false">IFERROR(D310/E310,0)</f>
        <v>8.03325</v>
      </c>
      <c r="H310" s="12" t="n">
        <f aca="false">IFERROR(F310/E310,0)</f>
        <v>0.925</v>
      </c>
    </row>
    <row r="311" customFormat="false" ht="15" hidden="false" customHeight="false" outlineLevel="0" collapsed="false">
      <c r="A311" s="6" t="n">
        <v>46148</v>
      </c>
      <c r="B311" s="4" t="s">
        <v>4633</v>
      </c>
      <c r="C311" s="4" t="s">
        <v>4636</v>
      </c>
      <c r="D311" s="5" t="n">
        <v>1307.18</v>
      </c>
      <c r="E311" s="4" t="n">
        <v>475</v>
      </c>
      <c r="F311" s="4" t="n">
        <v>236</v>
      </c>
      <c r="G311" s="5" t="n">
        <f aca="false">IFERROR(D311/E311,0)</f>
        <v>2.75195789473684</v>
      </c>
      <c r="H311" s="12" t="n">
        <f aca="false">IFERROR(F311/E311,0)</f>
        <v>0.496842105263158</v>
      </c>
    </row>
    <row r="312" customFormat="false" ht="15" hidden="false" customHeight="false" outlineLevel="0" collapsed="false">
      <c r="A312" s="6" t="n">
        <v>46149</v>
      </c>
      <c r="B312" s="4" t="s">
        <v>4631</v>
      </c>
      <c r="C312" s="4" t="s">
        <v>4640</v>
      </c>
      <c r="D312" s="5" t="n">
        <v>2992.2</v>
      </c>
      <c r="E312" s="4" t="n">
        <v>429</v>
      </c>
      <c r="F312" s="4" t="n">
        <v>349</v>
      </c>
      <c r="G312" s="5" t="n">
        <f aca="false">IFERROR(D312/E312,0)</f>
        <v>6.97482517482518</v>
      </c>
      <c r="H312" s="12" t="n">
        <f aca="false">IFERROR(F312/E312,0)</f>
        <v>0.813519813519814</v>
      </c>
    </row>
    <row r="313" customFormat="false" ht="15" hidden="false" customHeight="false" outlineLevel="0" collapsed="false">
      <c r="A313" s="6" t="n">
        <v>46150</v>
      </c>
      <c r="B313" s="4" t="s">
        <v>4637</v>
      </c>
      <c r="C313" s="4" t="s">
        <v>4634</v>
      </c>
      <c r="D313" s="5" t="n">
        <v>1144.43</v>
      </c>
      <c r="E313" s="4" t="n">
        <v>499</v>
      </c>
      <c r="F313" s="4" t="n">
        <v>1</v>
      </c>
      <c r="G313" s="5" t="n">
        <f aca="false">IFERROR(D313/E313,0)</f>
        <v>2.29344689378758</v>
      </c>
      <c r="H313" s="12" t="n">
        <f aca="false">IFERROR(F313/E313,0)</f>
        <v>0.00200400801603206</v>
      </c>
    </row>
    <row r="314" customFormat="false" ht="15" hidden="false" customHeight="false" outlineLevel="0" collapsed="false">
      <c r="A314" s="6" t="n">
        <v>46151</v>
      </c>
      <c r="B314" s="4" t="s">
        <v>4631</v>
      </c>
      <c r="C314" s="4" t="s">
        <v>4636</v>
      </c>
      <c r="D314" s="5" t="n">
        <v>4577.38</v>
      </c>
      <c r="E314" s="4" t="n">
        <v>681</v>
      </c>
      <c r="F314" s="4" t="n">
        <v>47</v>
      </c>
      <c r="G314" s="5" t="n">
        <f aca="false">IFERROR(D314/E314,0)</f>
        <v>6.72155653450808</v>
      </c>
      <c r="H314" s="12" t="n">
        <f aca="false">IFERROR(F314/E314,0)</f>
        <v>0.0690161527165932</v>
      </c>
    </row>
    <row r="315" customFormat="false" ht="15" hidden="false" customHeight="false" outlineLevel="0" collapsed="false">
      <c r="A315" s="6" t="n">
        <v>46152</v>
      </c>
      <c r="B315" s="4" t="s">
        <v>4637</v>
      </c>
      <c r="C315" s="4" t="s">
        <v>4634</v>
      </c>
      <c r="D315" s="5" t="n">
        <v>4114.94</v>
      </c>
      <c r="E315" s="4" t="n">
        <v>569</v>
      </c>
      <c r="F315" s="4" t="n">
        <v>64</v>
      </c>
      <c r="G315" s="5" t="n">
        <f aca="false">IFERROR(D315/E315,0)</f>
        <v>7.23188049209139</v>
      </c>
      <c r="H315" s="12" t="n">
        <f aca="false">IFERROR(F315/E315,0)</f>
        <v>0.112478031634446</v>
      </c>
    </row>
    <row r="316" customFormat="false" ht="15" hidden="false" customHeight="false" outlineLevel="0" collapsed="false">
      <c r="A316" s="6" t="n">
        <v>46153</v>
      </c>
      <c r="B316" s="4" t="s">
        <v>4637</v>
      </c>
      <c r="C316" s="4" t="s">
        <v>4638</v>
      </c>
      <c r="D316" s="5" t="n">
        <v>1796.05</v>
      </c>
      <c r="E316" s="4" t="n">
        <v>551</v>
      </c>
      <c r="F316" s="4" t="n">
        <v>46</v>
      </c>
      <c r="G316" s="5" t="n">
        <f aca="false">IFERROR(D316/E316,0)</f>
        <v>3.25961887477314</v>
      </c>
      <c r="H316" s="12" t="n">
        <f aca="false">IFERROR(F316/E316,0)</f>
        <v>0.0834845735027223</v>
      </c>
    </row>
    <row r="317" customFormat="false" ht="15" hidden="false" customHeight="false" outlineLevel="0" collapsed="false">
      <c r="A317" s="6" t="n">
        <v>46154</v>
      </c>
      <c r="B317" s="4" t="s">
        <v>4639</v>
      </c>
      <c r="C317" s="4" t="s">
        <v>4638</v>
      </c>
      <c r="D317" s="5" t="n">
        <v>4623.68</v>
      </c>
      <c r="E317" s="4" t="n">
        <v>515</v>
      </c>
      <c r="F317" s="4" t="n">
        <v>182</v>
      </c>
      <c r="G317" s="5" t="n">
        <f aca="false">IFERROR(D317/E317,0)</f>
        <v>8.97801941747573</v>
      </c>
      <c r="H317" s="12" t="n">
        <f aca="false">IFERROR(F317/E317,0)</f>
        <v>0.353398058252427</v>
      </c>
    </row>
    <row r="318" customFormat="false" ht="15" hidden="false" customHeight="false" outlineLevel="0" collapsed="false">
      <c r="A318" s="6" t="n">
        <v>46155</v>
      </c>
      <c r="B318" s="4" t="s">
        <v>4639</v>
      </c>
      <c r="C318" s="4" t="s">
        <v>4638</v>
      </c>
      <c r="D318" s="5" t="n">
        <v>1718.65</v>
      </c>
      <c r="E318" s="4" t="n">
        <v>347</v>
      </c>
      <c r="F318" s="4" t="n">
        <v>237</v>
      </c>
      <c r="G318" s="5" t="n">
        <f aca="false">IFERROR(D318/E318,0)</f>
        <v>4.9528818443804</v>
      </c>
      <c r="H318" s="12" t="n">
        <f aca="false">IFERROR(F318/E318,0)</f>
        <v>0.68299711815562</v>
      </c>
    </row>
    <row r="319" customFormat="false" ht="15" hidden="false" customHeight="false" outlineLevel="0" collapsed="false">
      <c r="A319" s="6" t="n">
        <v>46156</v>
      </c>
      <c r="B319" s="4" t="s">
        <v>4639</v>
      </c>
      <c r="C319" s="4" t="s">
        <v>4632</v>
      </c>
      <c r="D319" s="5" t="n">
        <v>2270.76</v>
      </c>
      <c r="E319" s="4" t="n">
        <v>638</v>
      </c>
      <c r="F319" s="4" t="n">
        <v>308</v>
      </c>
      <c r="G319" s="5" t="n">
        <f aca="false">IFERROR(D319/E319,0)</f>
        <v>3.55918495297806</v>
      </c>
      <c r="H319" s="12" t="n">
        <f aca="false">IFERROR(F319/E319,0)</f>
        <v>0.482758620689655</v>
      </c>
    </row>
    <row r="320" customFormat="false" ht="15" hidden="false" customHeight="false" outlineLevel="0" collapsed="false">
      <c r="A320" s="6" t="n">
        <v>46157</v>
      </c>
      <c r="B320" s="4" t="s">
        <v>4633</v>
      </c>
      <c r="C320" s="4" t="s">
        <v>4632</v>
      </c>
      <c r="D320" s="5" t="n">
        <v>3538.42</v>
      </c>
      <c r="E320" s="4" t="n">
        <v>146</v>
      </c>
      <c r="F320" s="4" t="n">
        <v>55</v>
      </c>
      <c r="G320" s="5" t="n">
        <f aca="false">IFERROR(D320/E320,0)</f>
        <v>24.2357534246575</v>
      </c>
      <c r="H320" s="12" t="n">
        <f aca="false">IFERROR(F320/E320,0)</f>
        <v>0.376712328767123</v>
      </c>
    </row>
    <row r="321" customFormat="false" ht="15" hidden="false" customHeight="false" outlineLevel="0" collapsed="false">
      <c r="A321" s="6" t="n">
        <v>46158</v>
      </c>
      <c r="B321" s="4" t="s">
        <v>4633</v>
      </c>
      <c r="C321" s="4" t="s">
        <v>4636</v>
      </c>
      <c r="D321" s="5" t="n">
        <v>4079.08</v>
      </c>
      <c r="E321" s="4" t="n">
        <v>730</v>
      </c>
      <c r="F321" s="4" t="n">
        <v>88</v>
      </c>
      <c r="G321" s="5" t="n">
        <f aca="false">IFERROR(D321/E321,0)</f>
        <v>5.58778082191781</v>
      </c>
      <c r="H321" s="12" t="n">
        <f aca="false">IFERROR(F321/E321,0)</f>
        <v>0.120547945205479</v>
      </c>
    </row>
    <row r="322" customFormat="false" ht="15" hidden="false" customHeight="false" outlineLevel="0" collapsed="false">
      <c r="A322" s="6" t="n">
        <v>46159</v>
      </c>
      <c r="B322" s="4" t="s">
        <v>4639</v>
      </c>
      <c r="C322" s="4" t="s">
        <v>4640</v>
      </c>
      <c r="D322" s="5" t="n">
        <v>4565.06</v>
      </c>
      <c r="E322" s="4" t="n">
        <v>223</v>
      </c>
      <c r="F322" s="4" t="n">
        <v>31</v>
      </c>
      <c r="G322" s="5" t="n">
        <f aca="false">IFERROR(D322/E322,0)</f>
        <v>20.4711210762332</v>
      </c>
      <c r="H322" s="12" t="n">
        <f aca="false">IFERROR(F322/E322,0)</f>
        <v>0.139013452914798</v>
      </c>
    </row>
    <row r="323" customFormat="false" ht="15" hidden="false" customHeight="false" outlineLevel="0" collapsed="false">
      <c r="A323" s="6" t="n">
        <v>46160</v>
      </c>
      <c r="B323" s="4" t="s">
        <v>4639</v>
      </c>
      <c r="C323" s="4" t="s">
        <v>4632</v>
      </c>
      <c r="D323" s="5" t="n">
        <v>3206.56</v>
      </c>
      <c r="E323" s="4" t="n">
        <v>379</v>
      </c>
      <c r="F323" s="4" t="n">
        <v>363</v>
      </c>
      <c r="G323" s="5" t="n">
        <f aca="false">IFERROR(D323/E323,0)</f>
        <v>8.46058047493404</v>
      </c>
      <c r="H323" s="12" t="n">
        <f aca="false">IFERROR(F323/E323,0)</f>
        <v>0.95778364116095</v>
      </c>
    </row>
    <row r="324" customFormat="false" ht="15" hidden="false" customHeight="false" outlineLevel="0" collapsed="false">
      <c r="A324" s="6" t="n">
        <v>46161</v>
      </c>
      <c r="B324" s="4" t="s">
        <v>4637</v>
      </c>
      <c r="C324" s="4" t="s">
        <v>4632</v>
      </c>
      <c r="D324" s="5" t="n">
        <v>3933.94</v>
      </c>
      <c r="E324" s="4" t="n">
        <v>200</v>
      </c>
      <c r="F324" s="4" t="n">
        <v>184</v>
      </c>
      <c r="G324" s="5" t="n">
        <f aca="false">IFERROR(D324/E324,0)</f>
        <v>19.6697</v>
      </c>
      <c r="H324" s="12" t="n">
        <f aca="false">IFERROR(F324/E324,0)</f>
        <v>0.92</v>
      </c>
    </row>
    <row r="325" customFormat="false" ht="15" hidden="false" customHeight="false" outlineLevel="0" collapsed="false">
      <c r="A325" s="6" t="n">
        <v>46162</v>
      </c>
      <c r="B325" s="4" t="s">
        <v>4639</v>
      </c>
      <c r="C325" s="4" t="s">
        <v>4634</v>
      </c>
      <c r="D325" s="5" t="n">
        <v>3313.16</v>
      </c>
      <c r="E325" s="4" t="n">
        <v>609</v>
      </c>
      <c r="F325" s="4" t="n">
        <v>496</v>
      </c>
      <c r="G325" s="5" t="n">
        <f aca="false">IFERROR(D325/E325,0)</f>
        <v>5.44032840722496</v>
      </c>
      <c r="H325" s="12" t="n">
        <f aca="false">IFERROR(F325/E325,0)</f>
        <v>0.814449917898194</v>
      </c>
    </row>
    <row r="326" customFormat="false" ht="15" hidden="false" customHeight="false" outlineLevel="0" collapsed="false">
      <c r="A326" s="6" t="n">
        <v>46163</v>
      </c>
      <c r="B326" s="4" t="s">
        <v>4631</v>
      </c>
      <c r="C326" s="4" t="s">
        <v>4636</v>
      </c>
      <c r="D326" s="5" t="n">
        <v>857.15</v>
      </c>
      <c r="E326" s="4" t="n">
        <v>402</v>
      </c>
      <c r="F326" s="4" t="n">
        <v>315</v>
      </c>
      <c r="G326" s="5" t="n">
        <f aca="false">IFERROR(D326/E326,0)</f>
        <v>2.13221393034826</v>
      </c>
      <c r="H326" s="12" t="n">
        <f aca="false">IFERROR(F326/E326,0)</f>
        <v>0.783582089552239</v>
      </c>
    </row>
    <row r="327" customFormat="false" ht="15" hidden="false" customHeight="false" outlineLevel="0" collapsed="false">
      <c r="A327" s="6" t="n">
        <v>46164</v>
      </c>
      <c r="B327" s="4" t="s">
        <v>4639</v>
      </c>
      <c r="C327" s="4" t="s">
        <v>4640</v>
      </c>
      <c r="D327" s="5" t="n">
        <v>4570.34</v>
      </c>
      <c r="E327" s="4" t="n">
        <v>171</v>
      </c>
      <c r="F327" s="4" t="n">
        <v>43</v>
      </c>
      <c r="G327" s="5" t="n">
        <f aca="false">IFERROR(D327/E327,0)</f>
        <v>26.727134502924</v>
      </c>
      <c r="H327" s="12" t="n">
        <f aca="false">IFERROR(F327/E327,0)</f>
        <v>0.251461988304094</v>
      </c>
    </row>
    <row r="328" customFormat="false" ht="15" hidden="false" customHeight="false" outlineLevel="0" collapsed="false">
      <c r="A328" s="6" t="n">
        <v>46165</v>
      </c>
      <c r="B328" s="4" t="s">
        <v>4635</v>
      </c>
      <c r="C328" s="4" t="s">
        <v>4632</v>
      </c>
      <c r="D328" s="5" t="n">
        <v>1327.49</v>
      </c>
      <c r="E328" s="4" t="n">
        <v>650</v>
      </c>
      <c r="F328" s="4" t="n">
        <v>194</v>
      </c>
      <c r="G328" s="5" t="n">
        <f aca="false">IFERROR(D328/E328,0)</f>
        <v>2.04229230769231</v>
      </c>
      <c r="H328" s="12" t="n">
        <f aca="false">IFERROR(F328/E328,0)</f>
        <v>0.298461538461538</v>
      </c>
    </row>
    <row r="329" customFormat="false" ht="15" hidden="false" customHeight="false" outlineLevel="0" collapsed="false">
      <c r="A329" s="6" t="n">
        <v>46166</v>
      </c>
      <c r="B329" s="4" t="s">
        <v>4631</v>
      </c>
      <c r="C329" s="4" t="s">
        <v>4640</v>
      </c>
      <c r="D329" s="5" t="n">
        <v>3137.64</v>
      </c>
      <c r="E329" s="4" t="n">
        <v>21</v>
      </c>
      <c r="F329" s="4" t="n">
        <v>9</v>
      </c>
      <c r="G329" s="5" t="n">
        <f aca="false">IFERROR(D329/E329,0)</f>
        <v>149.411428571429</v>
      </c>
      <c r="H329" s="12" t="n">
        <f aca="false">IFERROR(F329/E329,0)</f>
        <v>0.428571428571429</v>
      </c>
    </row>
    <row r="330" customFormat="false" ht="15" hidden="false" customHeight="false" outlineLevel="0" collapsed="false">
      <c r="A330" s="6" t="n">
        <v>46167</v>
      </c>
      <c r="B330" s="4" t="s">
        <v>4631</v>
      </c>
      <c r="C330" s="4" t="s">
        <v>4636</v>
      </c>
      <c r="D330" s="5" t="n">
        <v>3533.15</v>
      </c>
      <c r="E330" s="4" t="n">
        <v>247</v>
      </c>
      <c r="F330" s="4" t="n">
        <v>200</v>
      </c>
      <c r="G330" s="5" t="n">
        <f aca="false">IFERROR(D330/E330,0)</f>
        <v>14.3042510121458</v>
      </c>
      <c r="H330" s="12" t="n">
        <f aca="false">IFERROR(F330/E330,0)</f>
        <v>0.809716599190283</v>
      </c>
    </row>
    <row r="331" customFormat="false" ht="15" hidden="false" customHeight="false" outlineLevel="0" collapsed="false">
      <c r="A331" s="6" t="n">
        <v>46168</v>
      </c>
      <c r="B331" s="4" t="s">
        <v>4637</v>
      </c>
      <c r="C331" s="4" t="s">
        <v>4632</v>
      </c>
      <c r="D331" s="5" t="n">
        <v>863.71</v>
      </c>
      <c r="E331" s="4" t="n">
        <v>453</v>
      </c>
      <c r="F331" s="4" t="n">
        <v>218</v>
      </c>
      <c r="G331" s="5" t="n">
        <f aca="false">IFERROR(D331/E331,0)</f>
        <v>1.90664459161148</v>
      </c>
      <c r="H331" s="12" t="n">
        <f aca="false">IFERROR(F331/E331,0)</f>
        <v>0.481236203090508</v>
      </c>
    </row>
    <row r="332" customFormat="false" ht="15" hidden="false" customHeight="false" outlineLevel="0" collapsed="false">
      <c r="A332" s="6" t="n">
        <v>46169</v>
      </c>
      <c r="B332" s="4" t="s">
        <v>4633</v>
      </c>
      <c r="C332" s="4" t="s">
        <v>4638</v>
      </c>
      <c r="D332" s="5" t="n">
        <v>1912.54</v>
      </c>
      <c r="E332" s="4" t="n">
        <v>55</v>
      </c>
      <c r="F332" s="4" t="n">
        <v>30</v>
      </c>
      <c r="G332" s="5" t="n">
        <f aca="false">IFERROR(D332/E332,0)</f>
        <v>34.7734545454546</v>
      </c>
      <c r="H332" s="12" t="n">
        <f aca="false">IFERROR(F332/E332,0)</f>
        <v>0.545454545454545</v>
      </c>
    </row>
    <row r="333" customFormat="false" ht="15" hidden="false" customHeight="false" outlineLevel="0" collapsed="false">
      <c r="A333" s="6" t="n">
        <v>46170</v>
      </c>
      <c r="B333" s="4" t="s">
        <v>4637</v>
      </c>
      <c r="C333" s="4" t="s">
        <v>4632</v>
      </c>
      <c r="D333" s="5" t="n">
        <v>4560.14</v>
      </c>
      <c r="E333" s="4" t="n">
        <v>584</v>
      </c>
      <c r="F333" s="4" t="n">
        <v>470</v>
      </c>
      <c r="G333" s="5" t="n">
        <f aca="false">IFERROR(D333/E333,0)</f>
        <v>7.80845890410959</v>
      </c>
      <c r="H333" s="12" t="n">
        <f aca="false">IFERROR(F333/E333,0)</f>
        <v>0.804794520547945</v>
      </c>
    </row>
    <row r="334" customFormat="false" ht="15" hidden="false" customHeight="false" outlineLevel="0" collapsed="false">
      <c r="A334" s="6" t="n">
        <v>46171</v>
      </c>
      <c r="B334" s="4" t="s">
        <v>4637</v>
      </c>
      <c r="C334" s="4" t="s">
        <v>4632</v>
      </c>
      <c r="D334" s="5" t="n">
        <v>1140.33</v>
      </c>
      <c r="E334" s="4" t="n">
        <v>641</v>
      </c>
      <c r="F334" s="4" t="n">
        <v>509</v>
      </c>
      <c r="G334" s="5" t="n">
        <f aca="false">IFERROR(D334/E334,0)</f>
        <v>1.77898595943838</v>
      </c>
      <c r="H334" s="12" t="n">
        <f aca="false">IFERROR(F334/E334,0)</f>
        <v>0.794071762870515</v>
      </c>
    </row>
    <row r="335" customFormat="false" ht="15" hidden="false" customHeight="false" outlineLevel="0" collapsed="false">
      <c r="A335" s="6" t="n">
        <v>46172</v>
      </c>
      <c r="B335" s="4" t="s">
        <v>4637</v>
      </c>
      <c r="C335" s="4" t="s">
        <v>4638</v>
      </c>
      <c r="D335" s="5" t="n">
        <v>4082.9</v>
      </c>
      <c r="E335" s="4" t="n">
        <v>224</v>
      </c>
      <c r="F335" s="4" t="n">
        <v>97</v>
      </c>
      <c r="G335" s="5" t="n">
        <f aca="false">IFERROR(D335/E335,0)</f>
        <v>18.2272321428571</v>
      </c>
      <c r="H335" s="12" t="n">
        <f aca="false">IFERROR(F335/E335,0)</f>
        <v>0.433035714285714</v>
      </c>
    </row>
    <row r="336" customFormat="false" ht="15" hidden="false" customHeight="false" outlineLevel="0" collapsed="false">
      <c r="A336" s="6" t="n">
        <v>46173</v>
      </c>
      <c r="B336" s="4" t="s">
        <v>4633</v>
      </c>
      <c r="C336" s="4" t="s">
        <v>4638</v>
      </c>
      <c r="D336" s="5" t="n">
        <v>317.26</v>
      </c>
      <c r="E336" s="4" t="n">
        <v>147</v>
      </c>
      <c r="F336" s="4" t="n">
        <v>39</v>
      </c>
      <c r="G336" s="5" t="n">
        <f aca="false">IFERROR(D336/E336,0)</f>
        <v>2.15823129251701</v>
      </c>
      <c r="H336" s="12" t="n">
        <f aca="false">IFERROR(F336/E336,0)</f>
        <v>0.26530612244898</v>
      </c>
    </row>
    <row r="337" customFormat="false" ht="15" hidden="false" customHeight="false" outlineLevel="0" collapsed="false">
      <c r="A337" s="6" t="n">
        <v>46174</v>
      </c>
      <c r="B337" s="4" t="s">
        <v>4635</v>
      </c>
      <c r="C337" s="4" t="s">
        <v>4632</v>
      </c>
      <c r="D337" s="5" t="n">
        <v>1932.55</v>
      </c>
      <c r="E337" s="4" t="n">
        <v>586</v>
      </c>
      <c r="F337" s="4" t="n">
        <v>227</v>
      </c>
      <c r="G337" s="5" t="n">
        <f aca="false">IFERROR(D337/E337,0)</f>
        <v>3.29786689419795</v>
      </c>
      <c r="H337" s="12" t="n">
        <f aca="false">IFERROR(F337/E337,0)</f>
        <v>0.387372013651877</v>
      </c>
    </row>
    <row r="338" customFormat="false" ht="15" hidden="false" customHeight="false" outlineLevel="0" collapsed="false">
      <c r="A338" s="6" t="n">
        <v>46175</v>
      </c>
      <c r="B338" s="4" t="s">
        <v>4637</v>
      </c>
      <c r="C338" s="4" t="s">
        <v>4640</v>
      </c>
      <c r="D338" s="5" t="n">
        <v>3252.57</v>
      </c>
      <c r="E338" s="4" t="n">
        <v>207</v>
      </c>
      <c r="F338" s="4" t="n">
        <v>180</v>
      </c>
      <c r="G338" s="5" t="n">
        <f aca="false">IFERROR(D338/E338,0)</f>
        <v>15.7128985507246</v>
      </c>
      <c r="H338" s="12" t="n">
        <f aca="false">IFERROR(F338/E338,0)</f>
        <v>0.869565217391304</v>
      </c>
    </row>
    <row r="339" customFormat="false" ht="15" hidden="false" customHeight="false" outlineLevel="0" collapsed="false">
      <c r="A339" s="6" t="n">
        <v>46176</v>
      </c>
      <c r="B339" s="4" t="s">
        <v>4631</v>
      </c>
      <c r="C339" s="4" t="s">
        <v>4632</v>
      </c>
      <c r="D339" s="5" t="n">
        <v>3414.55</v>
      </c>
      <c r="E339" s="4" t="n">
        <v>665</v>
      </c>
      <c r="F339" s="4" t="n">
        <v>445</v>
      </c>
      <c r="G339" s="5" t="n">
        <f aca="false">IFERROR(D339/E339,0)</f>
        <v>5.13466165413534</v>
      </c>
      <c r="H339" s="12" t="n">
        <f aca="false">IFERROR(F339/E339,0)</f>
        <v>0.669172932330827</v>
      </c>
    </row>
    <row r="340" customFormat="false" ht="15" hidden="false" customHeight="false" outlineLevel="0" collapsed="false">
      <c r="A340" s="6" t="n">
        <v>46177</v>
      </c>
      <c r="B340" s="4" t="s">
        <v>4639</v>
      </c>
      <c r="C340" s="4" t="s">
        <v>4634</v>
      </c>
      <c r="D340" s="5" t="n">
        <v>4332.76</v>
      </c>
      <c r="E340" s="4" t="n">
        <v>432</v>
      </c>
      <c r="F340" s="4" t="n">
        <v>244</v>
      </c>
      <c r="G340" s="5" t="n">
        <f aca="false">IFERROR(D340/E340,0)</f>
        <v>10.029537037037</v>
      </c>
      <c r="H340" s="12" t="n">
        <f aca="false">IFERROR(F340/E340,0)</f>
        <v>0.564814814814815</v>
      </c>
    </row>
    <row r="341" customFormat="false" ht="15" hidden="false" customHeight="false" outlineLevel="0" collapsed="false">
      <c r="A341" s="6" t="n">
        <v>46178</v>
      </c>
      <c r="B341" s="4" t="s">
        <v>4639</v>
      </c>
      <c r="C341" s="4" t="s">
        <v>4636</v>
      </c>
      <c r="D341" s="5" t="n">
        <v>2352.43</v>
      </c>
      <c r="E341" s="4" t="n">
        <v>288</v>
      </c>
      <c r="F341" s="4" t="n">
        <v>67</v>
      </c>
      <c r="G341" s="5" t="n">
        <f aca="false">IFERROR(D341/E341,0)</f>
        <v>8.16815972222222</v>
      </c>
      <c r="H341" s="12" t="n">
        <f aca="false">IFERROR(F341/E341,0)</f>
        <v>0.232638888888889</v>
      </c>
    </row>
    <row r="342" customFormat="false" ht="15" hidden="false" customHeight="false" outlineLevel="0" collapsed="false">
      <c r="A342" s="6" t="n">
        <v>46179</v>
      </c>
      <c r="B342" s="4" t="s">
        <v>4639</v>
      </c>
      <c r="C342" s="4" t="s">
        <v>4636</v>
      </c>
      <c r="D342" s="5" t="n">
        <v>4903.47</v>
      </c>
      <c r="E342" s="4" t="n">
        <v>241</v>
      </c>
      <c r="F342" s="4" t="n">
        <v>176</v>
      </c>
      <c r="G342" s="5" t="n">
        <f aca="false">IFERROR(D342/E342,0)</f>
        <v>20.3463485477178</v>
      </c>
      <c r="H342" s="12" t="n">
        <f aca="false">IFERROR(F342/E342,0)</f>
        <v>0.730290456431535</v>
      </c>
    </row>
    <row r="343" customFormat="false" ht="15" hidden="false" customHeight="false" outlineLevel="0" collapsed="false">
      <c r="A343" s="6" t="n">
        <v>46180</v>
      </c>
      <c r="B343" s="4" t="s">
        <v>4637</v>
      </c>
      <c r="C343" s="4" t="s">
        <v>4638</v>
      </c>
      <c r="D343" s="5" t="n">
        <v>4773.35</v>
      </c>
      <c r="E343" s="4" t="n">
        <v>749</v>
      </c>
      <c r="F343" s="4" t="n">
        <v>520</v>
      </c>
      <c r="G343" s="5" t="n">
        <f aca="false">IFERROR(D343/E343,0)</f>
        <v>6.37296395193592</v>
      </c>
      <c r="H343" s="12" t="n">
        <f aca="false">IFERROR(F343/E343,0)</f>
        <v>0.694259012016021</v>
      </c>
    </row>
    <row r="344" customFormat="false" ht="15" hidden="false" customHeight="false" outlineLevel="0" collapsed="false">
      <c r="A344" s="6" t="n">
        <v>46181</v>
      </c>
      <c r="B344" s="4" t="s">
        <v>4639</v>
      </c>
      <c r="C344" s="4" t="s">
        <v>4634</v>
      </c>
      <c r="D344" s="5" t="n">
        <v>3833.31</v>
      </c>
      <c r="E344" s="4" t="n">
        <v>319</v>
      </c>
      <c r="F344" s="4" t="n">
        <v>129</v>
      </c>
      <c r="G344" s="5" t="n">
        <f aca="false">IFERROR(D344/E344,0)</f>
        <v>12.0166457680251</v>
      </c>
      <c r="H344" s="12" t="n">
        <f aca="false">IFERROR(F344/E344,0)</f>
        <v>0.404388714733542</v>
      </c>
    </row>
    <row r="345" customFormat="false" ht="15" hidden="false" customHeight="false" outlineLevel="0" collapsed="false">
      <c r="A345" s="6" t="n">
        <v>46182</v>
      </c>
      <c r="B345" s="4" t="s">
        <v>4639</v>
      </c>
      <c r="C345" s="4" t="s">
        <v>4636</v>
      </c>
      <c r="D345" s="5" t="n">
        <v>2911.01</v>
      </c>
      <c r="E345" s="4" t="n">
        <v>706</v>
      </c>
      <c r="F345" s="4" t="n">
        <v>579</v>
      </c>
      <c r="G345" s="5" t="n">
        <f aca="false">IFERROR(D345/E345,0)</f>
        <v>4.12324362606232</v>
      </c>
      <c r="H345" s="12" t="n">
        <f aca="false">IFERROR(F345/E345,0)</f>
        <v>0.820113314447592</v>
      </c>
    </row>
    <row r="346" customFormat="false" ht="15" hidden="false" customHeight="false" outlineLevel="0" collapsed="false">
      <c r="A346" s="6" t="n">
        <v>46183</v>
      </c>
      <c r="B346" s="4" t="s">
        <v>4637</v>
      </c>
      <c r="C346" s="4" t="s">
        <v>4640</v>
      </c>
      <c r="D346" s="5" t="n">
        <v>1098.53</v>
      </c>
      <c r="E346" s="4" t="n">
        <v>382</v>
      </c>
      <c r="F346" s="4" t="n">
        <v>207</v>
      </c>
      <c r="G346" s="5" t="n">
        <f aca="false">IFERROR(D346/E346,0)</f>
        <v>2.87573298429319</v>
      </c>
      <c r="H346" s="12" t="n">
        <f aca="false">IFERROR(F346/E346,0)</f>
        <v>0.541884816753927</v>
      </c>
    </row>
    <row r="347" customFormat="false" ht="15" hidden="false" customHeight="false" outlineLevel="0" collapsed="false">
      <c r="A347" s="6" t="n">
        <v>46184</v>
      </c>
      <c r="B347" s="4" t="s">
        <v>4639</v>
      </c>
      <c r="C347" s="4" t="s">
        <v>4634</v>
      </c>
      <c r="D347" s="5" t="n">
        <v>1119.44</v>
      </c>
      <c r="E347" s="4" t="n">
        <v>652</v>
      </c>
      <c r="F347" s="4" t="n">
        <v>345</v>
      </c>
      <c r="G347" s="5" t="n">
        <f aca="false">IFERROR(D347/E347,0)</f>
        <v>1.71693251533742</v>
      </c>
      <c r="H347" s="12" t="n">
        <f aca="false">IFERROR(F347/E347,0)</f>
        <v>0.529141104294479</v>
      </c>
    </row>
    <row r="348" customFormat="false" ht="15" hidden="false" customHeight="false" outlineLevel="0" collapsed="false">
      <c r="A348" s="6" t="n">
        <v>46185</v>
      </c>
      <c r="B348" s="4" t="s">
        <v>4633</v>
      </c>
      <c r="C348" s="4" t="s">
        <v>4636</v>
      </c>
      <c r="D348" s="5" t="n">
        <v>3366.43</v>
      </c>
      <c r="E348" s="4" t="n">
        <v>418</v>
      </c>
      <c r="F348" s="4" t="n">
        <v>124</v>
      </c>
      <c r="G348" s="5" t="n">
        <f aca="false">IFERROR(D348/E348,0)</f>
        <v>8.05366028708134</v>
      </c>
      <c r="H348" s="12" t="n">
        <f aca="false">IFERROR(F348/E348,0)</f>
        <v>0.296650717703349</v>
      </c>
    </row>
    <row r="349" customFormat="false" ht="15" hidden="false" customHeight="false" outlineLevel="0" collapsed="false">
      <c r="A349" s="6" t="n">
        <v>46186</v>
      </c>
      <c r="B349" s="4" t="s">
        <v>4635</v>
      </c>
      <c r="C349" s="4" t="s">
        <v>4638</v>
      </c>
      <c r="D349" s="5" t="n">
        <v>566.68</v>
      </c>
      <c r="E349" s="4" t="n">
        <v>683</v>
      </c>
      <c r="F349" s="4" t="n">
        <v>117</v>
      </c>
      <c r="G349" s="5" t="n">
        <f aca="false">IFERROR(D349/E349,0)</f>
        <v>0.829692532942899</v>
      </c>
      <c r="H349" s="12" t="n">
        <f aca="false">IFERROR(F349/E349,0)</f>
        <v>0.171303074670571</v>
      </c>
    </row>
    <row r="350" customFormat="false" ht="15" hidden="false" customHeight="false" outlineLevel="0" collapsed="false">
      <c r="A350" s="6" t="n">
        <v>46187</v>
      </c>
      <c r="B350" s="4" t="s">
        <v>4631</v>
      </c>
      <c r="C350" s="4" t="s">
        <v>4638</v>
      </c>
      <c r="D350" s="5" t="n">
        <v>1539.89</v>
      </c>
      <c r="E350" s="4" t="n">
        <v>720</v>
      </c>
      <c r="F350" s="4" t="n">
        <v>503</v>
      </c>
      <c r="G350" s="5" t="n">
        <f aca="false">IFERROR(D350/E350,0)</f>
        <v>2.13873611111111</v>
      </c>
      <c r="H350" s="12" t="n">
        <f aca="false">IFERROR(F350/E350,0)</f>
        <v>0.698611111111111</v>
      </c>
    </row>
    <row r="351" customFormat="false" ht="15" hidden="false" customHeight="false" outlineLevel="0" collapsed="false">
      <c r="A351" s="6" t="n">
        <v>46188</v>
      </c>
      <c r="B351" s="4" t="s">
        <v>4631</v>
      </c>
      <c r="C351" s="4" t="s">
        <v>4636</v>
      </c>
      <c r="D351" s="5" t="n">
        <v>4181.45</v>
      </c>
      <c r="E351" s="4" t="n">
        <v>26</v>
      </c>
      <c r="F351" s="4" t="n">
        <v>15</v>
      </c>
      <c r="G351" s="5" t="n">
        <f aca="false">IFERROR(D351/E351,0)</f>
        <v>160.825</v>
      </c>
      <c r="H351" s="12" t="n">
        <f aca="false">IFERROR(F351/E351,0)</f>
        <v>0.576923076923077</v>
      </c>
    </row>
    <row r="352" customFormat="false" ht="15" hidden="false" customHeight="false" outlineLevel="0" collapsed="false">
      <c r="A352" s="6" t="n">
        <v>46189</v>
      </c>
      <c r="B352" s="4" t="s">
        <v>4635</v>
      </c>
      <c r="C352" s="4" t="s">
        <v>4634</v>
      </c>
      <c r="D352" s="5" t="n">
        <v>4319.67</v>
      </c>
      <c r="E352" s="4" t="n">
        <v>332</v>
      </c>
      <c r="F352" s="4" t="n">
        <v>62</v>
      </c>
      <c r="G352" s="5" t="n">
        <f aca="false">IFERROR(D352/E352,0)</f>
        <v>13.0110542168675</v>
      </c>
      <c r="H352" s="12" t="n">
        <f aca="false">IFERROR(F352/E352,0)</f>
        <v>0.186746987951807</v>
      </c>
    </row>
    <row r="353" customFormat="false" ht="15" hidden="false" customHeight="false" outlineLevel="0" collapsed="false">
      <c r="A353" s="6" t="n">
        <v>46190</v>
      </c>
      <c r="B353" s="4" t="s">
        <v>4639</v>
      </c>
      <c r="C353" s="4" t="s">
        <v>4640</v>
      </c>
      <c r="D353" s="5" t="n">
        <v>955.36</v>
      </c>
      <c r="E353" s="4" t="n">
        <v>695</v>
      </c>
      <c r="F353" s="4" t="n">
        <v>73</v>
      </c>
      <c r="G353" s="5" t="n">
        <f aca="false">IFERROR(D353/E353,0)</f>
        <v>1.37461870503597</v>
      </c>
      <c r="H353" s="12" t="n">
        <f aca="false">IFERROR(F353/E353,0)</f>
        <v>0.105035971223022</v>
      </c>
    </row>
    <row r="354" customFormat="false" ht="15" hidden="false" customHeight="false" outlineLevel="0" collapsed="false">
      <c r="A354" s="6" t="n">
        <v>46191</v>
      </c>
      <c r="B354" s="4" t="s">
        <v>4635</v>
      </c>
      <c r="C354" s="4" t="s">
        <v>4634</v>
      </c>
      <c r="D354" s="5" t="n">
        <v>1078.95</v>
      </c>
      <c r="E354" s="4" t="n">
        <v>696</v>
      </c>
      <c r="F354" s="4" t="n">
        <v>58</v>
      </c>
      <c r="G354" s="5" t="n">
        <f aca="false">IFERROR(D354/E354,0)</f>
        <v>1.55021551724138</v>
      </c>
      <c r="H354" s="12" t="n">
        <f aca="false">IFERROR(F354/E354,0)</f>
        <v>0.0833333333333333</v>
      </c>
    </row>
    <row r="355" customFormat="false" ht="15" hidden="false" customHeight="false" outlineLevel="0" collapsed="false">
      <c r="A355" s="6" t="n">
        <v>46192</v>
      </c>
      <c r="B355" s="4" t="s">
        <v>4633</v>
      </c>
      <c r="C355" s="4" t="s">
        <v>4634</v>
      </c>
      <c r="D355" s="5" t="n">
        <v>3403.86</v>
      </c>
      <c r="E355" s="4" t="n">
        <v>254</v>
      </c>
      <c r="F355" s="4" t="n">
        <v>146</v>
      </c>
      <c r="G355" s="5" t="n">
        <f aca="false">IFERROR(D355/E355,0)</f>
        <v>13.4010236220472</v>
      </c>
      <c r="H355" s="12" t="n">
        <f aca="false">IFERROR(F355/E355,0)</f>
        <v>0.574803149606299</v>
      </c>
    </row>
    <row r="356" customFormat="false" ht="15" hidden="false" customHeight="false" outlineLevel="0" collapsed="false">
      <c r="A356" s="6" t="n">
        <v>46193</v>
      </c>
      <c r="B356" s="4" t="s">
        <v>4633</v>
      </c>
      <c r="C356" s="4" t="s">
        <v>4638</v>
      </c>
      <c r="D356" s="5" t="n">
        <v>2084.05</v>
      </c>
      <c r="E356" s="4" t="n">
        <v>341</v>
      </c>
      <c r="F356" s="4" t="n">
        <v>141</v>
      </c>
      <c r="G356" s="5" t="n">
        <f aca="false">IFERROR(D356/E356,0)</f>
        <v>6.11158357771261</v>
      </c>
      <c r="H356" s="12" t="n">
        <f aca="false">IFERROR(F356/E356,0)</f>
        <v>0.413489736070381</v>
      </c>
    </row>
    <row r="357" customFormat="false" ht="15" hidden="false" customHeight="false" outlineLevel="0" collapsed="false">
      <c r="A357" s="6" t="n">
        <v>46194</v>
      </c>
      <c r="B357" s="4" t="s">
        <v>4639</v>
      </c>
      <c r="C357" s="4" t="s">
        <v>4638</v>
      </c>
      <c r="D357" s="5" t="n">
        <v>1967.28</v>
      </c>
      <c r="E357" s="4" t="n">
        <v>277</v>
      </c>
      <c r="F357" s="4" t="n">
        <v>37</v>
      </c>
      <c r="G357" s="5" t="n">
        <f aca="false">IFERROR(D357/E357,0)</f>
        <v>7.10209386281588</v>
      </c>
      <c r="H357" s="12" t="n">
        <f aca="false">IFERROR(F357/E357,0)</f>
        <v>0.133574007220217</v>
      </c>
    </row>
    <row r="358" customFormat="false" ht="15" hidden="false" customHeight="false" outlineLevel="0" collapsed="false">
      <c r="A358" s="6" t="n">
        <v>46195</v>
      </c>
      <c r="B358" s="4" t="s">
        <v>4631</v>
      </c>
      <c r="C358" s="4" t="s">
        <v>4638</v>
      </c>
      <c r="D358" s="5" t="n">
        <v>1999.37</v>
      </c>
      <c r="E358" s="4" t="n">
        <v>458</v>
      </c>
      <c r="F358" s="4" t="n">
        <v>368</v>
      </c>
      <c r="G358" s="5" t="n">
        <f aca="false">IFERROR(D358/E358,0)</f>
        <v>4.36543668122271</v>
      </c>
      <c r="H358" s="12" t="n">
        <f aca="false">IFERROR(F358/E358,0)</f>
        <v>0.803493449781659</v>
      </c>
    </row>
    <row r="359" customFormat="false" ht="15" hidden="false" customHeight="false" outlineLevel="0" collapsed="false">
      <c r="A359" s="6" t="n">
        <v>46196</v>
      </c>
      <c r="B359" s="4" t="s">
        <v>4631</v>
      </c>
      <c r="C359" s="4" t="s">
        <v>4640</v>
      </c>
      <c r="D359" s="5" t="n">
        <v>618.09</v>
      </c>
      <c r="E359" s="4" t="n">
        <v>709</v>
      </c>
      <c r="F359" s="4" t="n">
        <v>350</v>
      </c>
      <c r="G359" s="5" t="n">
        <f aca="false">IFERROR(D359/E359,0)</f>
        <v>0.871777150916784</v>
      </c>
      <c r="H359" s="12" t="n">
        <f aca="false">IFERROR(F359/E359,0)</f>
        <v>0.493653032440056</v>
      </c>
    </row>
    <row r="360" customFormat="false" ht="15" hidden="false" customHeight="false" outlineLevel="0" collapsed="false">
      <c r="A360" s="6" t="n">
        <v>46197</v>
      </c>
      <c r="B360" s="4" t="s">
        <v>4635</v>
      </c>
      <c r="C360" s="4" t="s">
        <v>4640</v>
      </c>
      <c r="D360" s="5" t="n">
        <v>1540.19</v>
      </c>
      <c r="E360" s="4" t="n">
        <v>603</v>
      </c>
      <c r="F360" s="4" t="n">
        <v>93</v>
      </c>
      <c r="G360" s="5" t="n">
        <f aca="false">IFERROR(D360/E360,0)</f>
        <v>2.55421227197347</v>
      </c>
      <c r="H360" s="12" t="n">
        <f aca="false">IFERROR(F360/E360,0)</f>
        <v>0.154228855721393</v>
      </c>
    </row>
    <row r="361" customFormat="false" ht="15" hidden="false" customHeight="false" outlineLevel="0" collapsed="false">
      <c r="A361" s="6" t="n">
        <v>46198</v>
      </c>
      <c r="B361" s="4" t="s">
        <v>4631</v>
      </c>
      <c r="C361" s="4" t="s">
        <v>4640</v>
      </c>
      <c r="D361" s="5" t="n">
        <v>3064.02</v>
      </c>
      <c r="E361" s="4" t="n">
        <v>236</v>
      </c>
      <c r="F361" s="4" t="n">
        <v>151</v>
      </c>
      <c r="G361" s="5" t="n">
        <f aca="false">IFERROR(D361/E361,0)</f>
        <v>12.9831355932203</v>
      </c>
      <c r="H361" s="12" t="n">
        <f aca="false">IFERROR(F361/E361,0)</f>
        <v>0.639830508474576</v>
      </c>
    </row>
    <row r="362" customFormat="false" ht="15" hidden="false" customHeight="false" outlineLevel="0" collapsed="false">
      <c r="A362" s="6" t="n">
        <v>46199</v>
      </c>
      <c r="B362" s="4" t="s">
        <v>4637</v>
      </c>
      <c r="C362" s="4" t="s">
        <v>4640</v>
      </c>
      <c r="D362" s="5" t="n">
        <v>2848.83</v>
      </c>
      <c r="E362" s="4" t="n">
        <v>386</v>
      </c>
      <c r="F362" s="4" t="n">
        <v>94</v>
      </c>
      <c r="G362" s="5" t="n">
        <f aca="false">IFERROR(D362/E362,0)</f>
        <v>7.38038860103627</v>
      </c>
      <c r="H362" s="12" t="n">
        <f aca="false">IFERROR(F362/E362,0)</f>
        <v>0.243523316062176</v>
      </c>
    </row>
    <row r="363" customFormat="false" ht="15" hidden="false" customHeight="false" outlineLevel="0" collapsed="false">
      <c r="A363" s="6" t="n">
        <v>46200</v>
      </c>
      <c r="B363" s="4" t="s">
        <v>4631</v>
      </c>
      <c r="C363" s="4" t="s">
        <v>4636</v>
      </c>
      <c r="D363" s="5" t="n">
        <v>4066.28</v>
      </c>
      <c r="E363" s="4" t="n">
        <v>160</v>
      </c>
      <c r="F363" s="4" t="n">
        <v>4</v>
      </c>
      <c r="G363" s="5" t="n">
        <f aca="false">IFERROR(D363/E363,0)</f>
        <v>25.41425</v>
      </c>
      <c r="H363" s="12" t="n">
        <f aca="false">IFERROR(F363/E363,0)</f>
        <v>0.025</v>
      </c>
    </row>
    <row r="364" customFormat="false" ht="15" hidden="false" customHeight="false" outlineLevel="0" collapsed="false">
      <c r="A364" s="6" t="n">
        <v>46201</v>
      </c>
      <c r="B364" s="4" t="s">
        <v>4637</v>
      </c>
      <c r="C364" s="4" t="s">
        <v>4638</v>
      </c>
      <c r="D364" s="5" t="n">
        <v>2314.33</v>
      </c>
      <c r="E364" s="4" t="n">
        <v>182</v>
      </c>
      <c r="F364" s="4" t="n">
        <v>170</v>
      </c>
      <c r="G364" s="5" t="n">
        <f aca="false">IFERROR(D364/E364,0)</f>
        <v>12.7160989010989</v>
      </c>
      <c r="H364" s="12" t="n">
        <f aca="false">IFERROR(F364/E364,0)</f>
        <v>0.934065934065934</v>
      </c>
    </row>
    <row r="365" customFormat="false" ht="15" hidden="false" customHeight="false" outlineLevel="0" collapsed="false">
      <c r="A365" s="6" t="n">
        <v>46202</v>
      </c>
      <c r="B365" s="4" t="s">
        <v>4637</v>
      </c>
      <c r="C365" s="4" t="s">
        <v>4636</v>
      </c>
      <c r="D365" s="5" t="n">
        <v>3208.06</v>
      </c>
      <c r="E365" s="4" t="n">
        <v>687</v>
      </c>
      <c r="F365" s="4" t="n">
        <v>508</v>
      </c>
      <c r="G365" s="5" t="n">
        <f aca="false">IFERROR(D365/E365,0)</f>
        <v>4.66966521106259</v>
      </c>
      <c r="H365" s="12" t="n">
        <f aca="false">IFERROR(F365/E365,0)</f>
        <v>0.739446870451237</v>
      </c>
    </row>
    <row r="366" customFormat="false" ht="15" hidden="false" customHeight="false" outlineLevel="0" collapsed="false">
      <c r="A366" s="6" t="n">
        <v>46203</v>
      </c>
      <c r="B366" s="4" t="s">
        <v>4631</v>
      </c>
      <c r="C366" s="4" t="s">
        <v>4638</v>
      </c>
      <c r="D366" s="5" t="n">
        <v>3712.58</v>
      </c>
      <c r="E366" s="4" t="n">
        <v>111</v>
      </c>
      <c r="F366" s="4" t="n">
        <v>19</v>
      </c>
      <c r="G366" s="5" t="n">
        <f aca="false">IFERROR(D366/E366,0)</f>
        <v>33.4466666666667</v>
      </c>
      <c r="H366" s="12" t="n">
        <f aca="false">IFERROR(F366/E366,0)</f>
        <v>0.171171171171171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31"/>
    <col collapsed="false" customWidth="true" hidden="false" outlineLevel="0" max="3" min="2" style="1" width="10.89"/>
    <col collapsed="false" customWidth="true" hidden="false" outlineLevel="0" max="4" min="4" style="1" width="13.68"/>
    <col collapsed="false" customWidth="true" hidden="false" outlineLevel="0" max="5" min="5" style="1" width="21.32"/>
    <col collapsed="false" customWidth="true" hidden="false" outlineLevel="0" max="6" min="6" style="1" width="10.89"/>
    <col collapsed="false" customWidth="true" hidden="false" outlineLevel="0" max="7" min="7" style="1" width="15.48"/>
  </cols>
  <sheetData>
    <row r="1" customFormat="false" ht="28" hidden="false" customHeight="true" outlineLevel="0" collapsed="false">
      <c r="A1" s="13" t="s">
        <v>4641</v>
      </c>
      <c r="B1" s="14" t="s">
        <v>1469</v>
      </c>
      <c r="C1" s="14" t="s">
        <v>4642</v>
      </c>
      <c r="D1" s="14" t="s">
        <v>4643</v>
      </c>
      <c r="E1" s="14" t="s">
        <v>4644</v>
      </c>
      <c r="F1" s="14" t="s">
        <v>4645</v>
      </c>
      <c r="G1" s="15" t="s">
        <v>4646</v>
      </c>
    </row>
    <row r="2" customFormat="false" ht="15" hidden="false" customHeight="false" outlineLevel="0" collapsed="false">
      <c r="A2" s="16" t="n">
        <v>45292</v>
      </c>
      <c r="B2" s="17" t="n">
        <v>494080.08</v>
      </c>
      <c r="C2" s="17" t="n">
        <v>252698.14</v>
      </c>
      <c r="D2" s="17" t="n">
        <f aca="false">B2-C2</f>
        <v>241381.94</v>
      </c>
      <c r="E2" s="17" t="n">
        <v>160075.91</v>
      </c>
      <c r="F2" s="17" t="n">
        <f aca="false">D2-E2</f>
        <v>81306.03</v>
      </c>
      <c r="G2" s="18" t="n">
        <v>989499.47</v>
      </c>
    </row>
    <row r="3" customFormat="false" ht="15" hidden="false" customHeight="false" outlineLevel="0" collapsed="false">
      <c r="A3" s="16" t="n">
        <v>45323</v>
      </c>
      <c r="B3" s="17" t="n">
        <v>506663.49</v>
      </c>
      <c r="C3" s="17" t="n">
        <v>245511.59</v>
      </c>
      <c r="D3" s="17" t="n">
        <f aca="false">B3-C3</f>
        <v>261151.9</v>
      </c>
      <c r="E3" s="17" t="n">
        <v>155779.21</v>
      </c>
      <c r="F3" s="17" t="n">
        <f aca="false">D3-E3</f>
        <v>105372.69</v>
      </c>
      <c r="G3" s="18" t="n">
        <v>1057089.94</v>
      </c>
    </row>
    <row r="4" customFormat="false" ht="15" hidden="false" customHeight="false" outlineLevel="0" collapsed="false">
      <c r="A4" s="16" t="n">
        <v>45352</v>
      </c>
      <c r="B4" s="17" t="n">
        <v>464598.34</v>
      </c>
      <c r="C4" s="17" t="n">
        <v>237234.67</v>
      </c>
      <c r="D4" s="17" t="n">
        <f aca="false">B4-C4</f>
        <v>227363.67</v>
      </c>
      <c r="E4" s="17" t="n">
        <v>159928.79</v>
      </c>
      <c r="F4" s="17" t="n">
        <f aca="false">D4-E4</f>
        <v>67434.88</v>
      </c>
      <c r="G4" s="18" t="n">
        <v>1027342.92</v>
      </c>
    </row>
    <row r="5" customFormat="false" ht="15" hidden="false" customHeight="false" outlineLevel="0" collapsed="false">
      <c r="A5" s="16" t="n">
        <v>45383</v>
      </c>
      <c r="B5" s="17" t="n">
        <v>452497.37</v>
      </c>
      <c r="C5" s="17" t="n">
        <v>225564.47</v>
      </c>
      <c r="D5" s="17" t="n">
        <f aca="false">B5-C5</f>
        <v>226932.9</v>
      </c>
      <c r="E5" s="17" t="n">
        <v>162854.91</v>
      </c>
      <c r="F5" s="17" t="n">
        <f aca="false">D5-E5</f>
        <v>64077.99</v>
      </c>
      <c r="G5" s="18" t="n">
        <v>1041985.44</v>
      </c>
    </row>
    <row r="6" customFormat="false" ht="15" hidden="false" customHeight="false" outlineLevel="0" collapsed="false">
      <c r="A6" s="16" t="n">
        <v>45413</v>
      </c>
      <c r="B6" s="17" t="n">
        <v>508194.21</v>
      </c>
      <c r="C6" s="17" t="n">
        <v>276091.04</v>
      </c>
      <c r="D6" s="17" t="n">
        <f aca="false">B6-C6</f>
        <v>232103.17</v>
      </c>
      <c r="E6" s="17" t="n">
        <v>153274.06</v>
      </c>
      <c r="F6" s="17" t="n">
        <f aca="false">D6-E6</f>
        <v>78829.11</v>
      </c>
      <c r="G6" s="18" t="n">
        <v>1162805.15</v>
      </c>
    </row>
    <row r="7" customFormat="false" ht="15" hidden="false" customHeight="false" outlineLevel="0" collapsed="false">
      <c r="A7" s="16" t="n">
        <v>45444</v>
      </c>
      <c r="B7" s="17" t="n">
        <v>527495.01</v>
      </c>
      <c r="C7" s="17" t="n">
        <v>223937.95</v>
      </c>
      <c r="D7" s="17" t="n">
        <f aca="false">B7-C7</f>
        <v>303557.06</v>
      </c>
      <c r="E7" s="17" t="n">
        <v>190865.75</v>
      </c>
      <c r="F7" s="17" t="n">
        <f aca="false">D7-E7</f>
        <v>112691.31</v>
      </c>
      <c r="G7" s="18" t="n">
        <v>1204317.93</v>
      </c>
    </row>
    <row r="8" customFormat="false" ht="15" hidden="false" customHeight="false" outlineLevel="0" collapsed="false">
      <c r="A8" s="16" t="n">
        <v>45474</v>
      </c>
      <c r="B8" s="17" t="n">
        <v>568383.47</v>
      </c>
      <c r="C8" s="17" t="n">
        <v>287353.33</v>
      </c>
      <c r="D8" s="17" t="n">
        <f aca="false">B8-C8</f>
        <v>281030.14</v>
      </c>
      <c r="E8" s="17" t="n">
        <v>176006.17</v>
      </c>
      <c r="F8" s="17" t="n">
        <f aca="false">D8-E8</f>
        <v>105023.97</v>
      </c>
      <c r="G8" s="18" t="n">
        <v>1216704.49</v>
      </c>
    </row>
    <row r="9" customFormat="false" ht="15" hidden="false" customHeight="false" outlineLevel="0" collapsed="false">
      <c r="A9" s="16" t="n">
        <v>45505</v>
      </c>
      <c r="B9" s="17" t="n">
        <v>519241.69</v>
      </c>
      <c r="C9" s="17" t="n">
        <v>287922.43</v>
      </c>
      <c r="D9" s="17" t="n">
        <f aca="false">B9-C9</f>
        <v>231319.26</v>
      </c>
      <c r="E9" s="17" t="n">
        <v>198938.78</v>
      </c>
      <c r="F9" s="17" t="n">
        <f aca="false">D9-E9</f>
        <v>32380.48</v>
      </c>
      <c r="G9" s="18" t="n">
        <v>1311105.69</v>
      </c>
    </row>
    <row r="10" customFormat="false" ht="15" hidden="false" customHeight="false" outlineLevel="0" collapsed="false">
      <c r="A10" s="16" t="n">
        <v>45536</v>
      </c>
      <c r="B10" s="17" t="n">
        <v>564493.78</v>
      </c>
      <c r="C10" s="17" t="n">
        <v>318384.36</v>
      </c>
      <c r="D10" s="17" t="n">
        <f aca="false">B10-C10</f>
        <v>246109.42</v>
      </c>
      <c r="E10" s="17" t="n">
        <v>193931.34</v>
      </c>
      <c r="F10" s="17" t="n">
        <f aca="false">D10-E10</f>
        <v>52178.08</v>
      </c>
      <c r="G10" s="18" t="n">
        <v>1251315.11</v>
      </c>
    </row>
    <row r="11" customFormat="false" ht="15" hidden="false" customHeight="false" outlineLevel="0" collapsed="false">
      <c r="A11" s="16" t="n">
        <v>45566</v>
      </c>
      <c r="B11" s="17" t="n">
        <v>519528.81</v>
      </c>
      <c r="C11" s="17" t="n">
        <v>225824.25</v>
      </c>
      <c r="D11" s="17" t="n">
        <f aca="false">B11-C11</f>
        <v>293704.56</v>
      </c>
      <c r="E11" s="17" t="n">
        <v>201298.54</v>
      </c>
      <c r="F11" s="17" t="n">
        <f aca="false">D11-E11</f>
        <v>92406.02</v>
      </c>
      <c r="G11" s="18" t="n">
        <v>1289322.35</v>
      </c>
    </row>
    <row r="12" customFormat="false" ht="15" hidden="false" customHeight="false" outlineLevel="0" collapsed="false">
      <c r="A12" s="16" t="n">
        <v>45597</v>
      </c>
      <c r="B12" s="17" t="n">
        <v>538837.61</v>
      </c>
      <c r="C12" s="17" t="n">
        <v>308543.84</v>
      </c>
      <c r="D12" s="17" t="n">
        <f aca="false">B12-C12</f>
        <v>230293.77</v>
      </c>
      <c r="E12" s="17" t="n">
        <v>201884.54</v>
      </c>
      <c r="F12" s="17" t="n">
        <f aca="false">D12-E12</f>
        <v>28409.23</v>
      </c>
      <c r="G12" s="18" t="n">
        <v>1392845.66</v>
      </c>
    </row>
    <row r="13" customFormat="false" ht="15" hidden="false" customHeight="false" outlineLevel="0" collapsed="false">
      <c r="A13" s="16" t="n">
        <v>45627</v>
      </c>
      <c r="B13" s="17" t="n">
        <v>595693.42</v>
      </c>
      <c r="C13" s="17" t="n">
        <v>267508.19</v>
      </c>
      <c r="D13" s="17" t="n">
        <f aca="false">B13-C13</f>
        <v>328185.23</v>
      </c>
      <c r="E13" s="17" t="n">
        <v>184487.57</v>
      </c>
      <c r="F13" s="17" t="n">
        <f aca="false">D13-E13</f>
        <v>143697.66</v>
      </c>
      <c r="G13" s="18" t="n">
        <v>1316852.1</v>
      </c>
    </row>
    <row r="14" customFormat="false" ht="15" hidden="false" customHeight="false" outlineLevel="0" collapsed="false">
      <c r="A14" s="16" t="n">
        <v>45658</v>
      </c>
      <c r="B14" s="17" t="n">
        <v>556105.14</v>
      </c>
      <c r="C14" s="17" t="n">
        <v>239726.08</v>
      </c>
      <c r="D14" s="17" t="n">
        <f aca="false">B14-C14</f>
        <v>316379.06</v>
      </c>
      <c r="E14" s="17" t="n">
        <v>217686.6</v>
      </c>
      <c r="F14" s="17" t="n">
        <f aca="false">D14-E14</f>
        <v>98692.4600000001</v>
      </c>
      <c r="G14" s="18" t="n">
        <v>1461189.36</v>
      </c>
    </row>
    <row r="15" customFormat="false" ht="15" hidden="false" customHeight="false" outlineLevel="0" collapsed="false">
      <c r="A15" s="16" t="n">
        <v>45689</v>
      </c>
      <c r="B15" s="17" t="n">
        <v>604629</v>
      </c>
      <c r="C15" s="17" t="n">
        <v>290525.29</v>
      </c>
      <c r="D15" s="17" t="n">
        <f aca="false">B15-C15</f>
        <v>314103.71</v>
      </c>
      <c r="E15" s="17" t="n">
        <v>228227.49</v>
      </c>
      <c r="F15" s="17" t="n">
        <f aca="false">D15-E15</f>
        <v>85876.22</v>
      </c>
      <c r="G15" s="18" t="n">
        <v>1464456.05</v>
      </c>
    </row>
    <row r="16" customFormat="false" ht="15" hidden="false" customHeight="false" outlineLevel="0" collapsed="false">
      <c r="A16" s="16" t="n">
        <v>45717</v>
      </c>
      <c r="B16" s="17" t="n">
        <v>613609.48</v>
      </c>
      <c r="C16" s="17" t="n">
        <v>348202.35</v>
      </c>
      <c r="D16" s="17" t="n">
        <f aca="false">B16-C16</f>
        <v>265407.13</v>
      </c>
      <c r="E16" s="17" t="n">
        <v>212197.52</v>
      </c>
      <c r="F16" s="17" t="n">
        <f aca="false">D16-E16</f>
        <v>53209.61</v>
      </c>
      <c r="G16" s="18" t="n">
        <v>1521644.97</v>
      </c>
    </row>
    <row r="17" customFormat="false" ht="15" hidden="false" customHeight="false" outlineLevel="0" collapsed="false">
      <c r="A17" s="16" t="n">
        <v>45748</v>
      </c>
      <c r="B17" s="17" t="n">
        <v>580119.06</v>
      </c>
      <c r="C17" s="17" t="n">
        <v>282714.28</v>
      </c>
      <c r="D17" s="17" t="n">
        <f aca="false">B17-C17</f>
        <v>297404.78</v>
      </c>
      <c r="E17" s="17" t="n">
        <v>219950.5</v>
      </c>
      <c r="F17" s="17" t="n">
        <f aca="false">D17-E17</f>
        <v>77454.28</v>
      </c>
      <c r="G17" s="18" t="n">
        <v>1509346.48</v>
      </c>
    </row>
    <row r="18" customFormat="false" ht="15" hidden="false" customHeight="false" outlineLevel="0" collapsed="false">
      <c r="A18" s="16" t="n">
        <v>45778</v>
      </c>
      <c r="B18" s="17" t="n">
        <v>622918.68</v>
      </c>
      <c r="C18" s="17" t="n">
        <v>327942.39</v>
      </c>
      <c r="D18" s="17" t="n">
        <f aca="false">B18-C18</f>
        <v>294976.29</v>
      </c>
      <c r="E18" s="17" t="n">
        <v>219410.34</v>
      </c>
      <c r="F18" s="17" t="n">
        <f aca="false">D18-E18</f>
        <v>75565.95</v>
      </c>
      <c r="G18" s="18" t="n">
        <v>1545137.05</v>
      </c>
    </row>
    <row r="19" customFormat="false" ht="15" hidden="false" customHeight="false" outlineLevel="0" collapsed="false">
      <c r="A19" s="16" t="n">
        <v>45809</v>
      </c>
      <c r="B19" s="17" t="n">
        <v>661239.59</v>
      </c>
      <c r="C19" s="17" t="n">
        <v>340468.12</v>
      </c>
      <c r="D19" s="17" t="n">
        <f aca="false">B19-C19</f>
        <v>320771.47</v>
      </c>
      <c r="E19" s="17" t="n">
        <v>243434.29</v>
      </c>
      <c r="F19" s="17" t="n">
        <f aca="false">D19-E19</f>
        <v>77337.18</v>
      </c>
      <c r="G19" s="18" t="n">
        <v>1652722.03</v>
      </c>
    </row>
    <row r="20" customFormat="false" ht="15" hidden="false" customHeight="false" outlineLevel="0" collapsed="false">
      <c r="A20" s="16" t="n">
        <v>45839</v>
      </c>
      <c r="B20" s="17" t="n">
        <v>624902.69</v>
      </c>
      <c r="C20" s="17" t="n">
        <v>344068</v>
      </c>
      <c r="D20" s="17" t="n">
        <f aca="false">B20-C20</f>
        <v>280834.69</v>
      </c>
      <c r="E20" s="17" t="n">
        <v>226426.28</v>
      </c>
      <c r="F20" s="17" t="n">
        <f aca="false">D20-E20</f>
        <v>54408.4099999999</v>
      </c>
      <c r="G20" s="18" t="n">
        <v>1607133.81</v>
      </c>
    </row>
    <row r="21" customFormat="false" ht="15" hidden="false" customHeight="false" outlineLevel="0" collapsed="false">
      <c r="A21" s="16" t="n">
        <v>45870</v>
      </c>
      <c r="B21" s="17" t="n">
        <v>697062.62</v>
      </c>
      <c r="C21" s="17" t="n">
        <v>296533.2</v>
      </c>
      <c r="D21" s="17" t="n">
        <f aca="false">B21-C21</f>
        <v>400529.42</v>
      </c>
      <c r="E21" s="17" t="n">
        <v>249816.04</v>
      </c>
      <c r="F21" s="17" t="n">
        <f aca="false">D21-E21</f>
        <v>150713.38</v>
      </c>
      <c r="G21" s="18" t="n">
        <v>1594953.94</v>
      </c>
    </row>
    <row r="22" customFormat="false" ht="15" hidden="false" customHeight="false" outlineLevel="0" collapsed="false">
      <c r="A22" s="16" t="n">
        <v>45901</v>
      </c>
      <c r="B22" s="17" t="n">
        <v>680670.6</v>
      </c>
      <c r="C22" s="17" t="n">
        <v>324326.29</v>
      </c>
      <c r="D22" s="17" t="n">
        <f aca="false">B22-C22</f>
        <v>356344.31</v>
      </c>
      <c r="E22" s="17" t="n">
        <v>247961.26</v>
      </c>
      <c r="F22" s="17" t="n">
        <f aca="false">D22-E22</f>
        <v>108383.05</v>
      </c>
      <c r="G22" s="18" t="n">
        <v>1695538.97</v>
      </c>
    </row>
    <row r="23" customFormat="false" ht="15" hidden="false" customHeight="false" outlineLevel="0" collapsed="false">
      <c r="A23" s="16" t="n">
        <v>45931</v>
      </c>
      <c r="B23" s="17" t="n">
        <v>655763.51</v>
      </c>
      <c r="C23" s="17" t="n">
        <v>352970.19</v>
      </c>
      <c r="D23" s="17" t="n">
        <f aca="false">B23-C23</f>
        <v>302793.32</v>
      </c>
      <c r="E23" s="17" t="n">
        <v>263502.06</v>
      </c>
      <c r="F23" s="17" t="n">
        <f aca="false">D23-E23</f>
        <v>39291.26</v>
      </c>
      <c r="G23" s="18" t="n">
        <v>1744756.95</v>
      </c>
    </row>
    <row r="24" customFormat="false" ht="15" hidden="false" customHeight="false" outlineLevel="0" collapsed="false">
      <c r="A24" s="16" t="n">
        <v>45962</v>
      </c>
      <c r="B24" s="17" t="n">
        <v>725645.87</v>
      </c>
      <c r="C24" s="17" t="n">
        <v>416565.55</v>
      </c>
      <c r="D24" s="17" t="n">
        <f aca="false">B24-C24</f>
        <v>309080.32</v>
      </c>
      <c r="E24" s="17" t="n">
        <v>246655.18</v>
      </c>
      <c r="F24" s="17" t="n">
        <f aca="false">D24-E24</f>
        <v>62425.14</v>
      </c>
      <c r="G24" s="18" t="n">
        <v>1711486.49</v>
      </c>
    </row>
    <row r="25" customFormat="false" ht="15" hidden="false" customHeight="false" outlineLevel="0" collapsed="false">
      <c r="A25" s="16" t="n">
        <v>45992</v>
      </c>
      <c r="B25" s="17" t="n">
        <v>739498.97</v>
      </c>
      <c r="C25" s="17" t="n">
        <v>387506.2</v>
      </c>
      <c r="D25" s="17" t="n">
        <f aca="false">B25-C25</f>
        <v>351992.77</v>
      </c>
      <c r="E25" s="17" t="n">
        <v>238994.13</v>
      </c>
      <c r="F25" s="17" t="n">
        <f aca="false">D25-E25</f>
        <v>112998.64</v>
      </c>
      <c r="G25" s="18" t="n">
        <v>1834391.82</v>
      </c>
    </row>
    <row r="26" customFormat="false" ht="15" hidden="false" customHeight="false" outlineLevel="0" collapsed="false">
      <c r="A26" s="16" t="n">
        <v>46023</v>
      </c>
      <c r="B26" s="17" t="n">
        <v>710274.02</v>
      </c>
      <c r="C26" s="17" t="n">
        <v>321713.07</v>
      </c>
      <c r="D26" s="17" t="n">
        <f aca="false">B26-C26</f>
        <v>388560.95</v>
      </c>
      <c r="E26" s="17" t="n">
        <v>265788.86</v>
      </c>
      <c r="F26" s="17" t="n">
        <f aca="false">D26-E26</f>
        <v>122772.09</v>
      </c>
      <c r="G26" s="18" t="n">
        <v>1854034.67</v>
      </c>
    </row>
    <row r="27" customFormat="false" ht="15" hidden="false" customHeight="false" outlineLevel="0" collapsed="false">
      <c r="A27" s="16" t="n">
        <v>46054</v>
      </c>
      <c r="B27" s="17" t="n">
        <v>771901.58</v>
      </c>
      <c r="C27" s="17" t="n">
        <v>346336.34</v>
      </c>
      <c r="D27" s="17" t="n">
        <f aca="false">B27-C27</f>
        <v>425565.24</v>
      </c>
      <c r="E27" s="17" t="n">
        <v>256490.58</v>
      </c>
      <c r="F27" s="17" t="n">
        <f aca="false">D27-E27</f>
        <v>169074.66</v>
      </c>
      <c r="G27" s="18" t="n">
        <v>1824226.8</v>
      </c>
    </row>
    <row r="28" customFormat="false" ht="15" hidden="false" customHeight="false" outlineLevel="0" collapsed="false">
      <c r="A28" s="16" t="n">
        <v>46082</v>
      </c>
      <c r="B28" s="17" t="n">
        <v>728110.23</v>
      </c>
      <c r="C28" s="17" t="n">
        <v>353981.04</v>
      </c>
      <c r="D28" s="17" t="n">
        <f aca="false">B28-C28</f>
        <v>374129.19</v>
      </c>
      <c r="E28" s="17" t="n">
        <v>255254.8</v>
      </c>
      <c r="F28" s="17" t="n">
        <f aca="false">D28-E28</f>
        <v>118874.39</v>
      </c>
      <c r="G28" s="18" t="n">
        <v>1879956.45</v>
      </c>
    </row>
    <row r="29" customFormat="false" ht="15" hidden="false" customHeight="false" outlineLevel="0" collapsed="false">
      <c r="A29" s="16" t="n">
        <v>46113</v>
      </c>
      <c r="B29" s="17" t="n">
        <v>822744.81</v>
      </c>
      <c r="C29" s="17" t="n">
        <v>457883.86</v>
      </c>
      <c r="D29" s="17" t="n">
        <f aca="false">B29-C29</f>
        <v>364860.95</v>
      </c>
      <c r="E29" s="17" t="n">
        <v>276063.26</v>
      </c>
      <c r="F29" s="17" t="n">
        <f aca="false">D29-E29</f>
        <v>88797.6900000001</v>
      </c>
      <c r="G29" s="18" t="n">
        <v>2007424.77</v>
      </c>
    </row>
    <row r="30" customFormat="false" ht="15" hidden="false" customHeight="false" outlineLevel="0" collapsed="false">
      <c r="A30" s="16" t="n">
        <v>46143</v>
      </c>
      <c r="B30" s="17" t="n">
        <v>798076.49</v>
      </c>
      <c r="C30" s="17" t="n">
        <v>406647.57</v>
      </c>
      <c r="D30" s="17" t="n">
        <f aca="false">B30-C30</f>
        <v>391428.92</v>
      </c>
      <c r="E30" s="17" t="n">
        <v>278796.67</v>
      </c>
      <c r="F30" s="17" t="n">
        <f aca="false">D30-E30</f>
        <v>112632.25</v>
      </c>
      <c r="G30" s="18" t="n">
        <v>1955309.88</v>
      </c>
    </row>
    <row r="31" customFormat="false" ht="15" hidden="false" customHeight="false" outlineLevel="0" collapsed="false">
      <c r="A31" s="16" t="n">
        <v>46174</v>
      </c>
      <c r="B31" s="17" t="n">
        <v>787347.09</v>
      </c>
      <c r="C31" s="17" t="n">
        <v>446911.21</v>
      </c>
      <c r="D31" s="17" t="n">
        <f aca="false">B31-C31</f>
        <v>340435.88</v>
      </c>
      <c r="E31" s="17" t="n">
        <v>277057.9</v>
      </c>
      <c r="F31" s="17" t="n">
        <f aca="false">D31-E31</f>
        <v>63377.9799999999</v>
      </c>
      <c r="G31" s="18" t="n">
        <v>2005193.68</v>
      </c>
    </row>
    <row r="32" customFormat="false" ht="15" hidden="false" customHeight="false" outlineLevel="0" collapsed="false">
      <c r="A32" s="16" t="n">
        <v>46204</v>
      </c>
      <c r="B32" s="17" t="n">
        <v>789853.71</v>
      </c>
      <c r="C32" s="17" t="n">
        <v>373494.34</v>
      </c>
      <c r="D32" s="17" t="n">
        <f aca="false">B32-C32</f>
        <v>416359.37</v>
      </c>
      <c r="E32" s="17" t="n">
        <v>275469.01</v>
      </c>
      <c r="F32" s="17" t="n">
        <f aca="false">D32-E32</f>
        <v>140890.36</v>
      </c>
      <c r="G32" s="18" t="n">
        <v>2110168.99</v>
      </c>
    </row>
    <row r="33" customFormat="false" ht="15" hidden="false" customHeight="false" outlineLevel="0" collapsed="false">
      <c r="A33" s="16" t="n">
        <v>46235</v>
      </c>
      <c r="B33" s="17" t="n">
        <v>864334.58</v>
      </c>
      <c r="C33" s="17" t="n">
        <v>466094.71</v>
      </c>
      <c r="D33" s="17" t="n">
        <f aca="false">B33-C33</f>
        <v>398239.87</v>
      </c>
      <c r="E33" s="17" t="n">
        <v>281795.66</v>
      </c>
      <c r="F33" s="17" t="n">
        <f aca="false">D33-E33</f>
        <v>116444.21</v>
      </c>
      <c r="G33" s="18" t="n">
        <v>2048609.68</v>
      </c>
    </row>
    <row r="34" customFormat="false" ht="15" hidden="false" customHeight="false" outlineLevel="0" collapsed="false">
      <c r="A34" s="16" t="n">
        <v>46266</v>
      </c>
      <c r="B34" s="17" t="n">
        <v>791299.39</v>
      </c>
      <c r="C34" s="17" t="n">
        <v>445873.51</v>
      </c>
      <c r="D34" s="17" t="n">
        <f aca="false">B34-C34</f>
        <v>345425.88</v>
      </c>
      <c r="E34" s="17" t="n">
        <v>298479.47</v>
      </c>
      <c r="F34" s="17" t="n">
        <f aca="false">D34-E34</f>
        <v>46946.41</v>
      </c>
      <c r="G34" s="18" t="n">
        <v>2104328.29</v>
      </c>
    </row>
    <row r="35" customFormat="false" ht="15" hidden="false" customHeight="false" outlineLevel="0" collapsed="false">
      <c r="A35" s="16" t="n">
        <v>46296</v>
      </c>
      <c r="B35" s="17" t="n">
        <v>888800.3</v>
      </c>
      <c r="C35" s="17" t="n">
        <v>457069.22</v>
      </c>
      <c r="D35" s="17" t="n">
        <f aca="false">B35-C35</f>
        <v>431731.08</v>
      </c>
      <c r="E35" s="17" t="n">
        <v>308619.26</v>
      </c>
      <c r="F35" s="17" t="n">
        <f aca="false">D35-E35</f>
        <v>123111.82</v>
      </c>
      <c r="G35" s="18" t="n">
        <v>2116368.71</v>
      </c>
    </row>
    <row r="36" customFormat="false" ht="15" hidden="false" customHeight="false" outlineLevel="0" collapsed="false">
      <c r="A36" s="16" t="n">
        <v>46327</v>
      </c>
      <c r="B36" s="17" t="n">
        <v>878568.72</v>
      </c>
      <c r="C36" s="17" t="n">
        <v>489570.1</v>
      </c>
      <c r="D36" s="17" t="n">
        <f aca="false">B36-C36</f>
        <v>388998.62</v>
      </c>
      <c r="E36" s="17" t="n">
        <v>294031.52</v>
      </c>
      <c r="F36" s="17" t="n">
        <f aca="false">D36-E36</f>
        <v>94967.1</v>
      </c>
      <c r="G36" s="18" t="n">
        <v>2182633.56</v>
      </c>
    </row>
    <row r="37" customFormat="false" ht="15" hidden="false" customHeight="false" outlineLevel="0" collapsed="false">
      <c r="A37" s="16" t="n">
        <v>46357</v>
      </c>
      <c r="B37" s="17" t="n">
        <v>842641.5</v>
      </c>
      <c r="C37" s="17" t="n">
        <v>472677.06</v>
      </c>
      <c r="D37" s="17" t="n">
        <f aca="false">B37-C37</f>
        <v>369964.44</v>
      </c>
      <c r="E37" s="17" t="n">
        <v>322582.94</v>
      </c>
      <c r="F37" s="17" t="n">
        <f aca="false">D37-E37</f>
        <v>47381.5</v>
      </c>
      <c r="G37" s="18" t="n">
        <v>2189569.15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.97"/>
    <col collapsed="false" customWidth="true" hidden="false" outlineLevel="0" max="2" min="2" style="1" width="13.62"/>
    <col collapsed="false" customWidth="true" hidden="false" outlineLevel="0" max="3" min="3" style="1" width="5.66"/>
    <col collapsed="false" customWidth="true" hidden="false" outlineLevel="0" max="4" min="4" style="1" width="13.91"/>
    <col collapsed="false" customWidth="true" hidden="false" outlineLevel="0" max="5" min="5" style="1" width="7.1"/>
    <col collapsed="false" customWidth="true" hidden="false" outlineLevel="0" max="6" min="6" style="1" width="10.65"/>
    <col collapsed="false" customWidth="true" hidden="false" outlineLevel="0" max="7" min="7" style="1" width="17.3"/>
    <col collapsed="false" customWidth="true" hidden="false" outlineLevel="0" max="8" min="8" style="1" width="11.07"/>
  </cols>
  <sheetData>
    <row r="1" customFormat="false" ht="28" hidden="false" customHeight="true" outlineLevel="0" collapsed="false">
      <c r="A1" s="3" t="s">
        <v>4625</v>
      </c>
      <c r="B1" s="3" t="s">
        <v>4647</v>
      </c>
      <c r="C1" s="3" t="s">
        <v>4648</v>
      </c>
      <c r="D1" s="3" t="s">
        <v>4649</v>
      </c>
      <c r="E1" s="3" t="s">
        <v>4650</v>
      </c>
      <c r="F1" s="3" t="s">
        <v>4651</v>
      </c>
      <c r="G1" s="3" t="s">
        <v>4652</v>
      </c>
      <c r="H1" s="3" t="s">
        <v>4653</v>
      </c>
    </row>
    <row r="2" customFormat="false" ht="16.4" hidden="false" customHeight="false" outlineLevel="0" collapsed="false">
      <c r="A2" s="6" t="n">
        <v>45833</v>
      </c>
      <c r="B2" s="4" t="s">
        <v>4654</v>
      </c>
      <c r="C2" s="4" t="s">
        <v>4655</v>
      </c>
      <c r="D2" s="4" t="n">
        <v>5107</v>
      </c>
      <c r="E2" s="4" t="n">
        <v>287</v>
      </c>
      <c r="F2" s="19" t="n">
        <f aca="false">IFERROR(E2/D2,0)</f>
        <v>0.0561973761503818</v>
      </c>
      <c r="G2" s="4" t="n">
        <v>12</v>
      </c>
      <c r="H2" s="8" t="n">
        <v>206.1</v>
      </c>
    </row>
    <row r="3" customFormat="false" ht="16.4" hidden="false" customHeight="false" outlineLevel="0" collapsed="false">
      <c r="A3" s="6" t="n">
        <v>45789</v>
      </c>
      <c r="B3" s="4" t="s">
        <v>4656</v>
      </c>
      <c r="C3" s="4" t="s">
        <v>4657</v>
      </c>
      <c r="D3" s="4" t="n">
        <v>4900</v>
      </c>
      <c r="E3" s="4" t="n">
        <v>215</v>
      </c>
      <c r="F3" s="19" t="n">
        <f aca="false">IFERROR(E3/D3,0)</f>
        <v>0.0438775510204082</v>
      </c>
      <c r="G3" s="4" t="n">
        <v>239</v>
      </c>
      <c r="H3" s="8" t="n">
        <v>101.2</v>
      </c>
    </row>
    <row r="4" customFormat="false" ht="16.4" hidden="false" customHeight="false" outlineLevel="0" collapsed="false">
      <c r="A4" s="6" t="n">
        <v>45934</v>
      </c>
      <c r="B4" s="4" t="s">
        <v>4658</v>
      </c>
      <c r="C4" s="4" t="s">
        <v>4655</v>
      </c>
      <c r="D4" s="4" t="n">
        <v>5167</v>
      </c>
      <c r="E4" s="4" t="n">
        <v>267</v>
      </c>
      <c r="F4" s="19" t="n">
        <f aca="false">IFERROR(E4/D4,0)</f>
        <v>0.0516740855428682</v>
      </c>
      <c r="G4" s="4" t="n">
        <v>40</v>
      </c>
      <c r="H4" s="8" t="n">
        <v>69</v>
      </c>
    </row>
    <row r="5" customFormat="false" ht="16.4" hidden="false" customHeight="false" outlineLevel="0" collapsed="false">
      <c r="A5" s="6" t="n">
        <v>46114</v>
      </c>
      <c r="B5" s="4" t="s">
        <v>4654</v>
      </c>
      <c r="C5" s="4" t="s">
        <v>4655</v>
      </c>
      <c r="D5" s="4" t="n">
        <v>865</v>
      </c>
      <c r="E5" s="4" t="n">
        <v>48</v>
      </c>
      <c r="F5" s="19" t="n">
        <f aca="false">IFERROR(E5/D5,0)</f>
        <v>0.0554913294797688</v>
      </c>
      <c r="G5" s="4" t="n">
        <v>176</v>
      </c>
      <c r="H5" s="8" t="n">
        <v>88.5</v>
      </c>
    </row>
    <row r="6" customFormat="false" ht="16.4" hidden="false" customHeight="false" outlineLevel="0" collapsed="false">
      <c r="A6" s="6" t="n">
        <v>46148</v>
      </c>
      <c r="B6" s="4" t="s">
        <v>4659</v>
      </c>
      <c r="C6" s="4" t="s">
        <v>4660</v>
      </c>
      <c r="D6" s="4" t="n">
        <v>4721</v>
      </c>
      <c r="E6" s="4" t="n">
        <v>22</v>
      </c>
      <c r="F6" s="19" t="n">
        <f aca="false">IFERROR(E6/D6,0)</f>
        <v>0.00466002965473417</v>
      </c>
      <c r="G6" s="4" t="n">
        <v>230</v>
      </c>
      <c r="H6" s="8" t="n">
        <v>278.5</v>
      </c>
    </row>
    <row r="7" customFormat="false" ht="16.4" hidden="false" customHeight="false" outlineLevel="0" collapsed="false">
      <c r="A7" s="6" t="n">
        <v>45951</v>
      </c>
      <c r="B7" s="4" t="s">
        <v>4656</v>
      </c>
      <c r="C7" s="4" t="s">
        <v>4660</v>
      </c>
      <c r="D7" s="4" t="n">
        <v>3648</v>
      </c>
      <c r="E7" s="4" t="n">
        <v>49</v>
      </c>
      <c r="F7" s="19" t="n">
        <f aca="false">IFERROR(E7/D7,0)</f>
        <v>0.0134320175438597</v>
      </c>
      <c r="G7" s="4" t="n">
        <v>86</v>
      </c>
      <c r="H7" s="8" t="n">
        <v>172.3</v>
      </c>
    </row>
    <row r="8" customFormat="false" ht="16.4" hidden="false" customHeight="false" outlineLevel="0" collapsed="false">
      <c r="A8" s="6" t="n">
        <v>45786</v>
      </c>
      <c r="B8" s="4" t="s">
        <v>4658</v>
      </c>
      <c r="C8" s="4" t="s">
        <v>4655</v>
      </c>
      <c r="D8" s="4" t="n">
        <v>1880</v>
      </c>
      <c r="E8" s="4" t="n">
        <v>109</v>
      </c>
      <c r="F8" s="19" t="n">
        <f aca="false">IFERROR(E8/D8,0)</f>
        <v>0.0579787234042553</v>
      </c>
      <c r="G8" s="4" t="n">
        <v>2</v>
      </c>
      <c r="H8" s="8" t="n">
        <v>52</v>
      </c>
    </row>
    <row r="9" customFormat="false" ht="16.4" hidden="false" customHeight="false" outlineLevel="0" collapsed="false">
      <c r="A9" s="6" t="n">
        <v>46101</v>
      </c>
      <c r="B9" s="4" t="s">
        <v>4659</v>
      </c>
      <c r="C9" s="4" t="s">
        <v>4660</v>
      </c>
      <c r="D9" s="4" t="n">
        <v>3078</v>
      </c>
      <c r="E9" s="4" t="n">
        <v>145</v>
      </c>
      <c r="F9" s="19" t="n">
        <f aca="false">IFERROR(E9/D9,0)</f>
        <v>0.0471085120207927</v>
      </c>
      <c r="G9" s="4" t="n">
        <v>237</v>
      </c>
      <c r="H9" s="8" t="n">
        <v>57.9</v>
      </c>
    </row>
    <row r="10" customFormat="false" ht="16.4" hidden="false" customHeight="false" outlineLevel="0" collapsed="false">
      <c r="A10" s="6" t="n">
        <v>45713</v>
      </c>
      <c r="B10" s="4" t="s">
        <v>4658</v>
      </c>
      <c r="C10" s="4" t="s">
        <v>4655</v>
      </c>
      <c r="D10" s="4" t="n">
        <v>2630</v>
      </c>
      <c r="E10" s="4" t="n">
        <v>145</v>
      </c>
      <c r="F10" s="19" t="n">
        <f aca="false">IFERROR(E10/D10,0)</f>
        <v>0.0551330798479087</v>
      </c>
      <c r="G10" s="4" t="n">
        <v>229</v>
      </c>
      <c r="H10" s="8" t="n">
        <v>246.4</v>
      </c>
    </row>
    <row r="11" customFormat="false" ht="16.4" hidden="false" customHeight="false" outlineLevel="0" collapsed="false">
      <c r="A11" s="6" t="n">
        <v>45797</v>
      </c>
      <c r="B11" s="4" t="s">
        <v>4658</v>
      </c>
      <c r="C11" s="4" t="s">
        <v>4655</v>
      </c>
      <c r="D11" s="4" t="n">
        <v>3714</v>
      </c>
      <c r="E11" s="4" t="n">
        <v>27</v>
      </c>
      <c r="F11" s="19" t="n">
        <f aca="false">IFERROR(E11/D11,0)</f>
        <v>0.00726978998384491</v>
      </c>
      <c r="G11" s="4" t="n">
        <v>187</v>
      </c>
      <c r="H11" s="8" t="n">
        <v>281.9</v>
      </c>
    </row>
    <row r="12" customFormat="false" ht="16.4" hidden="false" customHeight="false" outlineLevel="0" collapsed="false">
      <c r="A12" s="6" t="n">
        <v>46022</v>
      </c>
      <c r="B12" s="4" t="s">
        <v>4656</v>
      </c>
      <c r="C12" s="4" t="s">
        <v>4655</v>
      </c>
      <c r="D12" s="4" t="n">
        <v>3530</v>
      </c>
      <c r="E12" s="4" t="n">
        <v>100</v>
      </c>
      <c r="F12" s="19" t="n">
        <f aca="false">IFERROR(E12/D12,0)</f>
        <v>0.028328611898017</v>
      </c>
      <c r="G12" s="4" t="n">
        <v>84</v>
      </c>
      <c r="H12" s="8" t="n">
        <v>203.1</v>
      </c>
    </row>
    <row r="13" customFormat="false" ht="16.4" hidden="false" customHeight="false" outlineLevel="0" collapsed="false">
      <c r="A13" s="6" t="n">
        <v>46098</v>
      </c>
      <c r="B13" s="4" t="s">
        <v>4658</v>
      </c>
      <c r="C13" s="4" t="s">
        <v>4657</v>
      </c>
      <c r="D13" s="4" t="n">
        <v>4661</v>
      </c>
      <c r="E13" s="4" t="n">
        <v>1</v>
      </c>
      <c r="F13" s="19" t="n">
        <f aca="false">IFERROR(E13/D13,0)</f>
        <v>0.000214546234713581</v>
      </c>
      <c r="G13" s="4" t="n">
        <v>156</v>
      </c>
      <c r="H13" s="8" t="n">
        <v>101.2</v>
      </c>
    </row>
    <row r="14" customFormat="false" ht="16.4" hidden="false" customHeight="false" outlineLevel="0" collapsed="false">
      <c r="A14" s="6" t="n">
        <v>46027</v>
      </c>
      <c r="B14" s="4" t="s">
        <v>4659</v>
      </c>
      <c r="C14" s="4" t="s">
        <v>4655</v>
      </c>
      <c r="D14" s="4" t="n">
        <v>1363</v>
      </c>
      <c r="E14" s="4" t="n">
        <v>33</v>
      </c>
      <c r="F14" s="19" t="n">
        <f aca="false">IFERROR(E14/D14,0)</f>
        <v>0.0242112986060161</v>
      </c>
      <c r="G14" s="4" t="n">
        <v>66</v>
      </c>
      <c r="H14" s="8" t="n">
        <v>234.8</v>
      </c>
    </row>
    <row r="15" customFormat="false" ht="16.4" hidden="false" customHeight="false" outlineLevel="0" collapsed="false">
      <c r="A15" s="6" t="n">
        <v>45884</v>
      </c>
      <c r="B15" s="4" t="s">
        <v>4658</v>
      </c>
      <c r="C15" s="4" t="s">
        <v>4655</v>
      </c>
      <c r="D15" s="4" t="n">
        <v>4048</v>
      </c>
      <c r="E15" s="4" t="n">
        <v>99</v>
      </c>
      <c r="F15" s="19" t="n">
        <f aca="false">IFERROR(E15/D15,0)</f>
        <v>0.0244565217391304</v>
      </c>
      <c r="G15" s="4" t="n">
        <v>57</v>
      </c>
      <c r="H15" s="8" t="n">
        <v>301.7</v>
      </c>
    </row>
    <row r="16" customFormat="false" ht="16.4" hidden="false" customHeight="false" outlineLevel="0" collapsed="false">
      <c r="A16" s="6" t="n">
        <v>45707</v>
      </c>
      <c r="B16" s="4" t="s">
        <v>4654</v>
      </c>
      <c r="C16" s="4" t="s">
        <v>4660</v>
      </c>
      <c r="D16" s="4" t="n">
        <v>5311</v>
      </c>
      <c r="E16" s="4" t="n">
        <v>189</v>
      </c>
      <c r="F16" s="19" t="n">
        <f aca="false">IFERROR(E16/D16,0)</f>
        <v>0.0355865185464131</v>
      </c>
      <c r="G16" s="4" t="n">
        <v>227</v>
      </c>
      <c r="H16" s="8" t="n">
        <v>91.4</v>
      </c>
    </row>
    <row r="17" customFormat="false" ht="16.4" hidden="false" customHeight="false" outlineLevel="0" collapsed="false">
      <c r="A17" s="6" t="n">
        <v>45796</v>
      </c>
      <c r="B17" s="4" t="s">
        <v>4658</v>
      </c>
      <c r="C17" s="4" t="s">
        <v>4655</v>
      </c>
      <c r="D17" s="4" t="n">
        <v>4137</v>
      </c>
      <c r="E17" s="4" t="n">
        <v>40</v>
      </c>
      <c r="F17" s="19" t="n">
        <f aca="false">IFERROR(E17/D17,0)</f>
        <v>0.0096688421561518</v>
      </c>
      <c r="G17" s="4" t="n">
        <v>49</v>
      </c>
      <c r="H17" s="8" t="n">
        <v>126.8</v>
      </c>
    </row>
    <row r="18" customFormat="false" ht="16.4" hidden="false" customHeight="false" outlineLevel="0" collapsed="false">
      <c r="A18" s="6" t="n">
        <v>45929</v>
      </c>
      <c r="B18" s="4" t="s">
        <v>4656</v>
      </c>
      <c r="C18" s="4" t="s">
        <v>4655</v>
      </c>
      <c r="D18" s="4" t="n">
        <v>3198</v>
      </c>
      <c r="E18" s="4" t="n">
        <v>46</v>
      </c>
      <c r="F18" s="19" t="n">
        <f aca="false">IFERROR(E18/D18,0)</f>
        <v>0.0143839899937461</v>
      </c>
      <c r="G18" s="4" t="n">
        <v>167</v>
      </c>
      <c r="H18" s="8" t="n">
        <v>70.2</v>
      </c>
    </row>
    <row r="19" customFormat="false" ht="16.4" hidden="false" customHeight="false" outlineLevel="0" collapsed="false">
      <c r="A19" s="6" t="n">
        <v>46119</v>
      </c>
      <c r="B19" s="4" t="s">
        <v>4656</v>
      </c>
      <c r="C19" s="4" t="s">
        <v>4657</v>
      </c>
      <c r="D19" s="4" t="n">
        <v>3267</v>
      </c>
      <c r="E19" s="4" t="n">
        <v>59</v>
      </c>
      <c r="F19" s="19" t="n">
        <f aca="false">IFERROR(E19/D19,0)</f>
        <v>0.0180593816957453</v>
      </c>
      <c r="G19" s="4" t="n">
        <v>189</v>
      </c>
      <c r="H19" s="8" t="n">
        <v>234.1</v>
      </c>
    </row>
    <row r="20" customFormat="false" ht="16.4" hidden="false" customHeight="false" outlineLevel="0" collapsed="false">
      <c r="A20" s="6" t="n">
        <v>45686</v>
      </c>
      <c r="B20" s="4" t="s">
        <v>4658</v>
      </c>
      <c r="C20" s="4" t="s">
        <v>4657</v>
      </c>
      <c r="D20" s="4" t="n">
        <v>4046</v>
      </c>
      <c r="E20" s="4" t="n">
        <v>200</v>
      </c>
      <c r="F20" s="19" t="n">
        <f aca="false">IFERROR(E20/D20,0)</f>
        <v>0.0494315373208107</v>
      </c>
      <c r="G20" s="4" t="n">
        <v>202</v>
      </c>
      <c r="H20" s="8" t="n">
        <v>292.4</v>
      </c>
    </row>
    <row r="21" customFormat="false" ht="16.4" hidden="false" customHeight="false" outlineLevel="0" collapsed="false">
      <c r="A21" s="6" t="n">
        <v>45802</v>
      </c>
      <c r="B21" s="4" t="s">
        <v>4659</v>
      </c>
      <c r="C21" s="4" t="s">
        <v>4660</v>
      </c>
      <c r="D21" s="4" t="n">
        <v>3370</v>
      </c>
      <c r="E21" s="4" t="n">
        <v>181</v>
      </c>
      <c r="F21" s="19" t="n">
        <f aca="false">IFERROR(E21/D21,0)</f>
        <v>0.0537091988130564</v>
      </c>
      <c r="G21" s="4" t="n">
        <v>192</v>
      </c>
      <c r="H21" s="8" t="n">
        <v>203.1</v>
      </c>
    </row>
    <row r="22" customFormat="false" ht="16.4" hidden="false" customHeight="false" outlineLevel="0" collapsed="false">
      <c r="A22" s="6" t="n">
        <v>45749</v>
      </c>
      <c r="B22" s="4" t="s">
        <v>4656</v>
      </c>
      <c r="C22" s="4" t="s">
        <v>4660</v>
      </c>
      <c r="D22" s="4" t="n">
        <v>1210</v>
      </c>
      <c r="E22" s="4" t="n">
        <v>19</v>
      </c>
      <c r="F22" s="19" t="n">
        <f aca="false">IFERROR(E22/D22,0)</f>
        <v>0.015702479338843</v>
      </c>
      <c r="G22" s="4" t="n">
        <v>227</v>
      </c>
      <c r="H22" s="8" t="n">
        <v>120.1</v>
      </c>
    </row>
    <row r="23" customFormat="false" ht="16.4" hidden="false" customHeight="false" outlineLevel="0" collapsed="false">
      <c r="A23" s="6" t="n">
        <v>45850</v>
      </c>
      <c r="B23" s="4" t="s">
        <v>4658</v>
      </c>
      <c r="C23" s="4" t="s">
        <v>4660</v>
      </c>
      <c r="D23" s="4" t="n">
        <v>4615</v>
      </c>
      <c r="E23" s="4" t="n">
        <v>134</v>
      </c>
      <c r="F23" s="19" t="n">
        <f aca="false">IFERROR(E23/D23,0)</f>
        <v>0.029035752979415</v>
      </c>
      <c r="G23" s="4" t="n">
        <v>53</v>
      </c>
      <c r="H23" s="8" t="n">
        <v>275.6</v>
      </c>
    </row>
    <row r="24" customFormat="false" ht="16.4" hidden="false" customHeight="false" outlineLevel="0" collapsed="false">
      <c r="A24" s="6" t="n">
        <v>45891</v>
      </c>
      <c r="B24" s="4" t="s">
        <v>4659</v>
      </c>
      <c r="C24" s="4" t="s">
        <v>4655</v>
      </c>
      <c r="D24" s="4" t="n">
        <v>1278</v>
      </c>
      <c r="E24" s="4" t="n">
        <v>19</v>
      </c>
      <c r="F24" s="19" t="n">
        <f aca="false">IFERROR(E24/D24,0)</f>
        <v>0.0148669796557121</v>
      </c>
      <c r="G24" s="4" t="n">
        <v>41</v>
      </c>
      <c r="H24" s="8" t="n">
        <v>85.4</v>
      </c>
    </row>
    <row r="25" customFormat="false" ht="16.4" hidden="false" customHeight="false" outlineLevel="0" collapsed="false">
      <c r="A25" s="6" t="n">
        <v>45945</v>
      </c>
      <c r="B25" s="4" t="s">
        <v>4656</v>
      </c>
      <c r="C25" s="4" t="s">
        <v>4660</v>
      </c>
      <c r="D25" s="4" t="n">
        <v>5380</v>
      </c>
      <c r="E25" s="4" t="n">
        <v>312</v>
      </c>
      <c r="F25" s="19" t="n">
        <f aca="false">IFERROR(E25/D25,0)</f>
        <v>0.0579925650557621</v>
      </c>
      <c r="G25" s="4" t="n">
        <v>86</v>
      </c>
      <c r="H25" s="8" t="n">
        <v>90.7</v>
      </c>
    </row>
    <row r="26" customFormat="false" ht="16.4" hidden="false" customHeight="false" outlineLevel="0" collapsed="false">
      <c r="A26" s="6" t="n">
        <v>45821</v>
      </c>
      <c r="B26" s="4" t="s">
        <v>4654</v>
      </c>
      <c r="C26" s="4" t="s">
        <v>4655</v>
      </c>
      <c r="D26" s="4" t="n">
        <v>3558</v>
      </c>
      <c r="E26" s="4" t="n">
        <v>186</v>
      </c>
      <c r="F26" s="19" t="n">
        <f aca="false">IFERROR(E26/D26,0)</f>
        <v>0.0522765598650928</v>
      </c>
      <c r="G26" s="4" t="n">
        <v>34</v>
      </c>
      <c r="H26" s="8" t="n">
        <v>185.7</v>
      </c>
    </row>
    <row r="27" customFormat="false" ht="16.4" hidden="false" customHeight="false" outlineLevel="0" collapsed="false">
      <c r="A27" s="6" t="n">
        <v>45897</v>
      </c>
      <c r="B27" s="4" t="s">
        <v>4658</v>
      </c>
      <c r="C27" s="4" t="s">
        <v>4655</v>
      </c>
      <c r="D27" s="4" t="n">
        <v>2055</v>
      </c>
      <c r="E27" s="4" t="n">
        <v>79</v>
      </c>
      <c r="F27" s="19" t="n">
        <f aca="false">IFERROR(E27/D27,0)</f>
        <v>0.0384428223844282</v>
      </c>
      <c r="G27" s="4" t="n">
        <v>4</v>
      </c>
      <c r="H27" s="8" t="n">
        <v>77.6</v>
      </c>
    </row>
    <row r="28" customFormat="false" ht="16.4" hidden="false" customHeight="false" outlineLevel="0" collapsed="false">
      <c r="A28" s="6" t="n">
        <v>45768</v>
      </c>
      <c r="B28" s="4" t="s">
        <v>4654</v>
      </c>
      <c r="C28" s="4" t="s">
        <v>4655</v>
      </c>
      <c r="D28" s="4" t="n">
        <v>4087</v>
      </c>
      <c r="E28" s="4" t="n">
        <v>146</v>
      </c>
      <c r="F28" s="19" t="n">
        <f aca="false">IFERROR(E28/D28,0)</f>
        <v>0.0357230242231466</v>
      </c>
      <c r="G28" s="4" t="n">
        <v>224</v>
      </c>
      <c r="H28" s="8" t="n">
        <v>42.8</v>
      </c>
    </row>
    <row r="29" customFormat="false" ht="16.4" hidden="false" customHeight="false" outlineLevel="0" collapsed="false">
      <c r="A29" s="6" t="n">
        <v>45860</v>
      </c>
      <c r="B29" s="4" t="s">
        <v>4659</v>
      </c>
      <c r="C29" s="4" t="s">
        <v>4660</v>
      </c>
      <c r="D29" s="4" t="n">
        <v>979</v>
      </c>
      <c r="E29" s="4" t="n">
        <v>14</v>
      </c>
      <c r="F29" s="19" t="n">
        <f aca="false">IFERROR(E29/D29,0)</f>
        <v>0.0143003064351379</v>
      </c>
      <c r="G29" s="4" t="n">
        <v>119</v>
      </c>
      <c r="H29" s="8" t="n">
        <v>163.5</v>
      </c>
    </row>
    <row r="30" customFormat="false" ht="16.4" hidden="false" customHeight="false" outlineLevel="0" collapsed="false">
      <c r="A30" s="6" t="n">
        <v>46096</v>
      </c>
      <c r="B30" s="4" t="s">
        <v>4656</v>
      </c>
      <c r="C30" s="4" t="s">
        <v>4660</v>
      </c>
      <c r="D30" s="4" t="n">
        <v>1806</v>
      </c>
      <c r="E30" s="4" t="n">
        <v>85</v>
      </c>
      <c r="F30" s="19" t="n">
        <f aca="false">IFERROR(E30/D30,0)</f>
        <v>0.0470653377630122</v>
      </c>
      <c r="G30" s="4" t="n">
        <v>238</v>
      </c>
      <c r="H30" s="8" t="n">
        <v>268.4</v>
      </c>
    </row>
    <row r="31" customFormat="false" ht="16.4" hidden="false" customHeight="false" outlineLevel="0" collapsed="false">
      <c r="A31" s="6" t="n">
        <v>45803</v>
      </c>
      <c r="B31" s="4" t="s">
        <v>4656</v>
      </c>
      <c r="C31" s="4" t="s">
        <v>4657</v>
      </c>
      <c r="D31" s="4" t="n">
        <v>4384</v>
      </c>
      <c r="E31" s="4" t="n">
        <v>218</v>
      </c>
      <c r="F31" s="19" t="n">
        <f aca="false">IFERROR(E31/D31,0)</f>
        <v>0.0497262773722628</v>
      </c>
      <c r="G31" s="4" t="n">
        <v>156</v>
      </c>
      <c r="H31" s="8" t="n">
        <v>137.3</v>
      </c>
    </row>
    <row r="32" customFormat="false" ht="16.4" hidden="false" customHeight="false" outlineLevel="0" collapsed="false">
      <c r="A32" s="6" t="n">
        <v>45716</v>
      </c>
      <c r="B32" s="4" t="s">
        <v>4654</v>
      </c>
      <c r="C32" s="4" t="s">
        <v>4660</v>
      </c>
      <c r="D32" s="4" t="n">
        <v>3382</v>
      </c>
      <c r="E32" s="4" t="n">
        <v>63</v>
      </c>
      <c r="F32" s="19" t="n">
        <f aca="false">IFERROR(E32/D32,0)</f>
        <v>0.0186280307510349</v>
      </c>
      <c r="G32" s="4" t="n">
        <v>164</v>
      </c>
      <c r="H32" s="8" t="n">
        <v>143.7</v>
      </c>
    </row>
    <row r="33" customFormat="false" ht="16.4" hidden="false" customHeight="false" outlineLevel="0" collapsed="false">
      <c r="A33" s="6" t="n">
        <v>45835</v>
      </c>
      <c r="B33" s="4" t="s">
        <v>4654</v>
      </c>
      <c r="C33" s="4" t="s">
        <v>4657</v>
      </c>
      <c r="D33" s="4" t="n">
        <v>1259</v>
      </c>
      <c r="E33" s="4" t="n">
        <v>10</v>
      </c>
      <c r="F33" s="19" t="n">
        <f aca="false">IFERROR(E33/D33,0)</f>
        <v>0.0079428117553614</v>
      </c>
      <c r="G33" s="4" t="n">
        <v>148</v>
      </c>
      <c r="H33" s="8" t="n">
        <v>195.7</v>
      </c>
    </row>
    <row r="34" customFormat="false" ht="16.4" hidden="false" customHeight="false" outlineLevel="0" collapsed="false">
      <c r="A34" s="6" t="n">
        <v>45832</v>
      </c>
      <c r="B34" s="4" t="s">
        <v>4654</v>
      </c>
      <c r="C34" s="4" t="s">
        <v>4655</v>
      </c>
      <c r="D34" s="4" t="n">
        <v>2916</v>
      </c>
      <c r="E34" s="4" t="n">
        <v>124</v>
      </c>
      <c r="F34" s="19" t="n">
        <f aca="false">IFERROR(E34/D34,0)</f>
        <v>0.0425240054869685</v>
      </c>
      <c r="G34" s="4" t="n">
        <v>55</v>
      </c>
      <c r="H34" s="8" t="n">
        <v>115.8</v>
      </c>
    </row>
    <row r="35" customFormat="false" ht="16.4" hidden="false" customHeight="false" outlineLevel="0" collapsed="false">
      <c r="A35" s="6" t="n">
        <v>45788</v>
      </c>
      <c r="B35" s="4" t="s">
        <v>4659</v>
      </c>
      <c r="C35" s="4" t="s">
        <v>4660</v>
      </c>
      <c r="D35" s="4" t="n">
        <v>1879</v>
      </c>
      <c r="E35" s="4" t="n">
        <v>5</v>
      </c>
      <c r="F35" s="19" t="n">
        <f aca="false">IFERROR(E35/D35,0)</f>
        <v>0.00266098988823842</v>
      </c>
      <c r="G35" s="4" t="n">
        <v>17</v>
      </c>
      <c r="H35" s="8" t="n">
        <v>305</v>
      </c>
    </row>
    <row r="36" customFormat="false" ht="16.4" hidden="false" customHeight="false" outlineLevel="0" collapsed="false">
      <c r="A36" s="6" t="n">
        <v>46123</v>
      </c>
      <c r="B36" s="4" t="s">
        <v>4654</v>
      </c>
      <c r="C36" s="4" t="s">
        <v>4655</v>
      </c>
      <c r="D36" s="4" t="n">
        <v>934</v>
      </c>
      <c r="E36" s="4" t="n">
        <v>5</v>
      </c>
      <c r="F36" s="19" t="n">
        <f aca="false">IFERROR(E36/D36,0)</f>
        <v>0.00535331905781585</v>
      </c>
      <c r="G36" s="4" t="n">
        <v>169</v>
      </c>
      <c r="H36" s="8" t="n">
        <v>263.2</v>
      </c>
    </row>
    <row r="37" customFormat="false" ht="16.4" hidden="false" customHeight="false" outlineLevel="0" collapsed="false">
      <c r="A37" s="6" t="n">
        <v>46040</v>
      </c>
      <c r="B37" s="4" t="s">
        <v>4658</v>
      </c>
      <c r="C37" s="4" t="s">
        <v>4660</v>
      </c>
      <c r="D37" s="4" t="n">
        <v>3197</v>
      </c>
      <c r="E37" s="4" t="n">
        <v>13</v>
      </c>
      <c r="F37" s="19" t="n">
        <f aca="false">IFERROR(E37/D37,0)</f>
        <v>0.00406631216765718</v>
      </c>
      <c r="G37" s="4" t="n">
        <v>208</v>
      </c>
      <c r="H37" s="8" t="n">
        <v>286</v>
      </c>
    </row>
    <row r="38" customFormat="false" ht="16.4" hidden="false" customHeight="false" outlineLevel="0" collapsed="false">
      <c r="A38" s="6" t="n">
        <v>45923</v>
      </c>
      <c r="B38" s="4" t="s">
        <v>4656</v>
      </c>
      <c r="C38" s="4" t="s">
        <v>4657</v>
      </c>
      <c r="D38" s="4" t="n">
        <v>4188</v>
      </c>
      <c r="E38" s="4" t="n">
        <v>234</v>
      </c>
      <c r="F38" s="19" t="n">
        <f aca="false">IFERROR(E38/D38,0)</f>
        <v>0.0558739255014327</v>
      </c>
      <c r="G38" s="4" t="n">
        <v>198</v>
      </c>
      <c r="H38" s="8" t="n">
        <v>308.4</v>
      </c>
    </row>
    <row r="39" customFormat="false" ht="16.4" hidden="false" customHeight="false" outlineLevel="0" collapsed="false">
      <c r="A39" s="6" t="n">
        <v>45986</v>
      </c>
      <c r="B39" s="4" t="s">
        <v>4659</v>
      </c>
      <c r="C39" s="4" t="s">
        <v>4660</v>
      </c>
      <c r="D39" s="4" t="n">
        <v>4701</v>
      </c>
      <c r="E39" s="4" t="n">
        <v>253</v>
      </c>
      <c r="F39" s="19" t="n">
        <f aca="false">IFERROR(E39/D39,0)</f>
        <v>0.0538183365241438</v>
      </c>
      <c r="G39" s="4" t="n">
        <v>27</v>
      </c>
      <c r="H39" s="8" t="n">
        <v>214.2</v>
      </c>
    </row>
    <row r="40" customFormat="false" ht="16.4" hidden="false" customHeight="false" outlineLevel="0" collapsed="false">
      <c r="A40" s="6" t="n">
        <v>45709</v>
      </c>
      <c r="B40" s="4" t="s">
        <v>4656</v>
      </c>
      <c r="C40" s="4" t="s">
        <v>4660</v>
      </c>
      <c r="D40" s="4" t="n">
        <v>2298</v>
      </c>
      <c r="E40" s="4" t="n">
        <v>67</v>
      </c>
      <c r="F40" s="19" t="n">
        <f aca="false">IFERROR(E40/D40,0)</f>
        <v>0.0291557876414273</v>
      </c>
      <c r="G40" s="4" t="n">
        <v>163</v>
      </c>
      <c r="H40" s="8" t="n">
        <v>191.7</v>
      </c>
    </row>
    <row r="41" customFormat="false" ht="16.4" hidden="false" customHeight="false" outlineLevel="0" collapsed="false">
      <c r="A41" s="6" t="n">
        <v>45815</v>
      </c>
      <c r="B41" s="4" t="s">
        <v>4656</v>
      </c>
      <c r="C41" s="4" t="s">
        <v>4657</v>
      </c>
      <c r="D41" s="4" t="n">
        <v>5197</v>
      </c>
      <c r="E41" s="4" t="n">
        <v>225</v>
      </c>
      <c r="F41" s="19" t="n">
        <f aca="false">IFERROR(E41/D41,0)</f>
        <v>0.0432942081970368</v>
      </c>
      <c r="G41" s="4" t="n">
        <v>37</v>
      </c>
      <c r="H41" s="8" t="n">
        <v>135.1</v>
      </c>
    </row>
    <row r="42" customFormat="false" ht="16.4" hidden="false" customHeight="false" outlineLevel="0" collapsed="false">
      <c r="A42" s="6" t="n">
        <v>45817</v>
      </c>
      <c r="B42" s="4" t="s">
        <v>4659</v>
      </c>
      <c r="C42" s="4" t="s">
        <v>4657</v>
      </c>
      <c r="D42" s="4" t="n">
        <v>1325</v>
      </c>
      <c r="E42" s="4" t="n">
        <v>23</v>
      </c>
      <c r="F42" s="19" t="n">
        <f aca="false">IFERROR(E42/D42,0)</f>
        <v>0.0173584905660377</v>
      </c>
      <c r="G42" s="4" t="n">
        <v>10</v>
      </c>
      <c r="H42" s="8" t="n">
        <v>264.7</v>
      </c>
    </row>
    <row r="43" customFormat="false" ht="16.4" hidden="false" customHeight="false" outlineLevel="0" collapsed="false">
      <c r="A43" s="6" t="n">
        <v>46061</v>
      </c>
      <c r="B43" s="4" t="s">
        <v>4659</v>
      </c>
      <c r="C43" s="4" t="s">
        <v>4657</v>
      </c>
      <c r="D43" s="4" t="n">
        <v>3611</v>
      </c>
      <c r="E43" s="4" t="n">
        <v>98</v>
      </c>
      <c r="F43" s="19" t="n">
        <f aca="false">IFERROR(E43/D43,0)</f>
        <v>0.0271392965937413</v>
      </c>
      <c r="G43" s="4" t="n">
        <v>65</v>
      </c>
      <c r="H43" s="8" t="n">
        <v>296.2</v>
      </c>
    </row>
    <row r="44" customFormat="false" ht="16.4" hidden="false" customHeight="false" outlineLevel="0" collapsed="false">
      <c r="A44" s="6" t="n">
        <v>46155</v>
      </c>
      <c r="B44" s="4" t="s">
        <v>4654</v>
      </c>
      <c r="C44" s="4" t="s">
        <v>4657</v>
      </c>
      <c r="D44" s="4" t="n">
        <v>2007</v>
      </c>
      <c r="E44" s="4" t="n">
        <v>31</v>
      </c>
      <c r="F44" s="19" t="n">
        <f aca="false">IFERROR(E44/D44,0)</f>
        <v>0.0154459392127554</v>
      </c>
      <c r="G44" s="4" t="n">
        <v>48</v>
      </c>
      <c r="H44" s="8" t="n">
        <v>166.4</v>
      </c>
    </row>
    <row r="45" customFormat="false" ht="16.4" hidden="false" customHeight="false" outlineLevel="0" collapsed="false">
      <c r="A45" s="6" t="n">
        <v>45760</v>
      </c>
      <c r="B45" s="4" t="s">
        <v>4654</v>
      </c>
      <c r="C45" s="4" t="s">
        <v>4655</v>
      </c>
      <c r="D45" s="4" t="n">
        <v>1425</v>
      </c>
      <c r="E45" s="4" t="n">
        <v>23</v>
      </c>
      <c r="F45" s="19" t="n">
        <f aca="false">IFERROR(E45/D45,0)</f>
        <v>0.016140350877193</v>
      </c>
      <c r="G45" s="4" t="n">
        <v>22</v>
      </c>
      <c r="H45" s="8" t="n">
        <v>314.2</v>
      </c>
    </row>
    <row r="46" customFormat="false" ht="16.4" hidden="false" customHeight="false" outlineLevel="0" collapsed="false">
      <c r="A46" s="6" t="n">
        <v>46126</v>
      </c>
      <c r="B46" s="4" t="s">
        <v>4658</v>
      </c>
      <c r="C46" s="4" t="s">
        <v>4655</v>
      </c>
      <c r="D46" s="4" t="n">
        <v>1776</v>
      </c>
      <c r="E46" s="4" t="n">
        <v>67</v>
      </c>
      <c r="F46" s="19" t="n">
        <f aca="false">IFERROR(E46/D46,0)</f>
        <v>0.0377252252252252</v>
      </c>
      <c r="G46" s="4" t="n">
        <v>178</v>
      </c>
      <c r="H46" s="8" t="n">
        <v>137.1</v>
      </c>
    </row>
    <row r="47" customFormat="false" ht="16.4" hidden="false" customHeight="false" outlineLevel="0" collapsed="false">
      <c r="A47" s="6" t="n">
        <v>45709</v>
      </c>
      <c r="B47" s="4" t="s">
        <v>4658</v>
      </c>
      <c r="C47" s="4" t="s">
        <v>4660</v>
      </c>
      <c r="D47" s="4" t="n">
        <v>5328</v>
      </c>
      <c r="E47" s="4" t="n">
        <v>212</v>
      </c>
      <c r="F47" s="19" t="n">
        <f aca="false">IFERROR(E47/D47,0)</f>
        <v>0.0397897897897898</v>
      </c>
      <c r="G47" s="4" t="n">
        <v>218</v>
      </c>
      <c r="H47" s="8" t="n">
        <v>53.9</v>
      </c>
    </row>
    <row r="48" customFormat="false" ht="16.4" hidden="false" customHeight="false" outlineLevel="0" collapsed="false">
      <c r="A48" s="6" t="n">
        <v>45694</v>
      </c>
      <c r="B48" s="4" t="s">
        <v>4654</v>
      </c>
      <c r="C48" s="4" t="s">
        <v>4657</v>
      </c>
      <c r="D48" s="4" t="n">
        <v>4770</v>
      </c>
      <c r="E48" s="4" t="n">
        <v>149</v>
      </c>
      <c r="F48" s="19" t="n">
        <f aca="false">IFERROR(E48/D48,0)</f>
        <v>0.0312368972746331</v>
      </c>
      <c r="G48" s="4" t="n">
        <v>38</v>
      </c>
      <c r="H48" s="8" t="n">
        <v>138.7</v>
      </c>
    </row>
    <row r="49" customFormat="false" ht="16.4" hidden="false" customHeight="false" outlineLevel="0" collapsed="false">
      <c r="A49" s="6" t="n">
        <v>45840</v>
      </c>
      <c r="B49" s="4" t="s">
        <v>4659</v>
      </c>
      <c r="C49" s="4" t="s">
        <v>4657</v>
      </c>
      <c r="D49" s="4" t="n">
        <v>2862</v>
      </c>
      <c r="E49" s="4" t="n">
        <v>90</v>
      </c>
      <c r="F49" s="19" t="n">
        <f aca="false">IFERROR(E49/D49,0)</f>
        <v>0.0314465408805031</v>
      </c>
      <c r="G49" s="4" t="n">
        <v>226</v>
      </c>
      <c r="H49" s="8" t="n">
        <v>291.3</v>
      </c>
    </row>
    <row r="50" customFormat="false" ht="16.4" hidden="false" customHeight="false" outlineLevel="0" collapsed="false">
      <c r="A50" s="6" t="n">
        <v>45762</v>
      </c>
      <c r="B50" s="4" t="s">
        <v>4654</v>
      </c>
      <c r="C50" s="4" t="s">
        <v>4655</v>
      </c>
      <c r="D50" s="4" t="n">
        <v>1696</v>
      </c>
      <c r="E50" s="4" t="n">
        <v>63</v>
      </c>
      <c r="F50" s="19" t="n">
        <f aca="false">IFERROR(E50/D50,0)</f>
        <v>0.0371462264150943</v>
      </c>
      <c r="G50" s="4" t="n">
        <v>36</v>
      </c>
      <c r="H50" s="8" t="n">
        <v>293.5</v>
      </c>
    </row>
    <row r="51" customFormat="false" ht="16.4" hidden="false" customHeight="false" outlineLevel="0" collapsed="false">
      <c r="A51" s="6" t="n">
        <v>45918</v>
      </c>
      <c r="B51" s="4" t="s">
        <v>4654</v>
      </c>
      <c r="C51" s="4" t="s">
        <v>4655</v>
      </c>
      <c r="D51" s="4" t="n">
        <v>3976</v>
      </c>
      <c r="E51" s="4" t="n">
        <v>191</v>
      </c>
      <c r="F51" s="19" t="n">
        <f aca="false">IFERROR(E51/D51,0)</f>
        <v>0.0480382293762576</v>
      </c>
      <c r="G51" s="4" t="n">
        <v>142</v>
      </c>
      <c r="H51" s="8" t="n">
        <v>167.2</v>
      </c>
    </row>
    <row r="52" customFormat="false" ht="16.4" hidden="false" customHeight="false" outlineLevel="0" collapsed="false">
      <c r="A52" s="6" t="n">
        <v>46027</v>
      </c>
      <c r="B52" s="4" t="s">
        <v>4659</v>
      </c>
      <c r="C52" s="4" t="s">
        <v>4655</v>
      </c>
      <c r="D52" s="4" t="n">
        <v>2139</v>
      </c>
      <c r="E52" s="4" t="n">
        <v>5</v>
      </c>
      <c r="F52" s="19" t="n">
        <f aca="false">IFERROR(E52/D52,0)</f>
        <v>0.00233754090696587</v>
      </c>
      <c r="G52" s="4" t="n">
        <v>36</v>
      </c>
      <c r="H52" s="8" t="n">
        <v>71.6</v>
      </c>
    </row>
    <row r="53" customFormat="false" ht="16.4" hidden="false" customHeight="false" outlineLevel="0" collapsed="false">
      <c r="A53" s="6" t="n">
        <v>45986</v>
      </c>
      <c r="B53" s="4" t="s">
        <v>4659</v>
      </c>
      <c r="C53" s="4" t="s">
        <v>4657</v>
      </c>
      <c r="D53" s="4" t="n">
        <v>2243</v>
      </c>
      <c r="E53" s="4" t="n">
        <v>96</v>
      </c>
      <c r="F53" s="19" t="n">
        <f aca="false">IFERROR(E53/D53,0)</f>
        <v>0.0427998216674097</v>
      </c>
      <c r="G53" s="4" t="n">
        <v>225</v>
      </c>
      <c r="H53" s="8" t="n">
        <v>220.9</v>
      </c>
    </row>
    <row r="54" customFormat="false" ht="16.4" hidden="false" customHeight="false" outlineLevel="0" collapsed="false">
      <c r="A54" s="6" t="n">
        <v>45659</v>
      </c>
      <c r="B54" s="4" t="s">
        <v>4654</v>
      </c>
      <c r="C54" s="4" t="s">
        <v>4655</v>
      </c>
      <c r="D54" s="4" t="n">
        <v>2375</v>
      </c>
      <c r="E54" s="4" t="n">
        <v>49</v>
      </c>
      <c r="F54" s="19" t="n">
        <f aca="false">IFERROR(E54/D54,0)</f>
        <v>0.0206315789473684</v>
      </c>
      <c r="G54" s="4" t="n">
        <v>74</v>
      </c>
      <c r="H54" s="8" t="n">
        <v>122.4</v>
      </c>
    </row>
    <row r="55" customFormat="false" ht="16.4" hidden="false" customHeight="false" outlineLevel="0" collapsed="false">
      <c r="A55" s="6" t="n">
        <v>45970</v>
      </c>
      <c r="B55" s="4" t="s">
        <v>4656</v>
      </c>
      <c r="C55" s="4" t="s">
        <v>4657</v>
      </c>
      <c r="D55" s="4" t="n">
        <v>4427</v>
      </c>
      <c r="E55" s="4" t="n">
        <v>9</v>
      </c>
      <c r="F55" s="19" t="n">
        <f aca="false">IFERROR(E55/D55,0)</f>
        <v>0.00203297944431895</v>
      </c>
      <c r="G55" s="4" t="n">
        <v>153</v>
      </c>
      <c r="H55" s="8" t="n">
        <v>202.4</v>
      </c>
    </row>
    <row r="56" customFormat="false" ht="16.4" hidden="false" customHeight="false" outlineLevel="0" collapsed="false">
      <c r="A56" s="6" t="n">
        <v>45935</v>
      </c>
      <c r="B56" s="4" t="s">
        <v>4656</v>
      </c>
      <c r="C56" s="4" t="s">
        <v>4655</v>
      </c>
      <c r="D56" s="4" t="n">
        <v>3508</v>
      </c>
      <c r="E56" s="4" t="n">
        <v>3</v>
      </c>
      <c r="F56" s="19" t="n">
        <f aca="false">IFERROR(E56/D56,0)</f>
        <v>0.000855188141391106</v>
      </c>
      <c r="G56" s="4" t="n">
        <v>205</v>
      </c>
      <c r="H56" s="8" t="n">
        <v>86.5</v>
      </c>
    </row>
    <row r="57" customFormat="false" ht="16.4" hidden="false" customHeight="false" outlineLevel="0" collapsed="false">
      <c r="A57" s="6" t="n">
        <v>46044</v>
      </c>
      <c r="B57" s="4" t="s">
        <v>4659</v>
      </c>
      <c r="C57" s="4" t="s">
        <v>4655</v>
      </c>
      <c r="D57" s="4" t="n">
        <v>3865</v>
      </c>
      <c r="E57" s="4" t="n">
        <v>157</v>
      </c>
      <c r="F57" s="19" t="n">
        <f aca="false">IFERROR(E57/D57,0)</f>
        <v>0.040620957309185</v>
      </c>
      <c r="G57" s="4" t="n">
        <v>156</v>
      </c>
      <c r="H57" s="8" t="n">
        <v>254.5</v>
      </c>
    </row>
    <row r="58" customFormat="false" ht="16.4" hidden="false" customHeight="false" outlineLevel="0" collapsed="false">
      <c r="A58" s="6" t="n">
        <v>46116</v>
      </c>
      <c r="B58" s="4" t="s">
        <v>4656</v>
      </c>
      <c r="C58" s="4" t="s">
        <v>4660</v>
      </c>
      <c r="D58" s="4" t="n">
        <v>3365</v>
      </c>
      <c r="E58" s="4" t="n">
        <v>48</v>
      </c>
      <c r="F58" s="19" t="n">
        <f aca="false">IFERROR(E58/D58,0)</f>
        <v>0.0142644873699851</v>
      </c>
      <c r="G58" s="4" t="n">
        <v>159</v>
      </c>
      <c r="H58" s="8" t="n">
        <v>236.6</v>
      </c>
    </row>
    <row r="59" customFormat="false" ht="16.4" hidden="false" customHeight="false" outlineLevel="0" collapsed="false">
      <c r="A59" s="6" t="n">
        <v>46095</v>
      </c>
      <c r="B59" s="4" t="s">
        <v>4654</v>
      </c>
      <c r="C59" s="4" t="s">
        <v>4655</v>
      </c>
      <c r="D59" s="4" t="n">
        <v>2288</v>
      </c>
      <c r="E59" s="4" t="n">
        <v>101</v>
      </c>
      <c r="F59" s="19" t="n">
        <f aca="false">IFERROR(E59/D59,0)</f>
        <v>0.0441433566433566</v>
      </c>
      <c r="G59" s="4" t="n">
        <v>224</v>
      </c>
      <c r="H59" s="8" t="n">
        <v>207.4</v>
      </c>
    </row>
    <row r="60" customFormat="false" ht="16.4" hidden="false" customHeight="false" outlineLevel="0" collapsed="false">
      <c r="A60" s="6" t="n">
        <v>45896</v>
      </c>
      <c r="B60" s="4" t="s">
        <v>4659</v>
      </c>
      <c r="C60" s="4" t="s">
        <v>4655</v>
      </c>
      <c r="D60" s="4" t="n">
        <v>3393</v>
      </c>
      <c r="E60" s="4" t="n">
        <v>106</v>
      </c>
      <c r="F60" s="19" t="n">
        <f aca="false">IFERROR(E60/D60,0)</f>
        <v>0.0312407898614795</v>
      </c>
      <c r="G60" s="4" t="n">
        <v>115</v>
      </c>
      <c r="H60" s="8" t="n">
        <v>298</v>
      </c>
    </row>
    <row r="61" customFormat="false" ht="16.4" hidden="false" customHeight="false" outlineLevel="0" collapsed="false">
      <c r="A61" s="6" t="n">
        <v>45832</v>
      </c>
      <c r="B61" s="4" t="s">
        <v>4654</v>
      </c>
      <c r="C61" s="4" t="s">
        <v>4660</v>
      </c>
      <c r="D61" s="4" t="n">
        <v>4684</v>
      </c>
      <c r="E61" s="4" t="n">
        <v>163</v>
      </c>
      <c r="F61" s="19" t="n">
        <f aca="false">IFERROR(E61/D61,0)</f>
        <v>0.034799316823228</v>
      </c>
      <c r="G61" s="4" t="n">
        <v>145</v>
      </c>
      <c r="H61" s="8" t="n">
        <v>83</v>
      </c>
    </row>
    <row r="62" customFormat="false" ht="16.4" hidden="false" customHeight="false" outlineLevel="0" collapsed="false">
      <c r="A62" s="6" t="n">
        <v>46066</v>
      </c>
      <c r="B62" s="4" t="s">
        <v>4659</v>
      </c>
      <c r="C62" s="4" t="s">
        <v>4657</v>
      </c>
      <c r="D62" s="4" t="n">
        <v>4227</v>
      </c>
      <c r="E62" s="4" t="n">
        <v>20</v>
      </c>
      <c r="F62" s="19" t="n">
        <f aca="false">IFERROR(E62/D62,0)</f>
        <v>0.00473148805299267</v>
      </c>
      <c r="G62" s="4" t="n">
        <v>21</v>
      </c>
      <c r="H62" s="8" t="n">
        <v>79.7</v>
      </c>
    </row>
    <row r="63" customFormat="false" ht="16.4" hidden="false" customHeight="false" outlineLevel="0" collapsed="false">
      <c r="A63" s="6" t="n">
        <v>46035</v>
      </c>
      <c r="B63" s="4" t="s">
        <v>4654</v>
      </c>
      <c r="C63" s="4" t="s">
        <v>4655</v>
      </c>
      <c r="D63" s="4" t="n">
        <v>1896</v>
      </c>
      <c r="E63" s="4" t="n">
        <v>3</v>
      </c>
      <c r="F63" s="19" t="n">
        <f aca="false">IFERROR(E63/D63,0)</f>
        <v>0.00158227848101266</v>
      </c>
      <c r="G63" s="4" t="n">
        <v>151</v>
      </c>
      <c r="H63" s="8" t="n">
        <v>120</v>
      </c>
    </row>
    <row r="64" customFormat="false" ht="16.4" hidden="false" customHeight="false" outlineLevel="0" collapsed="false">
      <c r="A64" s="6" t="n">
        <v>46078</v>
      </c>
      <c r="B64" s="4" t="s">
        <v>4654</v>
      </c>
      <c r="C64" s="4" t="s">
        <v>4655</v>
      </c>
      <c r="D64" s="4" t="n">
        <v>1384</v>
      </c>
      <c r="E64" s="4" t="n">
        <v>41</v>
      </c>
      <c r="F64" s="19" t="n">
        <f aca="false">IFERROR(E64/D64,0)</f>
        <v>0.0296242774566474</v>
      </c>
      <c r="G64" s="4" t="n">
        <v>38</v>
      </c>
      <c r="H64" s="8" t="n">
        <v>205.6</v>
      </c>
    </row>
    <row r="65" customFormat="false" ht="16.4" hidden="false" customHeight="false" outlineLevel="0" collapsed="false">
      <c r="A65" s="6" t="n">
        <v>46069</v>
      </c>
      <c r="B65" s="4" t="s">
        <v>4654</v>
      </c>
      <c r="C65" s="4" t="s">
        <v>4660</v>
      </c>
      <c r="D65" s="4" t="n">
        <v>3387</v>
      </c>
      <c r="E65" s="4" t="n">
        <v>193</v>
      </c>
      <c r="F65" s="19" t="n">
        <f aca="false">IFERROR(E65/D65,0)</f>
        <v>0.0569825804546797</v>
      </c>
      <c r="G65" s="4" t="n">
        <v>62</v>
      </c>
      <c r="H65" s="8" t="n">
        <v>169.7</v>
      </c>
    </row>
    <row r="66" customFormat="false" ht="16.4" hidden="false" customHeight="false" outlineLevel="0" collapsed="false">
      <c r="A66" s="6" t="n">
        <v>46076</v>
      </c>
      <c r="B66" s="4" t="s">
        <v>4654</v>
      </c>
      <c r="C66" s="4" t="s">
        <v>4657</v>
      </c>
      <c r="D66" s="4" t="n">
        <v>2062</v>
      </c>
      <c r="E66" s="4" t="n">
        <v>82</v>
      </c>
      <c r="F66" s="19" t="n">
        <f aca="false">IFERROR(E66/D66,0)</f>
        <v>0.0397672162948594</v>
      </c>
      <c r="G66" s="4" t="n">
        <v>185</v>
      </c>
      <c r="H66" s="8" t="n">
        <v>123.1</v>
      </c>
    </row>
    <row r="67" customFormat="false" ht="16.4" hidden="false" customHeight="false" outlineLevel="0" collapsed="false">
      <c r="A67" s="6" t="n">
        <v>46099</v>
      </c>
      <c r="B67" s="4" t="s">
        <v>4656</v>
      </c>
      <c r="C67" s="4" t="s">
        <v>4655</v>
      </c>
      <c r="D67" s="4" t="n">
        <v>2273</v>
      </c>
      <c r="E67" s="4" t="n">
        <v>10</v>
      </c>
      <c r="F67" s="19" t="n">
        <f aca="false">IFERROR(E67/D67,0)</f>
        <v>0.0043994720633524</v>
      </c>
      <c r="G67" s="4" t="n">
        <v>85</v>
      </c>
      <c r="H67" s="8" t="n">
        <v>225.7</v>
      </c>
    </row>
    <row r="68" customFormat="false" ht="16.4" hidden="false" customHeight="false" outlineLevel="0" collapsed="false">
      <c r="A68" s="6" t="n">
        <v>46005</v>
      </c>
      <c r="B68" s="4" t="s">
        <v>4658</v>
      </c>
      <c r="C68" s="4" t="s">
        <v>4655</v>
      </c>
      <c r="D68" s="4" t="n">
        <v>5013</v>
      </c>
      <c r="E68" s="4" t="n">
        <v>13</v>
      </c>
      <c r="F68" s="19" t="n">
        <f aca="false">IFERROR(E68/D68,0)</f>
        <v>0.00259325753042091</v>
      </c>
      <c r="G68" s="4" t="n">
        <v>52</v>
      </c>
      <c r="H68" s="8" t="n">
        <v>242.7</v>
      </c>
    </row>
    <row r="69" customFormat="false" ht="16.4" hidden="false" customHeight="false" outlineLevel="0" collapsed="false">
      <c r="A69" s="6" t="n">
        <v>45699</v>
      </c>
      <c r="B69" s="4" t="s">
        <v>4658</v>
      </c>
      <c r="C69" s="4" t="s">
        <v>4660</v>
      </c>
      <c r="D69" s="4" t="n">
        <v>2627</v>
      </c>
      <c r="E69" s="4" t="n">
        <v>137</v>
      </c>
      <c r="F69" s="19" t="n">
        <f aca="false">IFERROR(E69/D69,0)</f>
        <v>0.0521507422915874</v>
      </c>
      <c r="G69" s="4" t="n">
        <v>146</v>
      </c>
      <c r="H69" s="8" t="n">
        <v>189.6</v>
      </c>
    </row>
    <row r="70" customFormat="false" ht="16.4" hidden="false" customHeight="false" outlineLevel="0" collapsed="false">
      <c r="A70" s="6" t="n">
        <v>45723</v>
      </c>
      <c r="B70" s="4" t="s">
        <v>4658</v>
      </c>
      <c r="C70" s="4" t="s">
        <v>4655</v>
      </c>
      <c r="D70" s="4" t="n">
        <v>2638</v>
      </c>
      <c r="E70" s="4" t="n">
        <v>40</v>
      </c>
      <c r="F70" s="19" t="n">
        <f aca="false">IFERROR(E70/D70,0)</f>
        <v>0.0151630022744503</v>
      </c>
      <c r="G70" s="4" t="n">
        <v>217</v>
      </c>
      <c r="H70" s="8" t="n">
        <v>82.5</v>
      </c>
    </row>
    <row r="71" customFormat="false" ht="16.4" hidden="false" customHeight="false" outlineLevel="0" collapsed="false">
      <c r="A71" s="6" t="n">
        <v>46039</v>
      </c>
      <c r="B71" s="4" t="s">
        <v>4659</v>
      </c>
      <c r="C71" s="4" t="s">
        <v>4657</v>
      </c>
      <c r="D71" s="4" t="n">
        <v>2216</v>
      </c>
      <c r="E71" s="4" t="n">
        <v>19</v>
      </c>
      <c r="F71" s="19" t="n">
        <f aca="false">IFERROR(E71/D71,0)</f>
        <v>0.00857400722021661</v>
      </c>
      <c r="G71" s="4" t="n">
        <v>169</v>
      </c>
      <c r="H71" s="8" t="n">
        <v>295.3</v>
      </c>
    </row>
    <row r="72" customFormat="false" ht="16.4" hidden="false" customHeight="false" outlineLevel="0" collapsed="false">
      <c r="A72" s="6" t="n">
        <v>46039</v>
      </c>
      <c r="B72" s="4" t="s">
        <v>4654</v>
      </c>
      <c r="C72" s="4" t="s">
        <v>4660</v>
      </c>
      <c r="D72" s="4" t="n">
        <v>1722</v>
      </c>
      <c r="E72" s="4" t="n">
        <v>91</v>
      </c>
      <c r="F72" s="19" t="n">
        <f aca="false">IFERROR(E72/D72,0)</f>
        <v>0.0528455284552846</v>
      </c>
      <c r="G72" s="4" t="n">
        <v>139</v>
      </c>
      <c r="H72" s="8" t="n">
        <v>156.8</v>
      </c>
    </row>
    <row r="73" customFormat="false" ht="16.4" hidden="false" customHeight="false" outlineLevel="0" collapsed="false">
      <c r="A73" s="6" t="n">
        <v>45963</v>
      </c>
      <c r="B73" s="4" t="s">
        <v>4658</v>
      </c>
      <c r="C73" s="4" t="s">
        <v>4655</v>
      </c>
      <c r="D73" s="4" t="n">
        <v>4891</v>
      </c>
      <c r="E73" s="4" t="n">
        <v>205</v>
      </c>
      <c r="F73" s="19" t="n">
        <f aca="false">IFERROR(E73/D73,0)</f>
        <v>0.0419137190758536</v>
      </c>
      <c r="G73" s="4" t="n">
        <v>195</v>
      </c>
      <c r="H73" s="8" t="n">
        <v>203.2</v>
      </c>
    </row>
    <row r="74" customFormat="false" ht="16.4" hidden="false" customHeight="false" outlineLevel="0" collapsed="false">
      <c r="A74" s="6" t="n">
        <v>45926</v>
      </c>
      <c r="B74" s="4" t="s">
        <v>4658</v>
      </c>
      <c r="C74" s="4" t="s">
        <v>4660</v>
      </c>
      <c r="D74" s="4" t="n">
        <v>5148</v>
      </c>
      <c r="E74" s="4" t="n">
        <v>167</v>
      </c>
      <c r="F74" s="19" t="n">
        <f aca="false">IFERROR(E74/D74,0)</f>
        <v>0.0324397824397824</v>
      </c>
      <c r="G74" s="4" t="n">
        <v>79</v>
      </c>
      <c r="H74" s="8" t="n">
        <v>316.9</v>
      </c>
    </row>
    <row r="75" customFormat="false" ht="16.4" hidden="false" customHeight="false" outlineLevel="0" collapsed="false">
      <c r="A75" s="6" t="n">
        <v>45658</v>
      </c>
      <c r="B75" s="4" t="s">
        <v>4658</v>
      </c>
      <c r="C75" s="4" t="s">
        <v>4660</v>
      </c>
      <c r="D75" s="4" t="n">
        <v>1894</v>
      </c>
      <c r="E75" s="4" t="n">
        <v>107</v>
      </c>
      <c r="F75" s="19" t="n">
        <f aca="false">IFERROR(E75/D75,0)</f>
        <v>0.0564941921858501</v>
      </c>
      <c r="G75" s="4" t="n">
        <v>45</v>
      </c>
      <c r="H75" s="8" t="n">
        <v>199.6</v>
      </c>
    </row>
    <row r="76" customFormat="false" ht="16.4" hidden="false" customHeight="false" outlineLevel="0" collapsed="false">
      <c r="A76" s="6" t="n">
        <v>46110</v>
      </c>
      <c r="B76" s="4" t="s">
        <v>4656</v>
      </c>
      <c r="C76" s="4" t="s">
        <v>4655</v>
      </c>
      <c r="D76" s="4" t="n">
        <v>4916</v>
      </c>
      <c r="E76" s="4" t="n">
        <v>254</v>
      </c>
      <c r="F76" s="19" t="n">
        <f aca="false">IFERROR(E76/D76,0)</f>
        <v>0.0516680227827502</v>
      </c>
      <c r="G76" s="4" t="n">
        <v>212</v>
      </c>
      <c r="H76" s="8" t="n">
        <v>127.8</v>
      </c>
    </row>
    <row r="77" customFormat="false" ht="16.4" hidden="false" customHeight="false" outlineLevel="0" collapsed="false">
      <c r="A77" s="6" t="n">
        <v>46055</v>
      </c>
      <c r="B77" s="4" t="s">
        <v>4656</v>
      </c>
      <c r="C77" s="4" t="s">
        <v>4660</v>
      </c>
      <c r="D77" s="4" t="n">
        <v>3481</v>
      </c>
      <c r="E77" s="4" t="n">
        <v>198</v>
      </c>
      <c r="F77" s="19" t="n">
        <f aca="false">IFERROR(E77/D77,0)</f>
        <v>0.0568802068371158</v>
      </c>
      <c r="G77" s="4" t="n">
        <v>222</v>
      </c>
      <c r="H77" s="8" t="n">
        <v>151.8</v>
      </c>
    </row>
    <row r="78" customFormat="false" ht="16.4" hidden="false" customHeight="false" outlineLevel="0" collapsed="false">
      <c r="A78" s="6" t="n">
        <v>45779</v>
      </c>
      <c r="B78" s="4" t="s">
        <v>4656</v>
      </c>
      <c r="C78" s="4" t="s">
        <v>4657</v>
      </c>
      <c r="D78" s="4" t="n">
        <v>3346</v>
      </c>
      <c r="E78" s="4" t="n">
        <v>198</v>
      </c>
      <c r="F78" s="19" t="n">
        <f aca="false">IFERROR(E78/D78,0)</f>
        <v>0.059175134488942</v>
      </c>
      <c r="G78" s="4" t="n">
        <v>33</v>
      </c>
      <c r="H78" s="8" t="n">
        <v>101</v>
      </c>
    </row>
    <row r="79" customFormat="false" ht="16.4" hidden="false" customHeight="false" outlineLevel="0" collapsed="false">
      <c r="A79" s="6" t="n">
        <v>45802</v>
      </c>
      <c r="B79" s="4" t="s">
        <v>4656</v>
      </c>
      <c r="C79" s="4" t="s">
        <v>4655</v>
      </c>
      <c r="D79" s="4" t="n">
        <v>2276</v>
      </c>
      <c r="E79" s="4" t="n">
        <v>28</v>
      </c>
      <c r="F79" s="19" t="n">
        <f aca="false">IFERROR(E79/D79,0)</f>
        <v>0.0123022847100176</v>
      </c>
      <c r="G79" s="4" t="n">
        <v>45</v>
      </c>
      <c r="H79" s="8" t="n">
        <v>61</v>
      </c>
    </row>
    <row r="80" customFormat="false" ht="16.4" hidden="false" customHeight="false" outlineLevel="0" collapsed="false">
      <c r="A80" s="6" t="n">
        <v>45970</v>
      </c>
      <c r="B80" s="4" t="s">
        <v>4658</v>
      </c>
      <c r="C80" s="4" t="s">
        <v>4655</v>
      </c>
      <c r="D80" s="4" t="n">
        <v>2299</v>
      </c>
      <c r="E80" s="4" t="n">
        <v>4</v>
      </c>
      <c r="F80" s="19" t="n">
        <f aca="false">IFERROR(E80/D80,0)</f>
        <v>0.00173988690735102</v>
      </c>
      <c r="G80" s="4" t="n">
        <v>72</v>
      </c>
      <c r="H80" s="8" t="n">
        <v>85.7</v>
      </c>
    </row>
    <row r="81" customFormat="false" ht="16.4" hidden="false" customHeight="false" outlineLevel="0" collapsed="false">
      <c r="A81" s="6" t="n">
        <v>45880</v>
      </c>
      <c r="B81" s="4" t="s">
        <v>4658</v>
      </c>
      <c r="C81" s="4" t="s">
        <v>4660</v>
      </c>
      <c r="D81" s="4" t="n">
        <v>2872</v>
      </c>
      <c r="E81" s="4" t="n">
        <v>136</v>
      </c>
      <c r="F81" s="19" t="n">
        <f aca="false">IFERROR(E81/D81,0)</f>
        <v>0.0473537604456825</v>
      </c>
      <c r="G81" s="4" t="n">
        <v>187</v>
      </c>
      <c r="H81" s="8" t="n">
        <v>176</v>
      </c>
    </row>
    <row r="82" customFormat="false" ht="16.4" hidden="false" customHeight="false" outlineLevel="0" collapsed="false">
      <c r="A82" s="6" t="n">
        <v>45772</v>
      </c>
      <c r="B82" s="4" t="s">
        <v>4658</v>
      </c>
      <c r="C82" s="4" t="s">
        <v>4660</v>
      </c>
      <c r="D82" s="4" t="n">
        <v>4986</v>
      </c>
      <c r="E82" s="4" t="n">
        <v>290</v>
      </c>
      <c r="F82" s="19" t="n">
        <f aca="false">IFERROR(E82/D82,0)</f>
        <v>0.058162855996791</v>
      </c>
      <c r="G82" s="4" t="n">
        <v>220</v>
      </c>
      <c r="H82" s="8" t="n">
        <v>212.2</v>
      </c>
    </row>
    <row r="83" customFormat="false" ht="16.4" hidden="false" customHeight="false" outlineLevel="0" collapsed="false">
      <c r="A83" s="6" t="n">
        <v>46074</v>
      </c>
      <c r="B83" s="4" t="s">
        <v>4659</v>
      </c>
      <c r="C83" s="4" t="s">
        <v>4657</v>
      </c>
      <c r="D83" s="4" t="n">
        <v>2056</v>
      </c>
      <c r="E83" s="4" t="n">
        <v>105</v>
      </c>
      <c r="F83" s="19" t="n">
        <f aca="false">IFERROR(E83/D83,0)</f>
        <v>0.0510700389105058</v>
      </c>
      <c r="G83" s="4" t="n">
        <v>176</v>
      </c>
      <c r="H83" s="8" t="n">
        <v>187.5</v>
      </c>
    </row>
    <row r="84" customFormat="false" ht="16.4" hidden="false" customHeight="false" outlineLevel="0" collapsed="false">
      <c r="A84" s="6" t="n">
        <v>45771</v>
      </c>
      <c r="B84" s="4" t="s">
        <v>4658</v>
      </c>
      <c r="C84" s="4" t="s">
        <v>4655</v>
      </c>
      <c r="D84" s="4" t="n">
        <v>2117</v>
      </c>
      <c r="E84" s="4" t="n">
        <v>50</v>
      </c>
      <c r="F84" s="19" t="n">
        <f aca="false">IFERROR(E84/D84,0)</f>
        <v>0.0236183278223902</v>
      </c>
      <c r="G84" s="4" t="n">
        <v>56</v>
      </c>
      <c r="H84" s="8" t="n">
        <v>285.1</v>
      </c>
    </row>
    <row r="85" customFormat="false" ht="16.4" hidden="false" customHeight="false" outlineLevel="0" collapsed="false">
      <c r="A85" s="6" t="n">
        <v>45679</v>
      </c>
      <c r="B85" s="4" t="s">
        <v>4654</v>
      </c>
      <c r="C85" s="4" t="s">
        <v>4657</v>
      </c>
      <c r="D85" s="4" t="n">
        <v>4259</v>
      </c>
      <c r="E85" s="4" t="n">
        <v>209</v>
      </c>
      <c r="F85" s="19" t="n">
        <f aca="false">IFERROR(E85/D85,0)</f>
        <v>0.0490725522423104</v>
      </c>
      <c r="G85" s="4" t="n">
        <v>0</v>
      </c>
      <c r="H85" s="8" t="n">
        <v>57.5</v>
      </c>
    </row>
    <row r="86" customFormat="false" ht="16.4" hidden="false" customHeight="false" outlineLevel="0" collapsed="false">
      <c r="A86" s="6" t="n">
        <v>45823</v>
      </c>
      <c r="B86" s="4" t="s">
        <v>4659</v>
      </c>
      <c r="C86" s="4" t="s">
        <v>4655</v>
      </c>
      <c r="D86" s="4" t="n">
        <v>3649</v>
      </c>
      <c r="E86" s="4" t="n">
        <v>50</v>
      </c>
      <c r="F86" s="19" t="n">
        <f aca="false">IFERROR(E86/D86,0)</f>
        <v>0.0137023842148534</v>
      </c>
      <c r="G86" s="4" t="n">
        <v>139</v>
      </c>
      <c r="H86" s="8" t="n">
        <v>150.9</v>
      </c>
    </row>
    <row r="87" customFormat="false" ht="16.4" hidden="false" customHeight="false" outlineLevel="0" collapsed="false">
      <c r="A87" s="6" t="n">
        <v>45987</v>
      </c>
      <c r="B87" s="4" t="s">
        <v>4658</v>
      </c>
      <c r="C87" s="4" t="s">
        <v>4660</v>
      </c>
      <c r="D87" s="4" t="n">
        <v>1589</v>
      </c>
      <c r="E87" s="4" t="n">
        <v>0</v>
      </c>
      <c r="F87" s="19" t="n">
        <f aca="false">IFERROR(E87/D87,0)</f>
        <v>0</v>
      </c>
      <c r="G87" s="4" t="n">
        <v>207</v>
      </c>
      <c r="H87" s="8" t="n">
        <v>90.2</v>
      </c>
    </row>
    <row r="88" customFormat="false" ht="16.4" hidden="false" customHeight="false" outlineLevel="0" collapsed="false">
      <c r="A88" s="6" t="n">
        <v>45898</v>
      </c>
      <c r="B88" s="4" t="s">
        <v>4658</v>
      </c>
      <c r="C88" s="4" t="s">
        <v>4660</v>
      </c>
      <c r="D88" s="4" t="n">
        <v>2801</v>
      </c>
      <c r="E88" s="4" t="n">
        <v>135</v>
      </c>
      <c r="F88" s="19" t="n">
        <f aca="false">IFERROR(E88/D88,0)</f>
        <v>0.0481970724741164</v>
      </c>
      <c r="G88" s="4" t="n">
        <v>141</v>
      </c>
      <c r="H88" s="8" t="n">
        <v>233</v>
      </c>
    </row>
    <row r="89" customFormat="false" ht="16.4" hidden="false" customHeight="false" outlineLevel="0" collapsed="false">
      <c r="A89" s="6" t="n">
        <v>45833</v>
      </c>
      <c r="B89" s="4" t="s">
        <v>4658</v>
      </c>
      <c r="C89" s="4" t="s">
        <v>4655</v>
      </c>
      <c r="D89" s="4" t="n">
        <v>4223</v>
      </c>
      <c r="E89" s="4" t="n">
        <v>215</v>
      </c>
      <c r="F89" s="19" t="n">
        <f aca="false">IFERROR(E89/D89,0)</f>
        <v>0.0509116741652853</v>
      </c>
      <c r="G89" s="4" t="n">
        <v>115</v>
      </c>
      <c r="H89" s="8" t="n">
        <v>151.5</v>
      </c>
    </row>
    <row r="90" customFormat="false" ht="16.4" hidden="false" customHeight="false" outlineLevel="0" collapsed="false">
      <c r="A90" s="6" t="n">
        <v>46126</v>
      </c>
      <c r="B90" s="4" t="s">
        <v>4656</v>
      </c>
      <c r="C90" s="4" t="s">
        <v>4655</v>
      </c>
      <c r="D90" s="4" t="n">
        <v>4340</v>
      </c>
      <c r="E90" s="4" t="n">
        <v>83</v>
      </c>
      <c r="F90" s="19" t="n">
        <f aca="false">IFERROR(E90/D90,0)</f>
        <v>0.0191244239631336</v>
      </c>
      <c r="G90" s="4" t="n">
        <v>219</v>
      </c>
      <c r="H90" s="8" t="n">
        <v>103.6</v>
      </c>
    </row>
    <row r="91" customFormat="false" ht="16.4" hidden="false" customHeight="false" outlineLevel="0" collapsed="false">
      <c r="A91" s="6" t="n">
        <v>46171</v>
      </c>
      <c r="B91" s="4" t="s">
        <v>4656</v>
      </c>
      <c r="C91" s="4" t="s">
        <v>4657</v>
      </c>
      <c r="D91" s="4" t="n">
        <v>5353</v>
      </c>
      <c r="E91" s="4" t="n">
        <v>105</v>
      </c>
      <c r="F91" s="19" t="n">
        <f aca="false">IFERROR(E91/D91,0)</f>
        <v>0.0196151690640762</v>
      </c>
      <c r="G91" s="4" t="n">
        <v>202</v>
      </c>
      <c r="H91" s="8" t="n">
        <v>287.2</v>
      </c>
    </row>
    <row r="92" customFormat="false" ht="16.4" hidden="false" customHeight="false" outlineLevel="0" collapsed="false">
      <c r="A92" s="6" t="n">
        <v>46153</v>
      </c>
      <c r="B92" s="4" t="s">
        <v>4656</v>
      </c>
      <c r="C92" s="4" t="s">
        <v>4657</v>
      </c>
      <c r="D92" s="4" t="n">
        <v>2469</v>
      </c>
      <c r="E92" s="4" t="n">
        <v>54</v>
      </c>
      <c r="F92" s="19" t="n">
        <f aca="false">IFERROR(E92/D92,0)</f>
        <v>0.0218712029161604</v>
      </c>
      <c r="G92" s="4" t="n">
        <v>21</v>
      </c>
      <c r="H92" s="8" t="n">
        <v>181.6</v>
      </c>
    </row>
    <row r="93" customFormat="false" ht="16.4" hidden="false" customHeight="false" outlineLevel="0" collapsed="false">
      <c r="A93" s="6" t="n">
        <v>46070</v>
      </c>
      <c r="B93" s="4" t="s">
        <v>4654</v>
      </c>
      <c r="C93" s="4" t="s">
        <v>4660</v>
      </c>
      <c r="D93" s="4" t="n">
        <v>1734</v>
      </c>
      <c r="E93" s="4" t="n">
        <v>80</v>
      </c>
      <c r="F93" s="19" t="n">
        <f aca="false">IFERROR(E93/D93,0)</f>
        <v>0.0461361014994233</v>
      </c>
      <c r="G93" s="4" t="n">
        <v>116</v>
      </c>
      <c r="H93" s="8" t="n">
        <v>69.3</v>
      </c>
    </row>
    <row r="94" customFormat="false" ht="16.4" hidden="false" customHeight="false" outlineLevel="0" collapsed="false">
      <c r="A94" s="6" t="n">
        <v>45769</v>
      </c>
      <c r="B94" s="4" t="s">
        <v>4658</v>
      </c>
      <c r="C94" s="4" t="s">
        <v>4655</v>
      </c>
      <c r="D94" s="4" t="n">
        <v>4355</v>
      </c>
      <c r="E94" s="4" t="n">
        <v>156</v>
      </c>
      <c r="F94" s="19" t="n">
        <f aca="false">IFERROR(E94/D94,0)</f>
        <v>0.0358208955223881</v>
      </c>
      <c r="G94" s="4" t="n">
        <v>48</v>
      </c>
      <c r="H94" s="8" t="n">
        <v>83.4</v>
      </c>
    </row>
    <row r="95" customFormat="false" ht="16.4" hidden="false" customHeight="false" outlineLevel="0" collapsed="false">
      <c r="A95" s="6" t="n">
        <v>45863</v>
      </c>
      <c r="B95" s="4" t="s">
        <v>4654</v>
      </c>
      <c r="C95" s="4" t="s">
        <v>4657</v>
      </c>
      <c r="D95" s="4" t="n">
        <v>4943</v>
      </c>
      <c r="E95" s="4" t="n">
        <v>80</v>
      </c>
      <c r="F95" s="19" t="n">
        <f aca="false">IFERROR(E95/D95,0)</f>
        <v>0.0161845033380538</v>
      </c>
      <c r="G95" s="4" t="n">
        <v>155</v>
      </c>
      <c r="H95" s="8" t="n">
        <v>82.7</v>
      </c>
    </row>
    <row r="96" customFormat="false" ht="16.4" hidden="false" customHeight="false" outlineLevel="0" collapsed="false">
      <c r="A96" s="6" t="n">
        <v>45887</v>
      </c>
      <c r="B96" s="4" t="s">
        <v>4659</v>
      </c>
      <c r="C96" s="4" t="s">
        <v>4655</v>
      </c>
      <c r="D96" s="4" t="n">
        <v>5228</v>
      </c>
      <c r="E96" s="4" t="n">
        <v>260</v>
      </c>
      <c r="F96" s="19" t="n">
        <f aca="false">IFERROR(E96/D96,0)</f>
        <v>0.0497322111706197</v>
      </c>
      <c r="G96" s="4" t="n">
        <v>118</v>
      </c>
      <c r="H96" s="8" t="n">
        <v>246.4</v>
      </c>
    </row>
    <row r="97" customFormat="false" ht="16.4" hidden="false" customHeight="false" outlineLevel="0" collapsed="false">
      <c r="A97" s="6" t="n">
        <v>46146</v>
      </c>
      <c r="B97" s="4" t="s">
        <v>4659</v>
      </c>
      <c r="C97" s="4" t="s">
        <v>4657</v>
      </c>
      <c r="D97" s="4" t="n">
        <v>1318</v>
      </c>
      <c r="E97" s="4" t="n">
        <v>67</v>
      </c>
      <c r="F97" s="19" t="n">
        <f aca="false">IFERROR(E97/D97,0)</f>
        <v>0.050834597875569</v>
      </c>
      <c r="G97" s="4" t="n">
        <v>240</v>
      </c>
      <c r="H97" s="8" t="n">
        <v>254</v>
      </c>
    </row>
    <row r="98" customFormat="false" ht="16.4" hidden="false" customHeight="false" outlineLevel="0" collapsed="false">
      <c r="A98" s="6" t="n">
        <v>46151</v>
      </c>
      <c r="B98" s="4" t="s">
        <v>4656</v>
      </c>
      <c r="C98" s="4" t="s">
        <v>4660</v>
      </c>
      <c r="D98" s="4" t="n">
        <v>962</v>
      </c>
      <c r="E98" s="4" t="n">
        <v>25</v>
      </c>
      <c r="F98" s="19" t="n">
        <f aca="false">IFERROR(E98/D98,0)</f>
        <v>0.025987525987526</v>
      </c>
      <c r="G98" s="4" t="n">
        <v>24</v>
      </c>
      <c r="H98" s="8" t="n">
        <v>222.2</v>
      </c>
    </row>
    <row r="99" customFormat="false" ht="16.4" hidden="false" customHeight="false" outlineLevel="0" collapsed="false">
      <c r="A99" s="6" t="n">
        <v>45829</v>
      </c>
      <c r="B99" s="4" t="s">
        <v>4658</v>
      </c>
      <c r="C99" s="4" t="s">
        <v>4657</v>
      </c>
      <c r="D99" s="4" t="n">
        <v>4261</v>
      </c>
      <c r="E99" s="4" t="n">
        <v>189</v>
      </c>
      <c r="F99" s="19" t="n">
        <f aca="false">IFERROR(E99/D99,0)</f>
        <v>0.044355785026989</v>
      </c>
      <c r="G99" s="4" t="n">
        <v>230</v>
      </c>
      <c r="H99" s="8" t="n">
        <v>301.6</v>
      </c>
    </row>
    <row r="100" customFormat="false" ht="16.4" hidden="false" customHeight="false" outlineLevel="0" collapsed="false">
      <c r="A100" s="6" t="n">
        <v>45930</v>
      </c>
      <c r="B100" s="4" t="s">
        <v>4654</v>
      </c>
      <c r="C100" s="4" t="s">
        <v>4655</v>
      </c>
      <c r="D100" s="4" t="n">
        <v>5081</v>
      </c>
      <c r="E100" s="4" t="n">
        <v>51</v>
      </c>
      <c r="F100" s="19" t="n">
        <f aca="false">IFERROR(E100/D100,0)</f>
        <v>0.0100373942137375</v>
      </c>
      <c r="G100" s="4" t="n">
        <v>159</v>
      </c>
      <c r="H100" s="8" t="n">
        <v>75.7</v>
      </c>
    </row>
    <row r="101" customFormat="false" ht="16.4" hidden="false" customHeight="false" outlineLevel="0" collapsed="false">
      <c r="A101" s="6" t="n">
        <v>45777</v>
      </c>
      <c r="B101" s="4" t="s">
        <v>4656</v>
      </c>
      <c r="C101" s="4" t="s">
        <v>4657</v>
      </c>
      <c r="D101" s="4" t="n">
        <v>4442</v>
      </c>
      <c r="E101" s="4" t="n">
        <v>209</v>
      </c>
      <c r="F101" s="19" t="n">
        <f aca="false">IFERROR(E101/D101,0)</f>
        <v>0.0470508779828906</v>
      </c>
      <c r="G101" s="4" t="n">
        <v>177</v>
      </c>
      <c r="H101" s="8" t="n">
        <v>71</v>
      </c>
    </row>
    <row r="102" customFormat="false" ht="16.4" hidden="false" customHeight="false" outlineLevel="0" collapsed="false">
      <c r="A102" s="6" t="n">
        <v>46204</v>
      </c>
      <c r="B102" s="4" t="s">
        <v>4654</v>
      </c>
      <c r="C102" s="4" t="s">
        <v>4657</v>
      </c>
      <c r="D102" s="4" t="n">
        <v>4232</v>
      </c>
      <c r="E102" s="4" t="n">
        <v>148</v>
      </c>
      <c r="F102" s="19" t="n">
        <f aca="false">IFERROR(E102/D102,0)</f>
        <v>0.0349716446124764</v>
      </c>
      <c r="G102" s="4" t="n">
        <v>177</v>
      </c>
      <c r="H102" s="8" t="n">
        <v>123.7</v>
      </c>
    </row>
    <row r="103" customFormat="false" ht="16.4" hidden="false" customHeight="false" outlineLevel="0" collapsed="false">
      <c r="A103" s="6" t="n">
        <v>45675</v>
      </c>
      <c r="B103" s="4" t="s">
        <v>4654</v>
      </c>
      <c r="C103" s="4" t="s">
        <v>4657</v>
      </c>
      <c r="D103" s="4" t="n">
        <v>4875</v>
      </c>
      <c r="E103" s="4" t="n">
        <v>91</v>
      </c>
      <c r="F103" s="19" t="n">
        <f aca="false">IFERROR(E103/D103,0)</f>
        <v>0.0186666666666667</v>
      </c>
      <c r="G103" s="4" t="n">
        <v>100</v>
      </c>
      <c r="H103" s="8" t="n">
        <v>145.5</v>
      </c>
    </row>
    <row r="104" customFormat="false" ht="16.4" hidden="false" customHeight="false" outlineLevel="0" collapsed="false">
      <c r="A104" s="6" t="n">
        <v>46051</v>
      </c>
      <c r="B104" s="4" t="s">
        <v>4654</v>
      </c>
      <c r="C104" s="4" t="s">
        <v>4657</v>
      </c>
      <c r="D104" s="4" t="n">
        <v>4070</v>
      </c>
      <c r="E104" s="4" t="n">
        <v>136</v>
      </c>
      <c r="F104" s="19" t="n">
        <f aca="false">IFERROR(E104/D104,0)</f>
        <v>0.0334152334152334</v>
      </c>
      <c r="G104" s="4" t="n">
        <v>222</v>
      </c>
      <c r="H104" s="8" t="n">
        <v>139.1</v>
      </c>
    </row>
    <row r="105" customFormat="false" ht="16.4" hidden="false" customHeight="false" outlineLevel="0" collapsed="false">
      <c r="A105" s="6" t="n">
        <v>45989</v>
      </c>
      <c r="B105" s="4" t="s">
        <v>4656</v>
      </c>
      <c r="C105" s="4" t="s">
        <v>4655</v>
      </c>
      <c r="D105" s="4" t="n">
        <v>1571</v>
      </c>
      <c r="E105" s="4" t="n">
        <v>17</v>
      </c>
      <c r="F105" s="19" t="n">
        <f aca="false">IFERROR(E105/D105,0)</f>
        <v>0.0108211330362826</v>
      </c>
      <c r="G105" s="4" t="n">
        <v>78</v>
      </c>
      <c r="H105" s="8" t="n">
        <v>212.7</v>
      </c>
    </row>
    <row r="106" customFormat="false" ht="16.4" hidden="false" customHeight="false" outlineLevel="0" collapsed="false">
      <c r="A106" s="6" t="n">
        <v>46009</v>
      </c>
      <c r="B106" s="4" t="s">
        <v>4659</v>
      </c>
      <c r="C106" s="4" t="s">
        <v>4655</v>
      </c>
      <c r="D106" s="4" t="n">
        <v>5432</v>
      </c>
      <c r="E106" s="4" t="n">
        <v>83</v>
      </c>
      <c r="F106" s="19" t="n">
        <f aca="false">IFERROR(E106/D106,0)</f>
        <v>0.015279823269514</v>
      </c>
      <c r="G106" s="4" t="n">
        <v>154</v>
      </c>
      <c r="H106" s="8" t="n">
        <v>116.4</v>
      </c>
    </row>
    <row r="107" customFormat="false" ht="16.4" hidden="false" customHeight="false" outlineLevel="0" collapsed="false">
      <c r="A107" s="6" t="n">
        <v>46113</v>
      </c>
      <c r="B107" s="4" t="s">
        <v>4659</v>
      </c>
      <c r="C107" s="4" t="s">
        <v>4655</v>
      </c>
      <c r="D107" s="4" t="n">
        <v>4364</v>
      </c>
      <c r="E107" s="4" t="n">
        <v>4</v>
      </c>
      <c r="F107" s="19" t="n">
        <f aca="false">IFERROR(E107/D107,0)</f>
        <v>0.000916590284142988</v>
      </c>
      <c r="G107" s="4" t="n">
        <v>148</v>
      </c>
      <c r="H107" s="8" t="n">
        <v>281.3</v>
      </c>
    </row>
    <row r="108" customFormat="false" ht="16.4" hidden="false" customHeight="false" outlineLevel="0" collapsed="false">
      <c r="A108" s="6" t="n">
        <v>45932</v>
      </c>
      <c r="B108" s="4" t="s">
        <v>4656</v>
      </c>
      <c r="C108" s="4" t="s">
        <v>4655</v>
      </c>
      <c r="D108" s="4" t="n">
        <v>984</v>
      </c>
      <c r="E108" s="4" t="n">
        <v>28</v>
      </c>
      <c r="F108" s="19" t="n">
        <f aca="false">IFERROR(E108/D108,0)</f>
        <v>0.0284552845528455</v>
      </c>
      <c r="G108" s="4" t="n">
        <v>195</v>
      </c>
      <c r="H108" s="8" t="n">
        <v>212.9</v>
      </c>
    </row>
    <row r="109" customFormat="false" ht="16.4" hidden="false" customHeight="false" outlineLevel="0" collapsed="false">
      <c r="A109" s="6" t="n">
        <v>45722</v>
      </c>
      <c r="B109" s="4" t="s">
        <v>4656</v>
      </c>
      <c r="C109" s="4" t="s">
        <v>4657</v>
      </c>
      <c r="D109" s="4" t="n">
        <v>4265</v>
      </c>
      <c r="E109" s="4" t="n">
        <v>155</v>
      </c>
      <c r="F109" s="19" t="n">
        <f aca="false">IFERROR(E109/D109,0)</f>
        <v>0.0363423212192263</v>
      </c>
      <c r="G109" s="4" t="n">
        <v>158</v>
      </c>
      <c r="H109" s="8" t="n">
        <v>151</v>
      </c>
    </row>
    <row r="110" customFormat="false" ht="16.4" hidden="false" customHeight="false" outlineLevel="0" collapsed="false">
      <c r="A110" s="6" t="n">
        <v>45661</v>
      </c>
      <c r="B110" s="4" t="s">
        <v>4656</v>
      </c>
      <c r="C110" s="4" t="s">
        <v>4660</v>
      </c>
      <c r="D110" s="4" t="n">
        <v>976</v>
      </c>
      <c r="E110" s="4" t="n">
        <v>35</v>
      </c>
      <c r="F110" s="19" t="n">
        <f aca="false">IFERROR(E110/D110,0)</f>
        <v>0.0358606557377049</v>
      </c>
      <c r="G110" s="4" t="n">
        <v>175</v>
      </c>
      <c r="H110" s="8" t="n">
        <v>230.3</v>
      </c>
    </row>
    <row r="111" customFormat="false" ht="16.4" hidden="false" customHeight="false" outlineLevel="0" collapsed="false">
      <c r="A111" s="6" t="n">
        <v>46018</v>
      </c>
      <c r="B111" s="4" t="s">
        <v>4659</v>
      </c>
      <c r="C111" s="4" t="s">
        <v>4660</v>
      </c>
      <c r="D111" s="4" t="n">
        <v>2888</v>
      </c>
      <c r="E111" s="4" t="n">
        <v>143</v>
      </c>
      <c r="F111" s="19" t="n">
        <f aca="false">IFERROR(E111/D111,0)</f>
        <v>0.0495152354570637</v>
      </c>
      <c r="G111" s="4" t="n">
        <v>70</v>
      </c>
      <c r="H111" s="8" t="n">
        <v>61.1</v>
      </c>
    </row>
    <row r="112" customFormat="false" ht="16.4" hidden="false" customHeight="false" outlineLevel="0" collapsed="false">
      <c r="A112" s="6" t="n">
        <v>46174</v>
      </c>
      <c r="B112" s="4" t="s">
        <v>4659</v>
      </c>
      <c r="C112" s="4" t="s">
        <v>4655</v>
      </c>
      <c r="D112" s="4" t="n">
        <v>4970</v>
      </c>
      <c r="E112" s="4" t="n">
        <v>99</v>
      </c>
      <c r="F112" s="19" t="n">
        <f aca="false">IFERROR(E112/D112,0)</f>
        <v>0.0199195171026157</v>
      </c>
      <c r="G112" s="4" t="n">
        <v>105</v>
      </c>
      <c r="H112" s="8" t="n">
        <v>169.4</v>
      </c>
    </row>
    <row r="113" customFormat="false" ht="16.4" hidden="false" customHeight="false" outlineLevel="0" collapsed="false">
      <c r="A113" s="6" t="n">
        <v>46189</v>
      </c>
      <c r="B113" s="4" t="s">
        <v>4659</v>
      </c>
      <c r="C113" s="4" t="s">
        <v>4655</v>
      </c>
      <c r="D113" s="4" t="n">
        <v>3167</v>
      </c>
      <c r="E113" s="4" t="n">
        <v>117</v>
      </c>
      <c r="F113" s="19" t="n">
        <f aca="false">IFERROR(E113/D113,0)</f>
        <v>0.0369434796337228</v>
      </c>
      <c r="G113" s="4" t="n">
        <v>102</v>
      </c>
      <c r="H113" s="8" t="n">
        <v>245.3</v>
      </c>
    </row>
    <row r="114" customFormat="false" ht="16.4" hidden="false" customHeight="false" outlineLevel="0" collapsed="false">
      <c r="A114" s="6" t="n">
        <v>45767</v>
      </c>
      <c r="B114" s="4" t="s">
        <v>4656</v>
      </c>
      <c r="C114" s="4" t="s">
        <v>4660</v>
      </c>
      <c r="D114" s="4" t="n">
        <v>5194</v>
      </c>
      <c r="E114" s="4" t="n">
        <v>273</v>
      </c>
      <c r="F114" s="19" t="n">
        <f aca="false">IFERROR(E114/D114,0)</f>
        <v>0.0525606469002695</v>
      </c>
      <c r="G114" s="4" t="n">
        <v>198</v>
      </c>
      <c r="H114" s="8" t="n">
        <v>203.6</v>
      </c>
    </row>
    <row r="115" customFormat="false" ht="16.4" hidden="false" customHeight="false" outlineLevel="0" collapsed="false">
      <c r="A115" s="6" t="n">
        <v>45954</v>
      </c>
      <c r="B115" s="4" t="s">
        <v>4659</v>
      </c>
      <c r="C115" s="4" t="s">
        <v>4655</v>
      </c>
      <c r="D115" s="4" t="n">
        <v>1029</v>
      </c>
      <c r="E115" s="4" t="n">
        <v>16</v>
      </c>
      <c r="F115" s="19" t="n">
        <f aca="false">IFERROR(E115/D115,0)</f>
        <v>0.0155490767735666</v>
      </c>
      <c r="G115" s="4" t="n">
        <v>202</v>
      </c>
      <c r="H115" s="8" t="n">
        <v>209.4</v>
      </c>
    </row>
    <row r="116" customFormat="false" ht="16.4" hidden="false" customHeight="false" outlineLevel="0" collapsed="false">
      <c r="A116" s="6" t="n">
        <v>45668</v>
      </c>
      <c r="B116" s="4" t="s">
        <v>4659</v>
      </c>
      <c r="C116" s="4" t="s">
        <v>4655</v>
      </c>
      <c r="D116" s="4" t="n">
        <v>5016</v>
      </c>
      <c r="E116" s="4" t="n">
        <v>201</v>
      </c>
      <c r="F116" s="19" t="n">
        <f aca="false">IFERROR(E116/D116,0)</f>
        <v>0.0400717703349282</v>
      </c>
      <c r="G116" s="4" t="n">
        <v>30</v>
      </c>
      <c r="H116" s="8" t="n">
        <v>274</v>
      </c>
    </row>
    <row r="117" customFormat="false" ht="16.4" hidden="false" customHeight="false" outlineLevel="0" collapsed="false">
      <c r="A117" s="6" t="n">
        <v>46066</v>
      </c>
      <c r="B117" s="4" t="s">
        <v>4654</v>
      </c>
      <c r="C117" s="4" t="s">
        <v>4660</v>
      </c>
      <c r="D117" s="4" t="n">
        <v>1057</v>
      </c>
      <c r="E117" s="4" t="n">
        <v>20</v>
      </c>
      <c r="F117" s="19" t="n">
        <f aca="false">IFERROR(E117/D117,0)</f>
        <v>0.0189214758751183</v>
      </c>
      <c r="G117" s="4" t="n">
        <v>10</v>
      </c>
      <c r="H117" s="8" t="n">
        <v>151.1</v>
      </c>
    </row>
    <row r="118" customFormat="false" ht="16.4" hidden="false" customHeight="false" outlineLevel="0" collapsed="false">
      <c r="A118" s="6" t="n">
        <v>45720</v>
      </c>
      <c r="B118" s="4" t="s">
        <v>4658</v>
      </c>
      <c r="C118" s="4" t="s">
        <v>4657</v>
      </c>
      <c r="D118" s="4" t="n">
        <v>3174</v>
      </c>
      <c r="E118" s="4" t="n">
        <v>141</v>
      </c>
      <c r="F118" s="19" t="n">
        <f aca="false">IFERROR(E118/D118,0)</f>
        <v>0.0444234404536862</v>
      </c>
      <c r="G118" s="4" t="n">
        <v>45</v>
      </c>
      <c r="H118" s="8" t="n">
        <v>115.8</v>
      </c>
    </row>
    <row r="119" customFormat="false" ht="16.4" hidden="false" customHeight="false" outlineLevel="0" collapsed="false">
      <c r="A119" s="6" t="n">
        <v>46190</v>
      </c>
      <c r="B119" s="4" t="s">
        <v>4658</v>
      </c>
      <c r="C119" s="4" t="s">
        <v>4655</v>
      </c>
      <c r="D119" s="4" t="n">
        <v>2869</v>
      </c>
      <c r="E119" s="4" t="n">
        <v>91</v>
      </c>
      <c r="F119" s="19" t="n">
        <f aca="false">IFERROR(E119/D119,0)</f>
        <v>0.0317183687696061</v>
      </c>
      <c r="G119" s="4" t="n">
        <v>0</v>
      </c>
      <c r="H119" s="8" t="n">
        <v>195.8</v>
      </c>
    </row>
    <row r="120" customFormat="false" ht="16.4" hidden="false" customHeight="false" outlineLevel="0" collapsed="false">
      <c r="A120" s="6" t="n">
        <v>45852</v>
      </c>
      <c r="B120" s="4" t="s">
        <v>4658</v>
      </c>
      <c r="C120" s="4" t="s">
        <v>4660</v>
      </c>
      <c r="D120" s="4" t="n">
        <v>5220</v>
      </c>
      <c r="E120" s="4" t="n">
        <v>293</v>
      </c>
      <c r="F120" s="19" t="n">
        <f aca="false">IFERROR(E120/D120,0)</f>
        <v>0.0561302681992337</v>
      </c>
      <c r="G120" s="4" t="n">
        <v>123</v>
      </c>
      <c r="H120" s="8" t="n">
        <v>125.4</v>
      </c>
    </row>
    <row r="121" customFormat="false" ht="16.4" hidden="false" customHeight="false" outlineLevel="0" collapsed="false">
      <c r="A121" s="6" t="n">
        <v>45900</v>
      </c>
      <c r="B121" s="4" t="s">
        <v>4656</v>
      </c>
      <c r="C121" s="4" t="s">
        <v>4660</v>
      </c>
      <c r="D121" s="4" t="n">
        <v>5230</v>
      </c>
      <c r="E121" s="4" t="n">
        <v>282</v>
      </c>
      <c r="F121" s="19" t="n">
        <f aca="false">IFERROR(E121/D121,0)</f>
        <v>0.0539196940726577</v>
      </c>
      <c r="G121" s="4" t="n">
        <v>213</v>
      </c>
      <c r="H121" s="8" t="n">
        <v>279.3</v>
      </c>
    </row>
    <row r="122" customFormat="false" ht="16.4" hidden="false" customHeight="false" outlineLevel="0" collapsed="false">
      <c r="A122" s="6" t="n">
        <v>46013</v>
      </c>
      <c r="B122" s="4" t="s">
        <v>4656</v>
      </c>
      <c r="C122" s="4" t="s">
        <v>4655</v>
      </c>
      <c r="D122" s="4" t="n">
        <v>1668</v>
      </c>
      <c r="E122" s="4" t="n">
        <v>70</v>
      </c>
      <c r="F122" s="19" t="n">
        <f aca="false">IFERROR(E122/D122,0)</f>
        <v>0.0419664268585132</v>
      </c>
      <c r="G122" s="4" t="n">
        <v>3</v>
      </c>
      <c r="H122" s="8" t="n">
        <v>81.8</v>
      </c>
    </row>
    <row r="123" customFormat="false" ht="16.4" hidden="false" customHeight="false" outlineLevel="0" collapsed="false">
      <c r="A123" s="6" t="n">
        <v>45671</v>
      </c>
      <c r="B123" s="4" t="s">
        <v>4658</v>
      </c>
      <c r="C123" s="4" t="s">
        <v>4655</v>
      </c>
      <c r="D123" s="4" t="n">
        <v>4462</v>
      </c>
      <c r="E123" s="4" t="n">
        <v>189</v>
      </c>
      <c r="F123" s="19" t="n">
        <f aca="false">IFERROR(E123/D123,0)</f>
        <v>0.0423576871358135</v>
      </c>
      <c r="G123" s="4" t="n">
        <v>54</v>
      </c>
      <c r="H123" s="8" t="n">
        <v>52.9</v>
      </c>
    </row>
    <row r="124" customFormat="false" ht="16.4" hidden="false" customHeight="false" outlineLevel="0" collapsed="false">
      <c r="A124" s="6" t="n">
        <v>46057</v>
      </c>
      <c r="B124" s="4" t="s">
        <v>4656</v>
      </c>
      <c r="C124" s="4" t="s">
        <v>4655</v>
      </c>
      <c r="D124" s="4" t="n">
        <v>3625</v>
      </c>
      <c r="E124" s="4" t="n">
        <v>184</v>
      </c>
      <c r="F124" s="19" t="n">
        <f aca="false">IFERROR(E124/D124,0)</f>
        <v>0.0507586206896552</v>
      </c>
      <c r="G124" s="4" t="n">
        <v>151</v>
      </c>
      <c r="H124" s="8" t="n">
        <v>288.8</v>
      </c>
    </row>
    <row r="125" customFormat="false" ht="16.4" hidden="false" customHeight="false" outlineLevel="0" collapsed="false">
      <c r="A125" s="6" t="n">
        <v>45866</v>
      </c>
      <c r="B125" s="4" t="s">
        <v>4658</v>
      </c>
      <c r="C125" s="4" t="s">
        <v>4660</v>
      </c>
      <c r="D125" s="4" t="n">
        <v>3715</v>
      </c>
      <c r="E125" s="4" t="n">
        <v>165</v>
      </c>
      <c r="F125" s="19" t="n">
        <f aca="false">IFERROR(E125/D125,0)</f>
        <v>0.044414535666218</v>
      </c>
      <c r="G125" s="4" t="n">
        <v>99</v>
      </c>
      <c r="H125" s="8" t="n">
        <v>122</v>
      </c>
    </row>
    <row r="126" customFormat="false" ht="16.4" hidden="false" customHeight="false" outlineLevel="0" collapsed="false">
      <c r="A126" s="6" t="n">
        <v>45854</v>
      </c>
      <c r="B126" s="4" t="s">
        <v>4656</v>
      </c>
      <c r="C126" s="4" t="s">
        <v>4657</v>
      </c>
      <c r="D126" s="4" t="n">
        <v>5370</v>
      </c>
      <c r="E126" s="4" t="n">
        <v>133</v>
      </c>
      <c r="F126" s="19" t="n">
        <f aca="false">IFERROR(E126/D126,0)</f>
        <v>0.0247672253258845</v>
      </c>
      <c r="G126" s="4" t="n">
        <v>170</v>
      </c>
      <c r="H126" s="8" t="n">
        <v>276.5</v>
      </c>
    </row>
    <row r="127" customFormat="false" ht="16.4" hidden="false" customHeight="false" outlineLevel="0" collapsed="false">
      <c r="A127" s="6" t="n">
        <v>46117</v>
      </c>
      <c r="B127" s="4" t="s">
        <v>4658</v>
      </c>
      <c r="C127" s="4" t="s">
        <v>4657</v>
      </c>
      <c r="D127" s="4" t="n">
        <v>3210</v>
      </c>
      <c r="E127" s="4" t="n">
        <v>110</v>
      </c>
      <c r="F127" s="19" t="n">
        <f aca="false">IFERROR(E127/D127,0)</f>
        <v>0.0342679127725857</v>
      </c>
      <c r="G127" s="4" t="n">
        <v>194</v>
      </c>
      <c r="H127" s="8" t="n">
        <v>174.4</v>
      </c>
    </row>
    <row r="128" customFormat="false" ht="16.4" hidden="false" customHeight="false" outlineLevel="0" collapsed="false">
      <c r="A128" s="6" t="n">
        <v>45779</v>
      </c>
      <c r="B128" s="4" t="s">
        <v>4656</v>
      </c>
      <c r="C128" s="4" t="s">
        <v>4655</v>
      </c>
      <c r="D128" s="4" t="n">
        <v>959</v>
      </c>
      <c r="E128" s="4" t="n">
        <v>41</v>
      </c>
      <c r="F128" s="19" t="n">
        <f aca="false">IFERROR(E128/D128,0)</f>
        <v>0.0427528675703858</v>
      </c>
      <c r="G128" s="4" t="n">
        <v>106</v>
      </c>
      <c r="H128" s="8" t="n">
        <v>285.9</v>
      </c>
    </row>
    <row r="129" customFormat="false" ht="16.4" hidden="false" customHeight="false" outlineLevel="0" collapsed="false">
      <c r="A129" s="6" t="n">
        <v>45773</v>
      </c>
      <c r="B129" s="4" t="s">
        <v>4654</v>
      </c>
      <c r="C129" s="4" t="s">
        <v>4660</v>
      </c>
      <c r="D129" s="4" t="n">
        <v>1086</v>
      </c>
      <c r="E129" s="4" t="n">
        <v>3</v>
      </c>
      <c r="F129" s="19" t="n">
        <f aca="false">IFERROR(E129/D129,0)</f>
        <v>0.00276243093922652</v>
      </c>
      <c r="G129" s="4" t="n">
        <v>95</v>
      </c>
      <c r="H129" s="8" t="n">
        <v>288.8</v>
      </c>
    </row>
    <row r="130" customFormat="false" ht="16.4" hidden="false" customHeight="false" outlineLevel="0" collapsed="false">
      <c r="A130" s="6" t="n">
        <v>45894</v>
      </c>
      <c r="B130" s="4" t="s">
        <v>4659</v>
      </c>
      <c r="C130" s="4" t="s">
        <v>4660</v>
      </c>
      <c r="D130" s="4" t="n">
        <v>1806</v>
      </c>
      <c r="E130" s="4" t="n">
        <v>6</v>
      </c>
      <c r="F130" s="19" t="n">
        <f aca="false">IFERROR(E130/D130,0)</f>
        <v>0.00332225913621262</v>
      </c>
      <c r="G130" s="4" t="n">
        <v>77</v>
      </c>
      <c r="H130" s="8" t="n">
        <v>305.9</v>
      </c>
    </row>
    <row r="131" customFormat="false" ht="16.4" hidden="false" customHeight="false" outlineLevel="0" collapsed="false">
      <c r="A131" s="6" t="n">
        <v>45702</v>
      </c>
      <c r="B131" s="4" t="s">
        <v>4656</v>
      </c>
      <c r="C131" s="4" t="s">
        <v>4660</v>
      </c>
      <c r="D131" s="4" t="n">
        <v>2864</v>
      </c>
      <c r="E131" s="4" t="n">
        <v>33</v>
      </c>
      <c r="F131" s="19" t="n">
        <f aca="false">IFERROR(E131/D131,0)</f>
        <v>0.0115223463687151</v>
      </c>
      <c r="G131" s="4" t="n">
        <v>70</v>
      </c>
      <c r="H131" s="8" t="n">
        <v>226.3</v>
      </c>
    </row>
    <row r="132" customFormat="false" ht="16.4" hidden="false" customHeight="false" outlineLevel="0" collapsed="false">
      <c r="A132" s="6" t="n">
        <v>46041</v>
      </c>
      <c r="B132" s="4" t="s">
        <v>4654</v>
      </c>
      <c r="C132" s="4" t="s">
        <v>4660</v>
      </c>
      <c r="D132" s="4" t="n">
        <v>4256</v>
      </c>
      <c r="E132" s="4" t="n">
        <v>205</v>
      </c>
      <c r="F132" s="19" t="n">
        <f aca="false">IFERROR(E132/D132,0)</f>
        <v>0.0481672932330827</v>
      </c>
      <c r="G132" s="4" t="n">
        <v>240</v>
      </c>
      <c r="H132" s="8" t="n">
        <v>50.8</v>
      </c>
    </row>
    <row r="133" customFormat="false" ht="16.4" hidden="false" customHeight="false" outlineLevel="0" collapsed="false">
      <c r="A133" s="6" t="n">
        <v>45787</v>
      </c>
      <c r="B133" s="4" t="s">
        <v>4658</v>
      </c>
      <c r="C133" s="4" t="s">
        <v>4660</v>
      </c>
      <c r="D133" s="4" t="n">
        <v>1961</v>
      </c>
      <c r="E133" s="4" t="n">
        <v>100</v>
      </c>
      <c r="F133" s="19" t="n">
        <f aca="false">IFERROR(E133/D133,0)</f>
        <v>0.0509943906170321</v>
      </c>
      <c r="G133" s="4" t="n">
        <v>233</v>
      </c>
      <c r="H133" s="8" t="n">
        <v>136.4</v>
      </c>
    </row>
    <row r="134" customFormat="false" ht="16.4" hidden="false" customHeight="false" outlineLevel="0" collapsed="false">
      <c r="A134" s="6" t="n">
        <v>45798</v>
      </c>
      <c r="B134" s="4" t="s">
        <v>4659</v>
      </c>
      <c r="C134" s="4" t="s">
        <v>4660</v>
      </c>
      <c r="D134" s="4" t="n">
        <v>4373</v>
      </c>
      <c r="E134" s="4" t="n">
        <v>244</v>
      </c>
      <c r="F134" s="19" t="n">
        <f aca="false">IFERROR(E134/D134,0)</f>
        <v>0.0557969357420535</v>
      </c>
      <c r="G134" s="4" t="n">
        <v>196</v>
      </c>
      <c r="H134" s="8" t="n">
        <v>89.9</v>
      </c>
    </row>
    <row r="135" customFormat="false" ht="16.4" hidden="false" customHeight="false" outlineLevel="0" collapsed="false">
      <c r="A135" s="6" t="n">
        <v>45666</v>
      </c>
      <c r="B135" s="4" t="s">
        <v>4659</v>
      </c>
      <c r="C135" s="4" t="s">
        <v>4655</v>
      </c>
      <c r="D135" s="4" t="n">
        <v>2281</v>
      </c>
      <c r="E135" s="4" t="n">
        <v>31</v>
      </c>
      <c r="F135" s="19" t="n">
        <f aca="false">IFERROR(E135/D135,0)</f>
        <v>0.0135905304690925</v>
      </c>
      <c r="G135" s="4" t="n">
        <v>55</v>
      </c>
      <c r="H135" s="8" t="n">
        <v>300.9</v>
      </c>
    </row>
    <row r="136" customFormat="false" ht="16.4" hidden="false" customHeight="false" outlineLevel="0" collapsed="false">
      <c r="A136" s="6" t="n">
        <v>45688</v>
      </c>
      <c r="B136" s="4" t="s">
        <v>4659</v>
      </c>
      <c r="C136" s="4" t="s">
        <v>4660</v>
      </c>
      <c r="D136" s="4" t="n">
        <v>3215</v>
      </c>
      <c r="E136" s="4" t="n">
        <v>112</v>
      </c>
      <c r="F136" s="19" t="n">
        <f aca="false">IFERROR(E136/D136,0)</f>
        <v>0.0348367029548989</v>
      </c>
      <c r="G136" s="4" t="n">
        <v>78</v>
      </c>
      <c r="H136" s="8" t="n">
        <v>174.5</v>
      </c>
    </row>
    <row r="137" customFormat="false" ht="16.4" hidden="false" customHeight="false" outlineLevel="0" collapsed="false">
      <c r="A137" s="6" t="n">
        <v>45953</v>
      </c>
      <c r="B137" s="4" t="s">
        <v>4659</v>
      </c>
      <c r="C137" s="4" t="s">
        <v>4660</v>
      </c>
      <c r="D137" s="4" t="n">
        <v>3985</v>
      </c>
      <c r="E137" s="4" t="n">
        <v>77</v>
      </c>
      <c r="F137" s="19" t="n">
        <f aca="false">IFERROR(E137/D137,0)</f>
        <v>0.0193224592220828</v>
      </c>
      <c r="G137" s="4" t="n">
        <v>152</v>
      </c>
      <c r="H137" s="8" t="n">
        <v>102.4</v>
      </c>
    </row>
    <row r="138" customFormat="false" ht="16.4" hidden="false" customHeight="false" outlineLevel="0" collapsed="false">
      <c r="A138" s="6" t="n">
        <v>45832</v>
      </c>
      <c r="B138" s="4" t="s">
        <v>4658</v>
      </c>
      <c r="C138" s="4" t="s">
        <v>4655</v>
      </c>
      <c r="D138" s="4" t="n">
        <v>4380</v>
      </c>
      <c r="E138" s="4" t="n">
        <v>167</v>
      </c>
      <c r="F138" s="19" t="n">
        <f aca="false">IFERROR(E138/D138,0)</f>
        <v>0.0381278538812785</v>
      </c>
      <c r="G138" s="4" t="n">
        <v>136</v>
      </c>
      <c r="H138" s="8" t="n">
        <v>103.1</v>
      </c>
    </row>
    <row r="139" customFormat="false" ht="16.4" hidden="false" customHeight="false" outlineLevel="0" collapsed="false">
      <c r="A139" s="6" t="n">
        <v>45741</v>
      </c>
      <c r="B139" s="4" t="s">
        <v>4654</v>
      </c>
      <c r="C139" s="4" t="s">
        <v>4660</v>
      </c>
      <c r="D139" s="4" t="n">
        <v>850</v>
      </c>
      <c r="E139" s="4" t="n">
        <v>31</v>
      </c>
      <c r="F139" s="19" t="n">
        <f aca="false">IFERROR(E139/D139,0)</f>
        <v>0.0364705882352941</v>
      </c>
      <c r="G139" s="4" t="n">
        <v>85</v>
      </c>
      <c r="H139" s="8" t="n">
        <v>244</v>
      </c>
    </row>
    <row r="140" customFormat="false" ht="16.4" hidden="false" customHeight="false" outlineLevel="0" collapsed="false">
      <c r="A140" s="6" t="n">
        <v>45828</v>
      </c>
      <c r="B140" s="4" t="s">
        <v>4658</v>
      </c>
      <c r="C140" s="4" t="s">
        <v>4655</v>
      </c>
      <c r="D140" s="4" t="n">
        <v>2587</v>
      </c>
      <c r="E140" s="4" t="n">
        <v>26</v>
      </c>
      <c r="F140" s="19" t="n">
        <f aca="false">IFERROR(E140/D140,0)</f>
        <v>0.0100502512562814</v>
      </c>
      <c r="G140" s="4" t="n">
        <v>189</v>
      </c>
      <c r="H140" s="8" t="n">
        <v>109.8</v>
      </c>
    </row>
    <row r="141" customFormat="false" ht="16.4" hidden="false" customHeight="false" outlineLevel="0" collapsed="false">
      <c r="A141" s="6" t="n">
        <v>45847</v>
      </c>
      <c r="B141" s="4" t="s">
        <v>4658</v>
      </c>
      <c r="C141" s="4" t="s">
        <v>4655</v>
      </c>
      <c r="D141" s="4" t="n">
        <v>1846</v>
      </c>
      <c r="E141" s="4" t="n">
        <v>84</v>
      </c>
      <c r="F141" s="19" t="n">
        <f aca="false">IFERROR(E141/D141,0)</f>
        <v>0.0455037919826652</v>
      </c>
      <c r="G141" s="4" t="n">
        <v>237</v>
      </c>
      <c r="H141" s="8" t="n">
        <v>240.8</v>
      </c>
    </row>
    <row r="142" customFormat="false" ht="16.4" hidden="false" customHeight="false" outlineLevel="0" collapsed="false">
      <c r="A142" s="6" t="n">
        <v>45804</v>
      </c>
      <c r="B142" s="4" t="s">
        <v>4656</v>
      </c>
      <c r="C142" s="4" t="s">
        <v>4660</v>
      </c>
      <c r="D142" s="4" t="n">
        <v>4669</v>
      </c>
      <c r="E142" s="4" t="n">
        <v>121</v>
      </c>
      <c r="F142" s="19" t="n">
        <f aca="false">IFERROR(E142/D142,0)</f>
        <v>0.0259156136217606</v>
      </c>
      <c r="G142" s="4" t="n">
        <v>40</v>
      </c>
      <c r="H142" s="8" t="n">
        <v>159.2</v>
      </c>
    </row>
    <row r="143" customFormat="false" ht="16.4" hidden="false" customHeight="false" outlineLevel="0" collapsed="false">
      <c r="A143" s="6" t="n">
        <v>45910</v>
      </c>
      <c r="B143" s="4" t="s">
        <v>4659</v>
      </c>
      <c r="C143" s="4" t="s">
        <v>4657</v>
      </c>
      <c r="D143" s="4" t="n">
        <v>3017</v>
      </c>
      <c r="E143" s="4" t="n">
        <v>137</v>
      </c>
      <c r="F143" s="19" t="n">
        <f aca="false">IFERROR(E143/D143,0)</f>
        <v>0.045409347033477</v>
      </c>
      <c r="G143" s="4" t="n">
        <v>82</v>
      </c>
      <c r="H143" s="8" t="n">
        <v>239.5</v>
      </c>
    </row>
    <row r="144" customFormat="false" ht="16.4" hidden="false" customHeight="false" outlineLevel="0" collapsed="false">
      <c r="A144" s="6" t="n">
        <v>45990</v>
      </c>
      <c r="B144" s="4" t="s">
        <v>4654</v>
      </c>
      <c r="C144" s="4" t="s">
        <v>4655</v>
      </c>
      <c r="D144" s="4" t="n">
        <v>3431</v>
      </c>
      <c r="E144" s="4" t="n">
        <v>141</v>
      </c>
      <c r="F144" s="19" t="n">
        <f aca="false">IFERROR(E144/D144,0)</f>
        <v>0.0410958904109589</v>
      </c>
      <c r="G144" s="4" t="n">
        <v>149</v>
      </c>
      <c r="H144" s="8" t="n">
        <v>227.2</v>
      </c>
    </row>
    <row r="145" customFormat="false" ht="16.4" hidden="false" customHeight="false" outlineLevel="0" collapsed="false">
      <c r="A145" s="6" t="n">
        <v>45801</v>
      </c>
      <c r="B145" s="4" t="s">
        <v>4659</v>
      </c>
      <c r="C145" s="4" t="s">
        <v>4655</v>
      </c>
      <c r="D145" s="4" t="n">
        <v>2195</v>
      </c>
      <c r="E145" s="4" t="n">
        <v>88</v>
      </c>
      <c r="F145" s="19" t="n">
        <f aca="false">IFERROR(E145/D145,0)</f>
        <v>0.0400911161731207</v>
      </c>
      <c r="G145" s="4" t="n">
        <v>103</v>
      </c>
      <c r="H145" s="8" t="n">
        <v>72.4</v>
      </c>
    </row>
    <row r="146" customFormat="false" ht="16.4" hidden="false" customHeight="false" outlineLevel="0" collapsed="false">
      <c r="A146" s="6" t="n">
        <v>46158</v>
      </c>
      <c r="B146" s="4" t="s">
        <v>4659</v>
      </c>
      <c r="C146" s="4" t="s">
        <v>4657</v>
      </c>
      <c r="D146" s="4" t="n">
        <v>4915</v>
      </c>
      <c r="E146" s="4" t="n">
        <v>167</v>
      </c>
      <c r="F146" s="19" t="n">
        <f aca="false">IFERROR(E146/D146,0)</f>
        <v>0.0339776195320448</v>
      </c>
      <c r="G146" s="4" t="n">
        <v>21</v>
      </c>
      <c r="H146" s="8" t="n">
        <v>165.6</v>
      </c>
    </row>
    <row r="147" customFormat="false" ht="16.4" hidden="false" customHeight="false" outlineLevel="0" collapsed="false">
      <c r="A147" s="6" t="n">
        <v>45711</v>
      </c>
      <c r="B147" s="4" t="s">
        <v>4658</v>
      </c>
      <c r="C147" s="4" t="s">
        <v>4660</v>
      </c>
      <c r="D147" s="4" t="n">
        <v>1248</v>
      </c>
      <c r="E147" s="4" t="n">
        <v>43</v>
      </c>
      <c r="F147" s="19" t="n">
        <f aca="false">IFERROR(E147/D147,0)</f>
        <v>0.0344551282051282</v>
      </c>
      <c r="G147" s="4" t="n">
        <v>78</v>
      </c>
      <c r="H147" s="8" t="n">
        <v>207.8</v>
      </c>
    </row>
    <row r="148" customFormat="false" ht="16.4" hidden="false" customHeight="false" outlineLevel="0" collapsed="false">
      <c r="A148" s="6" t="n">
        <v>46123</v>
      </c>
      <c r="B148" s="4" t="s">
        <v>4659</v>
      </c>
      <c r="C148" s="4" t="s">
        <v>4660</v>
      </c>
      <c r="D148" s="4" t="n">
        <v>2916</v>
      </c>
      <c r="E148" s="4" t="n">
        <v>114</v>
      </c>
      <c r="F148" s="19" t="n">
        <f aca="false">IFERROR(E148/D148,0)</f>
        <v>0.0390946502057613</v>
      </c>
      <c r="G148" s="4" t="n">
        <v>120</v>
      </c>
      <c r="H148" s="8" t="n">
        <v>104.5</v>
      </c>
    </row>
    <row r="149" customFormat="false" ht="16.4" hidden="false" customHeight="false" outlineLevel="0" collapsed="false">
      <c r="A149" s="6" t="n">
        <v>45877</v>
      </c>
      <c r="B149" s="4" t="s">
        <v>4659</v>
      </c>
      <c r="C149" s="4" t="s">
        <v>4655</v>
      </c>
      <c r="D149" s="4" t="n">
        <v>3799</v>
      </c>
      <c r="E149" s="4" t="n">
        <v>163</v>
      </c>
      <c r="F149" s="19" t="n">
        <f aca="false">IFERROR(E149/D149,0)</f>
        <v>0.0429060279020795</v>
      </c>
      <c r="G149" s="4" t="n">
        <v>76</v>
      </c>
      <c r="H149" s="8" t="n">
        <v>162.7</v>
      </c>
    </row>
    <row r="150" customFormat="false" ht="16.4" hidden="false" customHeight="false" outlineLevel="0" collapsed="false">
      <c r="A150" s="6" t="n">
        <v>45772</v>
      </c>
      <c r="B150" s="4" t="s">
        <v>4656</v>
      </c>
      <c r="C150" s="4" t="s">
        <v>4655</v>
      </c>
      <c r="D150" s="4" t="n">
        <v>5132</v>
      </c>
      <c r="E150" s="4" t="n">
        <v>151</v>
      </c>
      <c r="F150" s="19" t="n">
        <f aca="false">IFERROR(E150/D150,0)</f>
        <v>0.029423226812159</v>
      </c>
      <c r="G150" s="4" t="n">
        <v>91</v>
      </c>
      <c r="H150" s="8" t="n">
        <v>202.6</v>
      </c>
    </row>
    <row r="151" customFormat="false" ht="16.4" hidden="false" customHeight="false" outlineLevel="0" collapsed="false">
      <c r="A151" s="6" t="n">
        <v>45862</v>
      </c>
      <c r="B151" s="4" t="s">
        <v>4659</v>
      </c>
      <c r="C151" s="4" t="s">
        <v>4660</v>
      </c>
      <c r="D151" s="4" t="n">
        <v>5478</v>
      </c>
      <c r="E151" s="4" t="n">
        <v>235</v>
      </c>
      <c r="F151" s="19" t="n">
        <f aca="false">IFERROR(E151/D151,0)</f>
        <v>0.042898868200073</v>
      </c>
      <c r="G151" s="4" t="n">
        <v>216</v>
      </c>
      <c r="H151" s="8" t="n">
        <v>292.4</v>
      </c>
    </row>
    <row r="152" customFormat="false" ht="16.4" hidden="false" customHeight="false" outlineLevel="0" collapsed="false">
      <c r="A152" s="6" t="n">
        <v>45999</v>
      </c>
      <c r="B152" s="4" t="s">
        <v>4654</v>
      </c>
      <c r="C152" s="4" t="s">
        <v>4660</v>
      </c>
      <c r="D152" s="4" t="n">
        <v>2464</v>
      </c>
      <c r="E152" s="4" t="n">
        <v>9</v>
      </c>
      <c r="F152" s="19" t="n">
        <f aca="false">IFERROR(E152/D152,0)</f>
        <v>0.0036525974025974</v>
      </c>
      <c r="G152" s="4" t="n">
        <v>130</v>
      </c>
      <c r="H152" s="8" t="n">
        <v>189.6</v>
      </c>
    </row>
    <row r="153" customFormat="false" ht="16.4" hidden="false" customHeight="false" outlineLevel="0" collapsed="false">
      <c r="A153" s="6" t="n">
        <v>45785</v>
      </c>
      <c r="B153" s="4" t="s">
        <v>4654</v>
      </c>
      <c r="C153" s="4" t="s">
        <v>4660</v>
      </c>
      <c r="D153" s="4" t="n">
        <v>2620</v>
      </c>
      <c r="E153" s="4" t="n">
        <v>49</v>
      </c>
      <c r="F153" s="19" t="n">
        <f aca="false">IFERROR(E153/D153,0)</f>
        <v>0.0187022900763359</v>
      </c>
      <c r="G153" s="4" t="n">
        <v>21</v>
      </c>
      <c r="H153" s="8" t="n">
        <v>284.7</v>
      </c>
    </row>
    <row r="154" customFormat="false" ht="16.4" hidden="false" customHeight="false" outlineLevel="0" collapsed="false">
      <c r="A154" s="6" t="n">
        <v>45903</v>
      </c>
      <c r="B154" s="4" t="s">
        <v>4654</v>
      </c>
      <c r="C154" s="4" t="s">
        <v>4660</v>
      </c>
      <c r="D154" s="4" t="n">
        <v>1362</v>
      </c>
      <c r="E154" s="4" t="n">
        <v>25</v>
      </c>
      <c r="F154" s="19" t="n">
        <f aca="false">IFERROR(E154/D154,0)</f>
        <v>0.0183553597650514</v>
      </c>
      <c r="G154" s="4" t="n">
        <v>239</v>
      </c>
      <c r="H154" s="8" t="n">
        <v>50.5</v>
      </c>
    </row>
    <row r="155" customFormat="false" ht="16.4" hidden="false" customHeight="false" outlineLevel="0" collapsed="false">
      <c r="A155" s="6" t="n">
        <v>46205</v>
      </c>
      <c r="B155" s="4" t="s">
        <v>4654</v>
      </c>
      <c r="C155" s="4" t="s">
        <v>4657</v>
      </c>
      <c r="D155" s="4" t="n">
        <v>4686</v>
      </c>
      <c r="E155" s="4" t="n">
        <v>259</v>
      </c>
      <c r="F155" s="19" t="n">
        <f aca="false">IFERROR(E155/D155,0)</f>
        <v>0.0552710200597525</v>
      </c>
      <c r="G155" s="4" t="n">
        <v>17</v>
      </c>
      <c r="H155" s="8" t="n">
        <v>138.7</v>
      </c>
    </row>
    <row r="156" customFormat="false" ht="16.4" hidden="false" customHeight="false" outlineLevel="0" collapsed="false">
      <c r="A156" s="6" t="n">
        <v>46144</v>
      </c>
      <c r="B156" s="4" t="s">
        <v>4654</v>
      </c>
      <c r="C156" s="4" t="s">
        <v>4655</v>
      </c>
      <c r="D156" s="4" t="n">
        <v>2226</v>
      </c>
      <c r="E156" s="4" t="n">
        <v>122</v>
      </c>
      <c r="F156" s="19" t="n">
        <f aca="false">IFERROR(E156/D156,0)</f>
        <v>0.0548068283917341</v>
      </c>
      <c r="G156" s="4" t="n">
        <v>73</v>
      </c>
      <c r="H156" s="8" t="n">
        <v>271.6</v>
      </c>
    </row>
    <row r="157" customFormat="false" ht="16.4" hidden="false" customHeight="false" outlineLevel="0" collapsed="false">
      <c r="A157" s="6" t="n">
        <v>45981</v>
      </c>
      <c r="B157" s="4" t="s">
        <v>4658</v>
      </c>
      <c r="C157" s="4" t="s">
        <v>4660</v>
      </c>
      <c r="D157" s="4" t="n">
        <v>4361</v>
      </c>
      <c r="E157" s="4" t="n">
        <v>94</v>
      </c>
      <c r="F157" s="19" t="n">
        <f aca="false">IFERROR(E157/D157,0)</f>
        <v>0.0215546892914469</v>
      </c>
      <c r="G157" s="4" t="n">
        <v>46</v>
      </c>
      <c r="H157" s="8" t="n">
        <v>74.2</v>
      </c>
    </row>
    <row r="158" customFormat="false" ht="16.4" hidden="false" customHeight="false" outlineLevel="0" collapsed="false">
      <c r="A158" s="6" t="n">
        <v>45992</v>
      </c>
      <c r="B158" s="4" t="s">
        <v>4654</v>
      </c>
      <c r="C158" s="4" t="s">
        <v>4660</v>
      </c>
      <c r="D158" s="4" t="n">
        <v>3304</v>
      </c>
      <c r="E158" s="4" t="n">
        <v>104</v>
      </c>
      <c r="F158" s="19" t="n">
        <f aca="false">IFERROR(E158/D158,0)</f>
        <v>0.0314769975786925</v>
      </c>
      <c r="G158" s="4" t="n">
        <v>186</v>
      </c>
      <c r="H158" s="8" t="n">
        <v>103.4</v>
      </c>
    </row>
    <row r="159" customFormat="false" ht="16.4" hidden="false" customHeight="false" outlineLevel="0" collapsed="false">
      <c r="A159" s="6" t="n">
        <v>45761</v>
      </c>
      <c r="B159" s="4" t="s">
        <v>4658</v>
      </c>
      <c r="C159" s="4" t="s">
        <v>4660</v>
      </c>
      <c r="D159" s="4" t="n">
        <v>4993</v>
      </c>
      <c r="E159" s="4" t="n">
        <v>25</v>
      </c>
      <c r="F159" s="19" t="n">
        <f aca="false">IFERROR(E159/D159,0)</f>
        <v>0.00500700981373924</v>
      </c>
      <c r="G159" s="4" t="n">
        <v>108</v>
      </c>
      <c r="H159" s="8" t="n">
        <v>232</v>
      </c>
    </row>
    <row r="160" customFormat="false" ht="16.4" hidden="false" customHeight="false" outlineLevel="0" collapsed="false">
      <c r="A160" s="6" t="n">
        <v>45943</v>
      </c>
      <c r="B160" s="4" t="s">
        <v>4656</v>
      </c>
      <c r="C160" s="4" t="s">
        <v>4660</v>
      </c>
      <c r="D160" s="4" t="n">
        <v>2340</v>
      </c>
      <c r="E160" s="4" t="n">
        <v>74</v>
      </c>
      <c r="F160" s="19" t="n">
        <f aca="false">IFERROR(E160/D160,0)</f>
        <v>0.0316239316239316</v>
      </c>
      <c r="G160" s="4" t="n">
        <v>22</v>
      </c>
      <c r="H160" s="8" t="n">
        <v>245.9</v>
      </c>
    </row>
    <row r="161" customFormat="false" ht="16.4" hidden="false" customHeight="false" outlineLevel="0" collapsed="false">
      <c r="A161" s="6" t="n">
        <v>45824</v>
      </c>
      <c r="B161" s="4" t="s">
        <v>4656</v>
      </c>
      <c r="C161" s="4" t="s">
        <v>4657</v>
      </c>
      <c r="D161" s="4" t="n">
        <v>4426</v>
      </c>
      <c r="E161" s="4" t="n">
        <v>193</v>
      </c>
      <c r="F161" s="19" t="n">
        <f aca="false">IFERROR(E161/D161,0)</f>
        <v>0.043605964753728</v>
      </c>
      <c r="G161" s="4" t="n">
        <v>238</v>
      </c>
      <c r="H161" s="8" t="n">
        <v>58.3</v>
      </c>
    </row>
    <row r="162" customFormat="false" ht="16.4" hidden="false" customHeight="false" outlineLevel="0" collapsed="false">
      <c r="A162" s="6" t="n">
        <v>45872</v>
      </c>
      <c r="B162" s="4" t="s">
        <v>4656</v>
      </c>
      <c r="C162" s="4" t="s">
        <v>4655</v>
      </c>
      <c r="D162" s="4" t="n">
        <v>3342</v>
      </c>
      <c r="E162" s="4" t="n">
        <v>57</v>
      </c>
      <c r="F162" s="19" t="n">
        <f aca="false">IFERROR(E162/D162,0)</f>
        <v>0.0170556552962298</v>
      </c>
      <c r="G162" s="4" t="n">
        <v>150</v>
      </c>
      <c r="H162" s="8" t="n">
        <v>209.3</v>
      </c>
    </row>
    <row r="163" customFormat="false" ht="16.4" hidden="false" customHeight="false" outlineLevel="0" collapsed="false">
      <c r="A163" s="6" t="n">
        <v>46098</v>
      </c>
      <c r="B163" s="4" t="s">
        <v>4659</v>
      </c>
      <c r="C163" s="4" t="s">
        <v>4660</v>
      </c>
      <c r="D163" s="4" t="n">
        <v>2904</v>
      </c>
      <c r="E163" s="4" t="n">
        <v>96</v>
      </c>
      <c r="F163" s="19" t="n">
        <f aca="false">IFERROR(E163/D163,0)</f>
        <v>0.0330578512396694</v>
      </c>
      <c r="G163" s="4" t="n">
        <v>13</v>
      </c>
      <c r="H163" s="8" t="n">
        <v>210.7</v>
      </c>
    </row>
    <row r="164" customFormat="false" ht="16.4" hidden="false" customHeight="false" outlineLevel="0" collapsed="false">
      <c r="A164" s="6" t="n">
        <v>45695</v>
      </c>
      <c r="B164" s="4" t="s">
        <v>4658</v>
      </c>
      <c r="C164" s="4" t="s">
        <v>4655</v>
      </c>
      <c r="D164" s="4" t="n">
        <v>1037</v>
      </c>
      <c r="E164" s="4" t="n">
        <v>44</v>
      </c>
      <c r="F164" s="19" t="n">
        <f aca="false">IFERROR(E164/D164,0)</f>
        <v>0.0424300867888139</v>
      </c>
      <c r="G164" s="4" t="n">
        <v>136</v>
      </c>
      <c r="H164" s="8" t="n">
        <v>206.8</v>
      </c>
    </row>
    <row r="165" customFormat="false" ht="16.4" hidden="false" customHeight="false" outlineLevel="0" collapsed="false">
      <c r="A165" s="6" t="n">
        <v>45891</v>
      </c>
      <c r="B165" s="4" t="s">
        <v>4658</v>
      </c>
      <c r="C165" s="4" t="s">
        <v>4657</v>
      </c>
      <c r="D165" s="4" t="n">
        <v>3587</v>
      </c>
      <c r="E165" s="4" t="n">
        <v>122</v>
      </c>
      <c r="F165" s="19" t="n">
        <f aca="false">IFERROR(E165/D165,0)</f>
        <v>0.0340117089489824</v>
      </c>
      <c r="G165" s="4" t="n">
        <v>231</v>
      </c>
      <c r="H165" s="8" t="n">
        <v>105.5</v>
      </c>
    </row>
    <row r="166" customFormat="false" ht="16.4" hidden="false" customHeight="false" outlineLevel="0" collapsed="false">
      <c r="A166" s="6" t="n">
        <v>45755</v>
      </c>
      <c r="B166" s="4" t="s">
        <v>4658</v>
      </c>
      <c r="C166" s="4" t="s">
        <v>4657</v>
      </c>
      <c r="D166" s="4" t="n">
        <v>3588</v>
      </c>
      <c r="E166" s="4" t="n">
        <v>41</v>
      </c>
      <c r="F166" s="19" t="n">
        <f aca="false">IFERROR(E166/D166,0)</f>
        <v>0.0114269788182832</v>
      </c>
      <c r="G166" s="4" t="n">
        <v>152</v>
      </c>
      <c r="H166" s="8" t="n">
        <v>154.7</v>
      </c>
    </row>
    <row r="167" customFormat="false" ht="16.4" hidden="false" customHeight="false" outlineLevel="0" collapsed="false">
      <c r="A167" s="6" t="n">
        <v>45952</v>
      </c>
      <c r="B167" s="4" t="s">
        <v>4654</v>
      </c>
      <c r="C167" s="4" t="s">
        <v>4657</v>
      </c>
      <c r="D167" s="4" t="n">
        <v>5076</v>
      </c>
      <c r="E167" s="4" t="n">
        <v>148</v>
      </c>
      <c r="F167" s="19" t="n">
        <f aca="false">IFERROR(E167/D167,0)</f>
        <v>0.0291568163908589</v>
      </c>
      <c r="G167" s="4" t="n">
        <v>75</v>
      </c>
      <c r="H167" s="8" t="n">
        <v>149.2</v>
      </c>
    </row>
    <row r="168" customFormat="false" ht="16.4" hidden="false" customHeight="false" outlineLevel="0" collapsed="false">
      <c r="A168" s="6" t="n">
        <v>45962</v>
      </c>
      <c r="B168" s="4" t="s">
        <v>4656</v>
      </c>
      <c r="C168" s="4" t="s">
        <v>4657</v>
      </c>
      <c r="D168" s="4" t="n">
        <v>5015</v>
      </c>
      <c r="E168" s="4" t="n">
        <v>264</v>
      </c>
      <c r="F168" s="19" t="n">
        <f aca="false">IFERROR(E168/D168,0)</f>
        <v>0.052642073778664</v>
      </c>
      <c r="G168" s="4" t="n">
        <v>94</v>
      </c>
      <c r="H168" s="8" t="n">
        <v>162.7</v>
      </c>
    </row>
    <row r="169" customFormat="false" ht="16.4" hidden="false" customHeight="false" outlineLevel="0" collapsed="false">
      <c r="A169" s="6" t="n">
        <v>46160</v>
      </c>
      <c r="B169" s="4" t="s">
        <v>4659</v>
      </c>
      <c r="C169" s="4" t="s">
        <v>4657</v>
      </c>
      <c r="D169" s="4" t="n">
        <v>5396</v>
      </c>
      <c r="E169" s="4" t="n">
        <v>189</v>
      </c>
      <c r="F169" s="19" t="n">
        <f aca="false">IFERROR(E169/D169,0)</f>
        <v>0.0350259451445515</v>
      </c>
      <c r="G169" s="4" t="n">
        <v>181</v>
      </c>
      <c r="H169" s="8" t="n">
        <v>199.9</v>
      </c>
    </row>
    <row r="170" customFormat="false" ht="16.4" hidden="false" customHeight="false" outlineLevel="0" collapsed="false">
      <c r="A170" s="6" t="n">
        <v>46188</v>
      </c>
      <c r="B170" s="4" t="s">
        <v>4658</v>
      </c>
      <c r="C170" s="4" t="s">
        <v>4657</v>
      </c>
      <c r="D170" s="4" t="n">
        <v>5059</v>
      </c>
      <c r="E170" s="4" t="n">
        <v>64</v>
      </c>
      <c r="F170" s="19" t="n">
        <f aca="false">IFERROR(E170/D170,0)</f>
        <v>0.0126507214864598</v>
      </c>
      <c r="G170" s="4" t="n">
        <v>13</v>
      </c>
      <c r="H170" s="8" t="n">
        <v>90.2</v>
      </c>
    </row>
    <row r="171" customFormat="false" ht="16.4" hidden="false" customHeight="false" outlineLevel="0" collapsed="false">
      <c r="A171" s="6" t="n">
        <v>46131</v>
      </c>
      <c r="B171" s="4" t="s">
        <v>4658</v>
      </c>
      <c r="C171" s="4" t="s">
        <v>4655</v>
      </c>
      <c r="D171" s="4" t="n">
        <v>1385</v>
      </c>
      <c r="E171" s="4" t="n">
        <v>56</v>
      </c>
      <c r="F171" s="19" t="n">
        <f aca="false">IFERROR(E171/D171,0)</f>
        <v>0.0404332129963899</v>
      </c>
      <c r="G171" s="4" t="n">
        <v>76</v>
      </c>
      <c r="H171" s="8" t="n">
        <v>188.1</v>
      </c>
    </row>
    <row r="172" customFormat="false" ht="16.4" hidden="false" customHeight="false" outlineLevel="0" collapsed="false">
      <c r="A172" s="6" t="n">
        <v>45741</v>
      </c>
      <c r="B172" s="4" t="s">
        <v>4656</v>
      </c>
      <c r="C172" s="4" t="s">
        <v>4655</v>
      </c>
      <c r="D172" s="4" t="n">
        <v>2336</v>
      </c>
      <c r="E172" s="4" t="n">
        <v>115</v>
      </c>
      <c r="F172" s="19" t="n">
        <f aca="false">IFERROR(E172/D172,0)</f>
        <v>0.0492294520547945</v>
      </c>
      <c r="G172" s="4" t="n">
        <v>237</v>
      </c>
      <c r="H172" s="8" t="n">
        <v>131.9</v>
      </c>
    </row>
    <row r="173" customFormat="false" ht="16.4" hidden="false" customHeight="false" outlineLevel="0" collapsed="false">
      <c r="A173" s="6" t="n">
        <v>45926</v>
      </c>
      <c r="B173" s="4" t="s">
        <v>4659</v>
      </c>
      <c r="C173" s="4" t="s">
        <v>4655</v>
      </c>
      <c r="D173" s="4" t="n">
        <v>5134</v>
      </c>
      <c r="E173" s="4" t="n">
        <v>153</v>
      </c>
      <c r="F173" s="19" t="n">
        <f aca="false">IFERROR(E173/D173,0)</f>
        <v>0.0298013245033113</v>
      </c>
      <c r="G173" s="4" t="n">
        <v>202</v>
      </c>
      <c r="H173" s="8" t="n">
        <v>114.4</v>
      </c>
    </row>
    <row r="174" customFormat="false" ht="16.4" hidden="false" customHeight="false" outlineLevel="0" collapsed="false">
      <c r="A174" s="6" t="n">
        <v>46166</v>
      </c>
      <c r="B174" s="4" t="s">
        <v>4654</v>
      </c>
      <c r="C174" s="4" t="s">
        <v>4657</v>
      </c>
      <c r="D174" s="4" t="n">
        <v>2488</v>
      </c>
      <c r="E174" s="4" t="n">
        <v>108</v>
      </c>
      <c r="F174" s="19" t="n">
        <f aca="false">IFERROR(E174/D174,0)</f>
        <v>0.0434083601286174</v>
      </c>
      <c r="G174" s="4" t="n">
        <v>100</v>
      </c>
      <c r="H174" s="8" t="n">
        <v>315</v>
      </c>
    </row>
    <row r="175" customFormat="false" ht="16.4" hidden="false" customHeight="false" outlineLevel="0" collapsed="false">
      <c r="A175" s="6" t="n">
        <v>45844</v>
      </c>
      <c r="B175" s="4" t="s">
        <v>4654</v>
      </c>
      <c r="C175" s="4" t="s">
        <v>4657</v>
      </c>
      <c r="D175" s="4" t="n">
        <v>1658</v>
      </c>
      <c r="E175" s="4" t="n">
        <v>10</v>
      </c>
      <c r="F175" s="19" t="n">
        <f aca="false">IFERROR(E175/D175,0)</f>
        <v>0.0060313630880579</v>
      </c>
      <c r="G175" s="4" t="n">
        <v>7</v>
      </c>
      <c r="H175" s="8" t="n">
        <v>98.8</v>
      </c>
    </row>
    <row r="176" customFormat="false" ht="16.4" hidden="false" customHeight="false" outlineLevel="0" collapsed="false">
      <c r="A176" s="6" t="n">
        <v>46102</v>
      </c>
      <c r="B176" s="4" t="s">
        <v>4658</v>
      </c>
      <c r="C176" s="4" t="s">
        <v>4655</v>
      </c>
      <c r="D176" s="4" t="n">
        <v>4918</v>
      </c>
      <c r="E176" s="4" t="n">
        <v>174</v>
      </c>
      <c r="F176" s="19" t="n">
        <f aca="false">IFERROR(E176/D176,0)</f>
        <v>0.0353802358682391</v>
      </c>
      <c r="G176" s="4" t="n">
        <v>147</v>
      </c>
      <c r="H176" s="8" t="n">
        <v>108.8</v>
      </c>
    </row>
    <row r="177" customFormat="false" ht="16.4" hidden="false" customHeight="false" outlineLevel="0" collapsed="false">
      <c r="A177" s="6" t="n">
        <v>45739</v>
      </c>
      <c r="B177" s="4" t="s">
        <v>4659</v>
      </c>
      <c r="C177" s="4" t="s">
        <v>4660</v>
      </c>
      <c r="D177" s="4" t="n">
        <v>4827</v>
      </c>
      <c r="E177" s="4" t="n">
        <v>275</v>
      </c>
      <c r="F177" s="19" t="n">
        <f aca="false">IFERROR(E177/D177,0)</f>
        <v>0.056971203646157</v>
      </c>
      <c r="G177" s="4" t="n">
        <v>147</v>
      </c>
      <c r="H177" s="8" t="n">
        <v>43.2</v>
      </c>
    </row>
    <row r="178" customFormat="false" ht="16.4" hidden="false" customHeight="false" outlineLevel="0" collapsed="false">
      <c r="A178" s="6" t="n">
        <v>45828</v>
      </c>
      <c r="B178" s="4" t="s">
        <v>4658</v>
      </c>
      <c r="C178" s="4" t="s">
        <v>4660</v>
      </c>
      <c r="D178" s="4" t="n">
        <v>985</v>
      </c>
      <c r="E178" s="4" t="n">
        <v>47</v>
      </c>
      <c r="F178" s="19" t="n">
        <f aca="false">IFERROR(E178/D178,0)</f>
        <v>0.0477157360406091</v>
      </c>
      <c r="G178" s="4" t="n">
        <v>119</v>
      </c>
      <c r="H178" s="8" t="n">
        <v>201.6</v>
      </c>
    </row>
    <row r="179" customFormat="false" ht="16.4" hidden="false" customHeight="false" outlineLevel="0" collapsed="false">
      <c r="A179" s="6" t="n">
        <v>45809</v>
      </c>
      <c r="B179" s="4" t="s">
        <v>4656</v>
      </c>
      <c r="C179" s="4" t="s">
        <v>4660</v>
      </c>
      <c r="D179" s="4" t="n">
        <v>3834</v>
      </c>
      <c r="E179" s="4" t="n">
        <v>80</v>
      </c>
      <c r="F179" s="19" t="n">
        <f aca="false">IFERROR(E179/D179,0)</f>
        <v>0.0208659363588941</v>
      </c>
      <c r="G179" s="4" t="n">
        <v>149</v>
      </c>
      <c r="H179" s="8" t="n">
        <v>98.2</v>
      </c>
    </row>
    <row r="180" customFormat="false" ht="16.4" hidden="false" customHeight="false" outlineLevel="0" collapsed="false">
      <c r="A180" s="6" t="n">
        <v>45978</v>
      </c>
      <c r="B180" s="4" t="s">
        <v>4658</v>
      </c>
      <c r="C180" s="4" t="s">
        <v>4657</v>
      </c>
      <c r="D180" s="4" t="n">
        <v>3861</v>
      </c>
      <c r="E180" s="4" t="n">
        <v>22</v>
      </c>
      <c r="F180" s="19" t="n">
        <f aca="false">IFERROR(E180/D180,0)</f>
        <v>0.0056980056980057</v>
      </c>
      <c r="G180" s="4" t="n">
        <v>118</v>
      </c>
      <c r="H180" s="8" t="n">
        <v>309.1</v>
      </c>
    </row>
    <row r="181" customFormat="false" ht="16.4" hidden="false" customHeight="false" outlineLevel="0" collapsed="false">
      <c r="A181" s="6" t="n">
        <v>45984</v>
      </c>
      <c r="B181" s="4" t="s">
        <v>4654</v>
      </c>
      <c r="C181" s="4" t="s">
        <v>4655</v>
      </c>
      <c r="D181" s="4" t="n">
        <v>897</v>
      </c>
      <c r="E181" s="4" t="n">
        <v>49</v>
      </c>
      <c r="F181" s="19" t="n">
        <f aca="false">IFERROR(E181/D181,0)</f>
        <v>0.0546265328874025</v>
      </c>
      <c r="G181" s="4" t="n">
        <v>172</v>
      </c>
      <c r="H181" s="8" t="n">
        <v>150.5</v>
      </c>
    </row>
    <row r="182" customFormat="false" ht="16.4" hidden="false" customHeight="false" outlineLevel="0" collapsed="false">
      <c r="A182" s="6" t="n">
        <v>45904</v>
      </c>
      <c r="B182" s="4" t="s">
        <v>4658</v>
      </c>
      <c r="C182" s="4" t="s">
        <v>4655</v>
      </c>
      <c r="D182" s="4" t="n">
        <v>1795</v>
      </c>
      <c r="E182" s="4" t="n">
        <v>15</v>
      </c>
      <c r="F182" s="19" t="n">
        <f aca="false">IFERROR(E182/D182,0)</f>
        <v>0.00835654596100279</v>
      </c>
      <c r="G182" s="4" t="n">
        <v>63</v>
      </c>
      <c r="H182" s="8" t="n">
        <v>308.4</v>
      </c>
    </row>
    <row r="183" customFormat="false" ht="16.4" hidden="false" customHeight="false" outlineLevel="0" collapsed="false">
      <c r="A183" s="6" t="n">
        <v>46143</v>
      </c>
      <c r="B183" s="4" t="s">
        <v>4659</v>
      </c>
      <c r="C183" s="4" t="s">
        <v>4655</v>
      </c>
      <c r="D183" s="4" t="n">
        <v>5163</v>
      </c>
      <c r="E183" s="4" t="n">
        <v>64</v>
      </c>
      <c r="F183" s="19" t="n">
        <f aca="false">IFERROR(E183/D183,0)</f>
        <v>0.0123958938601588</v>
      </c>
      <c r="G183" s="4" t="n">
        <v>165</v>
      </c>
      <c r="H183" s="8" t="n">
        <v>282.5</v>
      </c>
    </row>
    <row r="184" customFormat="false" ht="16.4" hidden="false" customHeight="false" outlineLevel="0" collapsed="false">
      <c r="A184" s="6" t="n">
        <v>45907</v>
      </c>
      <c r="B184" s="4" t="s">
        <v>4656</v>
      </c>
      <c r="C184" s="4" t="s">
        <v>4655</v>
      </c>
      <c r="D184" s="4" t="n">
        <v>3663</v>
      </c>
      <c r="E184" s="4" t="n">
        <v>31</v>
      </c>
      <c r="F184" s="19" t="n">
        <f aca="false">IFERROR(E184/D184,0)</f>
        <v>0.00846300846300846</v>
      </c>
      <c r="G184" s="4" t="n">
        <v>146</v>
      </c>
      <c r="H184" s="8" t="n">
        <v>56.5</v>
      </c>
    </row>
    <row r="185" customFormat="false" ht="16.4" hidden="false" customHeight="false" outlineLevel="0" collapsed="false">
      <c r="A185" s="6" t="n">
        <v>46205</v>
      </c>
      <c r="B185" s="4" t="s">
        <v>4658</v>
      </c>
      <c r="C185" s="4" t="s">
        <v>4657</v>
      </c>
      <c r="D185" s="4" t="n">
        <v>5150</v>
      </c>
      <c r="E185" s="4" t="n">
        <v>167</v>
      </c>
      <c r="F185" s="19" t="n">
        <f aca="false">IFERROR(E185/D185,0)</f>
        <v>0.0324271844660194</v>
      </c>
      <c r="G185" s="4" t="n">
        <v>183</v>
      </c>
      <c r="H185" s="8" t="n">
        <v>74.4</v>
      </c>
    </row>
    <row r="186" customFormat="false" ht="16.4" hidden="false" customHeight="false" outlineLevel="0" collapsed="false">
      <c r="A186" s="6" t="n">
        <v>45720</v>
      </c>
      <c r="B186" s="4" t="s">
        <v>4654</v>
      </c>
      <c r="C186" s="4" t="s">
        <v>4660</v>
      </c>
      <c r="D186" s="4" t="n">
        <v>3121</v>
      </c>
      <c r="E186" s="4" t="n">
        <v>83</v>
      </c>
      <c r="F186" s="19" t="n">
        <f aca="false">IFERROR(E186/D186,0)</f>
        <v>0.0265940403716757</v>
      </c>
      <c r="G186" s="4" t="n">
        <v>54</v>
      </c>
      <c r="H186" s="8" t="n">
        <v>240.1</v>
      </c>
    </row>
    <row r="187" customFormat="false" ht="16.4" hidden="false" customHeight="false" outlineLevel="0" collapsed="false">
      <c r="A187" s="6" t="n">
        <v>45729</v>
      </c>
      <c r="B187" s="4" t="s">
        <v>4659</v>
      </c>
      <c r="C187" s="4" t="s">
        <v>4657</v>
      </c>
      <c r="D187" s="4" t="n">
        <v>2492</v>
      </c>
      <c r="E187" s="4" t="n">
        <v>102</v>
      </c>
      <c r="F187" s="19" t="n">
        <f aca="false">IFERROR(E187/D187,0)</f>
        <v>0.0409309791332263</v>
      </c>
      <c r="G187" s="4" t="n">
        <v>203</v>
      </c>
      <c r="H187" s="8" t="n">
        <v>260.4</v>
      </c>
    </row>
    <row r="188" customFormat="false" ht="16.4" hidden="false" customHeight="false" outlineLevel="0" collapsed="false">
      <c r="A188" s="6" t="n">
        <v>46046</v>
      </c>
      <c r="B188" s="4" t="s">
        <v>4656</v>
      </c>
      <c r="C188" s="4" t="s">
        <v>4655</v>
      </c>
      <c r="D188" s="4" t="n">
        <v>4864</v>
      </c>
      <c r="E188" s="4" t="n">
        <v>105</v>
      </c>
      <c r="F188" s="19" t="n">
        <f aca="false">IFERROR(E188/D188,0)</f>
        <v>0.0215871710526316</v>
      </c>
      <c r="G188" s="4" t="n">
        <v>234</v>
      </c>
      <c r="H188" s="8" t="n">
        <v>163.2</v>
      </c>
    </row>
    <row r="189" customFormat="false" ht="16.4" hidden="false" customHeight="false" outlineLevel="0" collapsed="false">
      <c r="A189" s="6" t="n">
        <v>46179</v>
      </c>
      <c r="B189" s="4" t="s">
        <v>4656</v>
      </c>
      <c r="C189" s="4" t="s">
        <v>4657</v>
      </c>
      <c r="D189" s="4" t="n">
        <v>2577</v>
      </c>
      <c r="E189" s="4" t="n">
        <v>89</v>
      </c>
      <c r="F189" s="19" t="n">
        <f aca="false">IFERROR(E189/D189,0)</f>
        <v>0.0345362824990299</v>
      </c>
      <c r="G189" s="4" t="n">
        <v>62</v>
      </c>
      <c r="H189" s="8" t="n">
        <v>98.5</v>
      </c>
    </row>
    <row r="190" customFormat="false" ht="16.4" hidden="false" customHeight="false" outlineLevel="0" collapsed="false">
      <c r="A190" s="6" t="n">
        <v>45719</v>
      </c>
      <c r="B190" s="4" t="s">
        <v>4658</v>
      </c>
      <c r="C190" s="4" t="s">
        <v>4657</v>
      </c>
      <c r="D190" s="4" t="n">
        <v>2782</v>
      </c>
      <c r="E190" s="4" t="n">
        <v>158</v>
      </c>
      <c r="F190" s="19" t="n">
        <f aca="false">IFERROR(E190/D190,0)</f>
        <v>0.0567936736161035</v>
      </c>
      <c r="G190" s="4" t="n">
        <v>85</v>
      </c>
      <c r="H190" s="8" t="n">
        <v>192.5</v>
      </c>
    </row>
    <row r="191" customFormat="false" ht="16.4" hidden="false" customHeight="false" outlineLevel="0" collapsed="false">
      <c r="A191" s="6" t="n">
        <v>46033</v>
      </c>
      <c r="B191" s="4" t="s">
        <v>4659</v>
      </c>
      <c r="C191" s="4" t="s">
        <v>4660</v>
      </c>
      <c r="D191" s="4" t="n">
        <v>4324</v>
      </c>
      <c r="E191" s="4" t="n">
        <v>46</v>
      </c>
      <c r="F191" s="19" t="n">
        <f aca="false">IFERROR(E191/D191,0)</f>
        <v>0.0106382978723404</v>
      </c>
      <c r="G191" s="4" t="n">
        <v>170</v>
      </c>
      <c r="H191" s="8" t="n">
        <v>109</v>
      </c>
    </row>
    <row r="192" customFormat="false" ht="16.4" hidden="false" customHeight="false" outlineLevel="0" collapsed="false">
      <c r="A192" s="6" t="n">
        <v>46042</v>
      </c>
      <c r="B192" s="4" t="s">
        <v>4654</v>
      </c>
      <c r="C192" s="4" t="s">
        <v>4657</v>
      </c>
      <c r="D192" s="4" t="n">
        <v>3538</v>
      </c>
      <c r="E192" s="4" t="n">
        <v>98</v>
      </c>
      <c r="F192" s="19" t="n">
        <f aca="false">IFERROR(E192/D192,0)</f>
        <v>0.0276992651215376</v>
      </c>
      <c r="G192" s="4" t="n">
        <v>124</v>
      </c>
      <c r="H192" s="8" t="n">
        <v>199.1</v>
      </c>
    </row>
    <row r="193" customFormat="false" ht="16.4" hidden="false" customHeight="false" outlineLevel="0" collapsed="false">
      <c r="A193" s="6" t="n">
        <v>45776</v>
      </c>
      <c r="B193" s="4" t="s">
        <v>4658</v>
      </c>
      <c r="C193" s="4" t="s">
        <v>4660</v>
      </c>
      <c r="D193" s="4" t="n">
        <v>3725</v>
      </c>
      <c r="E193" s="4" t="n">
        <v>88</v>
      </c>
      <c r="F193" s="19" t="n">
        <f aca="false">IFERROR(E193/D193,0)</f>
        <v>0.0236241610738255</v>
      </c>
      <c r="G193" s="4" t="n">
        <v>74</v>
      </c>
      <c r="H193" s="8" t="n">
        <v>108.9</v>
      </c>
    </row>
    <row r="194" customFormat="false" ht="16.4" hidden="false" customHeight="false" outlineLevel="0" collapsed="false">
      <c r="A194" s="6" t="n">
        <v>46178</v>
      </c>
      <c r="B194" s="4" t="s">
        <v>4654</v>
      </c>
      <c r="C194" s="4" t="s">
        <v>4660</v>
      </c>
      <c r="D194" s="4" t="n">
        <v>1148</v>
      </c>
      <c r="E194" s="4" t="n">
        <v>17</v>
      </c>
      <c r="F194" s="19" t="n">
        <f aca="false">IFERROR(E194/D194,0)</f>
        <v>0.014808362369338</v>
      </c>
      <c r="G194" s="4" t="n">
        <v>124</v>
      </c>
      <c r="H194" s="8" t="n">
        <v>90.9</v>
      </c>
    </row>
    <row r="195" customFormat="false" ht="16.4" hidden="false" customHeight="false" outlineLevel="0" collapsed="false">
      <c r="A195" s="6" t="n">
        <v>45820</v>
      </c>
      <c r="B195" s="4" t="s">
        <v>4656</v>
      </c>
      <c r="C195" s="4" t="s">
        <v>4657</v>
      </c>
      <c r="D195" s="4" t="n">
        <v>1030</v>
      </c>
      <c r="E195" s="4" t="n">
        <v>54</v>
      </c>
      <c r="F195" s="19" t="n">
        <f aca="false">IFERROR(E195/D195,0)</f>
        <v>0.0524271844660194</v>
      </c>
      <c r="G195" s="4" t="n">
        <v>96</v>
      </c>
      <c r="H195" s="8" t="n">
        <v>154.8</v>
      </c>
    </row>
    <row r="196" customFormat="false" ht="16.4" hidden="false" customHeight="false" outlineLevel="0" collapsed="false">
      <c r="A196" s="6" t="n">
        <v>45960</v>
      </c>
      <c r="B196" s="4" t="s">
        <v>4654</v>
      </c>
      <c r="C196" s="4" t="s">
        <v>4657</v>
      </c>
      <c r="D196" s="4" t="n">
        <v>3610</v>
      </c>
      <c r="E196" s="4" t="n">
        <v>63</v>
      </c>
      <c r="F196" s="19" t="n">
        <f aca="false">IFERROR(E196/D196,0)</f>
        <v>0.0174515235457064</v>
      </c>
      <c r="G196" s="4" t="n">
        <v>21</v>
      </c>
      <c r="H196" s="8" t="n">
        <v>145.8</v>
      </c>
    </row>
    <row r="197" customFormat="false" ht="16.4" hidden="false" customHeight="false" outlineLevel="0" collapsed="false">
      <c r="A197" s="6" t="n">
        <v>45728</v>
      </c>
      <c r="B197" s="4" t="s">
        <v>4656</v>
      </c>
      <c r="C197" s="4" t="s">
        <v>4655</v>
      </c>
      <c r="D197" s="4" t="n">
        <v>2888</v>
      </c>
      <c r="E197" s="4" t="n">
        <v>65</v>
      </c>
      <c r="F197" s="19" t="n">
        <f aca="false">IFERROR(E197/D197,0)</f>
        <v>0.0225069252077562</v>
      </c>
      <c r="G197" s="4" t="n">
        <v>8</v>
      </c>
      <c r="H197" s="8" t="n">
        <v>290.1</v>
      </c>
    </row>
    <row r="198" customFormat="false" ht="16.4" hidden="false" customHeight="false" outlineLevel="0" collapsed="false">
      <c r="A198" s="6" t="n">
        <v>45867</v>
      </c>
      <c r="B198" s="4" t="s">
        <v>4659</v>
      </c>
      <c r="C198" s="4" t="s">
        <v>4657</v>
      </c>
      <c r="D198" s="4" t="n">
        <v>4583</v>
      </c>
      <c r="E198" s="4" t="n">
        <v>165</v>
      </c>
      <c r="F198" s="19" t="n">
        <f aca="false">IFERROR(E198/D198,0)</f>
        <v>0.0360026183722453</v>
      </c>
      <c r="G198" s="4" t="n">
        <v>223</v>
      </c>
      <c r="H198" s="8" t="n">
        <v>269.1</v>
      </c>
    </row>
    <row r="199" customFormat="false" ht="16.4" hidden="false" customHeight="false" outlineLevel="0" collapsed="false">
      <c r="A199" s="6" t="n">
        <v>45929</v>
      </c>
      <c r="B199" s="4" t="s">
        <v>4658</v>
      </c>
      <c r="C199" s="4" t="s">
        <v>4660</v>
      </c>
      <c r="D199" s="4" t="n">
        <v>3254</v>
      </c>
      <c r="E199" s="4" t="n">
        <v>104</v>
      </c>
      <c r="F199" s="19" t="n">
        <f aca="false">IFERROR(E199/D199,0)</f>
        <v>0.031960663798402</v>
      </c>
      <c r="G199" s="4" t="n">
        <v>31</v>
      </c>
      <c r="H199" s="8" t="n">
        <v>50.5</v>
      </c>
    </row>
    <row r="200" customFormat="false" ht="16.4" hidden="false" customHeight="false" outlineLevel="0" collapsed="false">
      <c r="A200" s="6" t="n">
        <v>45659</v>
      </c>
      <c r="B200" s="4" t="s">
        <v>4654</v>
      </c>
      <c r="C200" s="4" t="s">
        <v>4660</v>
      </c>
      <c r="D200" s="4" t="n">
        <v>5389</v>
      </c>
      <c r="E200" s="4" t="n">
        <v>279</v>
      </c>
      <c r="F200" s="19" t="n">
        <f aca="false">IFERROR(E200/D200,0)</f>
        <v>0.0517721284097235</v>
      </c>
      <c r="G200" s="4" t="n">
        <v>54</v>
      </c>
      <c r="H200" s="8" t="n">
        <v>42.3</v>
      </c>
    </row>
    <row r="201" customFormat="false" ht="16.4" hidden="false" customHeight="false" outlineLevel="0" collapsed="false">
      <c r="A201" s="6" t="n">
        <v>46087</v>
      </c>
      <c r="B201" s="4" t="s">
        <v>4654</v>
      </c>
      <c r="C201" s="4" t="s">
        <v>4660</v>
      </c>
      <c r="D201" s="4" t="n">
        <v>1969</v>
      </c>
      <c r="E201" s="4" t="n">
        <v>62</v>
      </c>
      <c r="F201" s="19" t="n">
        <f aca="false">IFERROR(E201/D201,0)</f>
        <v>0.0314880650076181</v>
      </c>
      <c r="G201" s="4" t="n">
        <v>34</v>
      </c>
      <c r="H201" s="8" t="n">
        <v>301.4</v>
      </c>
    </row>
    <row r="202" customFormat="false" ht="16.4" hidden="false" customHeight="false" outlineLevel="0" collapsed="false">
      <c r="A202" s="6" t="n">
        <v>45927</v>
      </c>
      <c r="B202" s="4" t="s">
        <v>4659</v>
      </c>
      <c r="C202" s="4" t="s">
        <v>4657</v>
      </c>
      <c r="D202" s="4" t="n">
        <v>4970</v>
      </c>
      <c r="E202" s="4" t="n">
        <v>52</v>
      </c>
      <c r="F202" s="19" t="n">
        <f aca="false">IFERROR(E202/D202,0)</f>
        <v>0.0104627766599598</v>
      </c>
      <c r="G202" s="4" t="n">
        <v>69</v>
      </c>
      <c r="H202" s="8" t="n">
        <v>166.9</v>
      </c>
    </row>
    <row r="203" customFormat="false" ht="16.4" hidden="false" customHeight="false" outlineLevel="0" collapsed="false">
      <c r="A203" s="6" t="n">
        <v>45893</v>
      </c>
      <c r="B203" s="4" t="s">
        <v>4659</v>
      </c>
      <c r="C203" s="4" t="s">
        <v>4655</v>
      </c>
      <c r="D203" s="4" t="n">
        <v>5132</v>
      </c>
      <c r="E203" s="4" t="n">
        <v>296</v>
      </c>
      <c r="F203" s="19" t="n">
        <f aca="false">IFERROR(E203/D203,0)</f>
        <v>0.0576773187840998</v>
      </c>
      <c r="G203" s="4" t="n">
        <v>237</v>
      </c>
      <c r="H203" s="8" t="n">
        <v>46.1</v>
      </c>
    </row>
    <row r="204" customFormat="false" ht="16.4" hidden="false" customHeight="false" outlineLevel="0" collapsed="false">
      <c r="A204" s="6" t="n">
        <v>45703</v>
      </c>
      <c r="B204" s="4" t="s">
        <v>4656</v>
      </c>
      <c r="C204" s="4" t="s">
        <v>4660</v>
      </c>
      <c r="D204" s="4" t="n">
        <v>4173</v>
      </c>
      <c r="E204" s="4" t="n">
        <v>147</v>
      </c>
      <c r="F204" s="19" t="n">
        <f aca="false">IFERROR(E204/D204,0)</f>
        <v>0.0352264557872035</v>
      </c>
      <c r="G204" s="4" t="n">
        <v>102</v>
      </c>
      <c r="H204" s="8" t="n">
        <v>112.8</v>
      </c>
    </row>
    <row r="205" customFormat="false" ht="16.4" hidden="false" customHeight="false" outlineLevel="0" collapsed="false">
      <c r="A205" s="6" t="n">
        <v>45835</v>
      </c>
      <c r="B205" s="4" t="s">
        <v>4654</v>
      </c>
      <c r="C205" s="4" t="s">
        <v>4657</v>
      </c>
      <c r="D205" s="4" t="n">
        <v>829</v>
      </c>
      <c r="E205" s="4" t="n">
        <v>36</v>
      </c>
      <c r="F205" s="19" t="n">
        <f aca="false">IFERROR(E205/D205,0)</f>
        <v>0.0434258142340169</v>
      </c>
      <c r="G205" s="4" t="n">
        <v>137</v>
      </c>
      <c r="H205" s="8" t="n">
        <v>253.8</v>
      </c>
    </row>
    <row r="206" customFormat="false" ht="16.4" hidden="false" customHeight="false" outlineLevel="0" collapsed="false">
      <c r="A206" s="6" t="n">
        <v>46179</v>
      </c>
      <c r="B206" s="4" t="s">
        <v>4656</v>
      </c>
      <c r="C206" s="4" t="s">
        <v>4660</v>
      </c>
      <c r="D206" s="4" t="n">
        <v>3079</v>
      </c>
      <c r="E206" s="4" t="n">
        <v>157</v>
      </c>
      <c r="F206" s="19" t="n">
        <f aca="false">IFERROR(E206/D206,0)</f>
        <v>0.0509905813575836</v>
      </c>
      <c r="G206" s="4" t="n">
        <v>223</v>
      </c>
      <c r="H206" s="8" t="n">
        <v>129.6</v>
      </c>
    </row>
    <row r="207" customFormat="false" ht="16.4" hidden="false" customHeight="false" outlineLevel="0" collapsed="false">
      <c r="A207" s="6" t="n">
        <v>45900</v>
      </c>
      <c r="B207" s="4" t="s">
        <v>4659</v>
      </c>
      <c r="C207" s="4" t="s">
        <v>4657</v>
      </c>
      <c r="D207" s="4" t="n">
        <v>3672</v>
      </c>
      <c r="E207" s="4" t="n">
        <v>28</v>
      </c>
      <c r="F207" s="19" t="n">
        <f aca="false">IFERROR(E207/D207,0)</f>
        <v>0.00762527233115468</v>
      </c>
      <c r="G207" s="4" t="n">
        <v>191</v>
      </c>
      <c r="H207" s="8" t="n">
        <v>290</v>
      </c>
    </row>
    <row r="208" customFormat="false" ht="16.4" hidden="false" customHeight="false" outlineLevel="0" collapsed="false">
      <c r="A208" s="6" t="n">
        <v>46160</v>
      </c>
      <c r="B208" s="4" t="s">
        <v>4658</v>
      </c>
      <c r="C208" s="4" t="s">
        <v>4660</v>
      </c>
      <c r="D208" s="4" t="n">
        <v>1912</v>
      </c>
      <c r="E208" s="4" t="n">
        <v>108</v>
      </c>
      <c r="F208" s="19" t="n">
        <f aca="false">IFERROR(E208/D208,0)</f>
        <v>0.0564853556485356</v>
      </c>
      <c r="G208" s="4" t="n">
        <v>68</v>
      </c>
      <c r="H208" s="8" t="n">
        <v>288.7</v>
      </c>
    </row>
    <row r="209" customFormat="false" ht="16.4" hidden="false" customHeight="false" outlineLevel="0" collapsed="false">
      <c r="A209" s="6" t="n">
        <v>46093</v>
      </c>
      <c r="B209" s="4" t="s">
        <v>4658</v>
      </c>
      <c r="C209" s="4" t="s">
        <v>4655</v>
      </c>
      <c r="D209" s="4" t="n">
        <v>974</v>
      </c>
      <c r="E209" s="4" t="n">
        <v>41</v>
      </c>
      <c r="F209" s="19" t="n">
        <f aca="false">IFERROR(E209/D209,0)</f>
        <v>0.0420944558521561</v>
      </c>
      <c r="G209" s="4" t="n">
        <v>193</v>
      </c>
      <c r="H209" s="8" t="n">
        <v>147.4</v>
      </c>
    </row>
    <row r="210" customFormat="false" ht="16.4" hidden="false" customHeight="false" outlineLevel="0" collapsed="false">
      <c r="A210" s="6" t="n">
        <v>45865</v>
      </c>
      <c r="B210" s="4" t="s">
        <v>4659</v>
      </c>
      <c r="C210" s="4" t="s">
        <v>4655</v>
      </c>
      <c r="D210" s="4" t="n">
        <v>3019</v>
      </c>
      <c r="E210" s="4" t="n">
        <v>8</v>
      </c>
      <c r="F210" s="19" t="n">
        <f aca="false">IFERROR(E210/D210,0)</f>
        <v>0.00264988406757204</v>
      </c>
      <c r="G210" s="4" t="n">
        <v>151</v>
      </c>
      <c r="H210" s="8" t="n">
        <v>181.1</v>
      </c>
    </row>
    <row r="211" customFormat="false" ht="16.4" hidden="false" customHeight="false" outlineLevel="0" collapsed="false">
      <c r="A211" s="6" t="n">
        <v>46177</v>
      </c>
      <c r="B211" s="4" t="s">
        <v>4656</v>
      </c>
      <c r="C211" s="4" t="s">
        <v>4655</v>
      </c>
      <c r="D211" s="4" t="n">
        <v>5082</v>
      </c>
      <c r="E211" s="4" t="n">
        <v>33</v>
      </c>
      <c r="F211" s="19" t="n">
        <f aca="false">IFERROR(E211/D211,0)</f>
        <v>0.00649350649350649</v>
      </c>
      <c r="G211" s="4" t="n">
        <v>140</v>
      </c>
      <c r="H211" s="8" t="n">
        <v>171.6</v>
      </c>
    </row>
    <row r="212" customFormat="false" ht="16.4" hidden="false" customHeight="false" outlineLevel="0" collapsed="false">
      <c r="A212" s="6" t="n">
        <v>45885</v>
      </c>
      <c r="B212" s="4" t="s">
        <v>4654</v>
      </c>
      <c r="C212" s="4" t="s">
        <v>4655</v>
      </c>
      <c r="D212" s="4" t="n">
        <v>3742</v>
      </c>
      <c r="E212" s="4" t="n">
        <v>131</v>
      </c>
      <c r="F212" s="19" t="n">
        <f aca="false">IFERROR(E212/D212,0)</f>
        <v>0.0350080171031534</v>
      </c>
      <c r="G212" s="4" t="n">
        <v>103</v>
      </c>
      <c r="H212" s="8" t="n">
        <v>119.5</v>
      </c>
    </row>
    <row r="213" customFormat="false" ht="16.4" hidden="false" customHeight="false" outlineLevel="0" collapsed="false">
      <c r="A213" s="6" t="n">
        <v>45672</v>
      </c>
      <c r="B213" s="4" t="s">
        <v>4659</v>
      </c>
      <c r="C213" s="4" t="s">
        <v>4655</v>
      </c>
      <c r="D213" s="4" t="n">
        <v>4690</v>
      </c>
      <c r="E213" s="4" t="n">
        <v>230</v>
      </c>
      <c r="F213" s="19" t="n">
        <f aca="false">IFERROR(E213/D213,0)</f>
        <v>0.0490405117270789</v>
      </c>
      <c r="G213" s="4" t="n">
        <v>59</v>
      </c>
      <c r="H213" s="8" t="n">
        <v>240.9</v>
      </c>
    </row>
    <row r="214" customFormat="false" ht="16.4" hidden="false" customHeight="false" outlineLevel="0" collapsed="false">
      <c r="A214" s="6" t="n">
        <v>45773</v>
      </c>
      <c r="B214" s="4" t="s">
        <v>4659</v>
      </c>
      <c r="C214" s="4" t="s">
        <v>4655</v>
      </c>
      <c r="D214" s="4" t="n">
        <v>902</v>
      </c>
      <c r="E214" s="4" t="n">
        <v>39</v>
      </c>
      <c r="F214" s="19" t="n">
        <f aca="false">IFERROR(E214/D214,0)</f>
        <v>0.0432372505543237</v>
      </c>
      <c r="G214" s="4" t="n">
        <v>131</v>
      </c>
      <c r="H214" s="8" t="n">
        <v>271.3</v>
      </c>
    </row>
    <row r="215" customFormat="false" ht="16.4" hidden="false" customHeight="false" outlineLevel="0" collapsed="false">
      <c r="A215" s="6" t="n">
        <v>45681</v>
      </c>
      <c r="B215" s="4" t="s">
        <v>4654</v>
      </c>
      <c r="C215" s="4" t="s">
        <v>4657</v>
      </c>
      <c r="D215" s="4" t="n">
        <v>4233</v>
      </c>
      <c r="E215" s="4" t="n">
        <v>248</v>
      </c>
      <c r="F215" s="19" t="n">
        <f aca="false">IFERROR(E215/D215,0)</f>
        <v>0.0585872903378219</v>
      </c>
      <c r="G215" s="4" t="n">
        <v>32</v>
      </c>
      <c r="H215" s="8" t="n">
        <v>150.9</v>
      </c>
    </row>
    <row r="216" customFormat="false" ht="16.4" hidden="false" customHeight="false" outlineLevel="0" collapsed="false">
      <c r="A216" s="6" t="n">
        <v>45828</v>
      </c>
      <c r="B216" s="4" t="s">
        <v>4658</v>
      </c>
      <c r="C216" s="4" t="s">
        <v>4660</v>
      </c>
      <c r="D216" s="4" t="n">
        <v>3656</v>
      </c>
      <c r="E216" s="4" t="n">
        <v>67</v>
      </c>
      <c r="F216" s="19" t="n">
        <f aca="false">IFERROR(E216/D216,0)</f>
        <v>0.0183260393873085</v>
      </c>
      <c r="G216" s="4" t="n">
        <v>17</v>
      </c>
      <c r="H216" s="8" t="n">
        <v>223.5</v>
      </c>
    </row>
    <row r="217" customFormat="false" ht="16.4" hidden="false" customHeight="false" outlineLevel="0" collapsed="false">
      <c r="A217" s="6" t="n">
        <v>45745</v>
      </c>
      <c r="B217" s="4" t="s">
        <v>4658</v>
      </c>
      <c r="C217" s="4" t="s">
        <v>4657</v>
      </c>
      <c r="D217" s="4" t="n">
        <v>2195</v>
      </c>
      <c r="E217" s="4" t="n">
        <v>59</v>
      </c>
      <c r="F217" s="19" t="n">
        <f aca="false">IFERROR(E217/D217,0)</f>
        <v>0.026879271070615</v>
      </c>
      <c r="G217" s="4" t="n">
        <v>167</v>
      </c>
      <c r="H217" s="8" t="n">
        <v>139.7</v>
      </c>
    </row>
    <row r="218" customFormat="false" ht="16.4" hidden="false" customHeight="false" outlineLevel="0" collapsed="false">
      <c r="A218" s="6" t="n">
        <v>45665</v>
      </c>
      <c r="B218" s="4" t="s">
        <v>4659</v>
      </c>
      <c r="C218" s="4" t="s">
        <v>4660</v>
      </c>
      <c r="D218" s="4" t="n">
        <v>4583</v>
      </c>
      <c r="E218" s="4" t="n">
        <v>68</v>
      </c>
      <c r="F218" s="19" t="n">
        <f aca="false">IFERROR(E218/D218,0)</f>
        <v>0.0148374427231071</v>
      </c>
      <c r="G218" s="4" t="n">
        <v>16</v>
      </c>
      <c r="H218" s="8" t="n">
        <v>45.5</v>
      </c>
    </row>
    <row r="219" customFormat="false" ht="16.4" hidden="false" customHeight="false" outlineLevel="0" collapsed="false">
      <c r="A219" s="6" t="n">
        <v>45760</v>
      </c>
      <c r="B219" s="4" t="s">
        <v>4654</v>
      </c>
      <c r="C219" s="4" t="s">
        <v>4655</v>
      </c>
      <c r="D219" s="4" t="n">
        <v>4852</v>
      </c>
      <c r="E219" s="4" t="n">
        <v>139</v>
      </c>
      <c r="F219" s="19" t="n">
        <f aca="false">IFERROR(E219/D219,0)</f>
        <v>0.0286479802143446</v>
      </c>
      <c r="G219" s="4" t="n">
        <v>69</v>
      </c>
      <c r="H219" s="8" t="n">
        <v>143.9</v>
      </c>
    </row>
    <row r="220" customFormat="false" ht="16.4" hidden="false" customHeight="false" outlineLevel="0" collapsed="false">
      <c r="A220" s="6" t="n">
        <v>45735</v>
      </c>
      <c r="B220" s="4" t="s">
        <v>4658</v>
      </c>
      <c r="C220" s="4" t="s">
        <v>4657</v>
      </c>
      <c r="D220" s="4" t="n">
        <v>2767</v>
      </c>
      <c r="E220" s="4" t="n">
        <v>141</v>
      </c>
      <c r="F220" s="19" t="n">
        <f aca="false">IFERROR(E220/D220,0)</f>
        <v>0.0509577159378388</v>
      </c>
      <c r="G220" s="4" t="n">
        <v>123</v>
      </c>
      <c r="H220" s="8" t="n">
        <v>240.1</v>
      </c>
    </row>
    <row r="221" customFormat="false" ht="16.4" hidden="false" customHeight="false" outlineLevel="0" collapsed="false">
      <c r="A221" s="6" t="n">
        <v>45805</v>
      </c>
      <c r="B221" s="4" t="s">
        <v>4654</v>
      </c>
      <c r="C221" s="4" t="s">
        <v>4660</v>
      </c>
      <c r="D221" s="4" t="n">
        <v>3335</v>
      </c>
      <c r="E221" s="4" t="n">
        <v>25</v>
      </c>
      <c r="F221" s="19" t="n">
        <f aca="false">IFERROR(E221/D221,0)</f>
        <v>0.00749625187406297</v>
      </c>
      <c r="G221" s="4" t="n">
        <v>139</v>
      </c>
      <c r="H221" s="8" t="n">
        <v>306.6</v>
      </c>
    </row>
    <row r="222" customFormat="false" ht="16.4" hidden="false" customHeight="false" outlineLevel="0" collapsed="false">
      <c r="A222" s="6" t="n">
        <v>46144</v>
      </c>
      <c r="B222" s="4" t="s">
        <v>4654</v>
      </c>
      <c r="C222" s="4" t="s">
        <v>4657</v>
      </c>
      <c r="D222" s="4" t="n">
        <v>1030</v>
      </c>
      <c r="E222" s="4" t="n">
        <v>37</v>
      </c>
      <c r="F222" s="19" t="n">
        <f aca="false">IFERROR(E222/D222,0)</f>
        <v>0.0359223300970874</v>
      </c>
      <c r="G222" s="4" t="n">
        <v>99</v>
      </c>
      <c r="H222" s="8" t="n">
        <v>315.2</v>
      </c>
    </row>
    <row r="223" customFormat="false" ht="16.4" hidden="false" customHeight="false" outlineLevel="0" collapsed="false">
      <c r="A223" s="6" t="n">
        <v>45845</v>
      </c>
      <c r="B223" s="4" t="s">
        <v>4654</v>
      </c>
      <c r="C223" s="4" t="s">
        <v>4660</v>
      </c>
      <c r="D223" s="4" t="n">
        <v>4133</v>
      </c>
      <c r="E223" s="4" t="n">
        <v>52</v>
      </c>
      <c r="F223" s="19" t="n">
        <f aca="false">IFERROR(E223/D223,0)</f>
        <v>0.0125816598112751</v>
      </c>
      <c r="G223" s="4" t="n">
        <v>20</v>
      </c>
      <c r="H223" s="8" t="n">
        <v>317.7</v>
      </c>
    </row>
    <row r="224" customFormat="false" ht="16.4" hidden="false" customHeight="false" outlineLevel="0" collapsed="false">
      <c r="A224" s="6" t="n">
        <v>45847</v>
      </c>
      <c r="B224" s="4" t="s">
        <v>4659</v>
      </c>
      <c r="C224" s="4" t="s">
        <v>4655</v>
      </c>
      <c r="D224" s="4" t="n">
        <v>3245</v>
      </c>
      <c r="E224" s="4" t="n">
        <v>36</v>
      </c>
      <c r="F224" s="19" t="n">
        <f aca="false">IFERROR(E224/D224,0)</f>
        <v>0.0110939907550077</v>
      </c>
      <c r="G224" s="4" t="n">
        <v>67</v>
      </c>
      <c r="H224" s="8" t="n">
        <v>273.1</v>
      </c>
    </row>
    <row r="225" customFormat="false" ht="16.4" hidden="false" customHeight="false" outlineLevel="0" collapsed="false">
      <c r="A225" s="6" t="n">
        <v>46087</v>
      </c>
      <c r="B225" s="4" t="s">
        <v>4658</v>
      </c>
      <c r="C225" s="4" t="s">
        <v>4655</v>
      </c>
      <c r="D225" s="4" t="n">
        <v>2552</v>
      </c>
      <c r="E225" s="4" t="n">
        <v>44</v>
      </c>
      <c r="F225" s="19" t="n">
        <f aca="false">IFERROR(E225/D225,0)</f>
        <v>0.0172413793103448</v>
      </c>
      <c r="G225" s="4" t="n">
        <v>136</v>
      </c>
      <c r="H225" s="8" t="n">
        <v>272</v>
      </c>
    </row>
    <row r="226" customFormat="false" ht="16.4" hidden="false" customHeight="false" outlineLevel="0" collapsed="false">
      <c r="A226" s="6" t="n">
        <v>45855</v>
      </c>
      <c r="B226" s="4" t="s">
        <v>4659</v>
      </c>
      <c r="C226" s="4" t="s">
        <v>4660</v>
      </c>
      <c r="D226" s="4" t="n">
        <v>1222</v>
      </c>
      <c r="E226" s="4" t="n">
        <v>4</v>
      </c>
      <c r="F226" s="19" t="n">
        <f aca="false">IFERROR(E226/D226,0)</f>
        <v>0.00327332242225859</v>
      </c>
      <c r="G226" s="4" t="n">
        <v>134</v>
      </c>
      <c r="H226" s="8" t="n">
        <v>160.9</v>
      </c>
    </row>
    <row r="227" customFormat="false" ht="16.4" hidden="false" customHeight="false" outlineLevel="0" collapsed="false">
      <c r="A227" s="6" t="n">
        <v>45709</v>
      </c>
      <c r="B227" s="4" t="s">
        <v>4656</v>
      </c>
      <c r="C227" s="4" t="s">
        <v>4655</v>
      </c>
      <c r="D227" s="4" t="n">
        <v>3925</v>
      </c>
      <c r="E227" s="4" t="n">
        <v>55</v>
      </c>
      <c r="F227" s="19" t="n">
        <f aca="false">IFERROR(E227/D227,0)</f>
        <v>0.0140127388535032</v>
      </c>
      <c r="G227" s="4" t="n">
        <v>38</v>
      </c>
      <c r="H227" s="8" t="n">
        <v>192.9</v>
      </c>
    </row>
    <row r="228" customFormat="false" ht="16.4" hidden="false" customHeight="false" outlineLevel="0" collapsed="false">
      <c r="A228" s="6" t="n">
        <v>45715</v>
      </c>
      <c r="B228" s="4" t="s">
        <v>4654</v>
      </c>
      <c r="C228" s="4" t="s">
        <v>4655</v>
      </c>
      <c r="D228" s="4" t="n">
        <v>4475</v>
      </c>
      <c r="E228" s="4" t="n">
        <v>86</v>
      </c>
      <c r="F228" s="19" t="n">
        <f aca="false">IFERROR(E228/D228,0)</f>
        <v>0.0192178770949721</v>
      </c>
      <c r="G228" s="4" t="n">
        <v>8</v>
      </c>
      <c r="H228" s="8" t="n">
        <v>206.5</v>
      </c>
    </row>
    <row r="229" customFormat="false" ht="16.4" hidden="false" customHeight="false" outlineLevel="0" collapsed="false">
      <c r="A229" s="6" t="n">
        <v>46082</v>
      </c>
      <c r="B229" s="4" t="s">
        <v>4654</v>
      </c>
      <c r="C229" s="4" t="s">
        <v>4655</v>
      </c>
      <c r="D229" s="4" t="n">
        <v>2736</v>
      </c>
      <c r="E229" s="4" t="n">
        <v>100</v>
      </c>
      <c r="F229" s="19" t="n">
        <f aca="false">IFERROR(E229/D229,0)</f>
        <v>0.0365497076023392</v>
      </c>
      <c r="G229" s="4" t="n">
        <v>146</v>
      </c>
      <c r="H229" s="8" t="n">
        <v>140.9</v>
      </c>
    </row>
    <row r="230" customFormat="false" ht="16.4" hidden="false" customHeight="false" outlineLevel="0" collapsed="false">
      <c r="A230" s="6" t="n">
        <v>45689</v>
      </c>
      <c r="B230" s="4" t="s">
        <v>4658</v>
      </c>
      <c r="C230" s="4" t="s">
        <v>4660</v>
      </c>
      <c r="D230" s="4" t="n">
        <v>4152</v>
      </c>
      <c r="E230" s="4" t="n">
        <v>245</v>
      </c>
      <c r="F230" s="19" t="n">
        <f aca="false">IFERROR(E230/D230,0)</f>
        <v>0.0590077071290944</v>
      </c>
      <c r="G230" s="4" t="n">
        <v>119</v>
      </c>
      <c r="H230" s="8" t="n">
        <v>173.2</v>
      </c>
    </row>
    <row r="231" customFormat="false" ht="16.4" hidden="false" customHeight="false" outlineLevel="0" collapsed="false">
      <c r="A231" s="6" t="n">
        <v>45719</v>
      </c>
      <c r="B231" s="4" t="s">
        <v>4658</v>
      </c>
      <c r="C231" s="4" t="s">
        <v>4660</v>
      </c>
      <c r="D231" s="4" t="n">
        <v>3364</v>
      </c>
      <c r="E231" s="4" t="n">
        <v>7</v>
      </c>
      <c r="F231" s="19" t="n">
        <f aca="false">IFERROR(E231/D231,0)</f>
        <v>0.00208085612366231</v>
      </c>
      <c r="G231" s="4" t="n">
        <v>62</v>
      </c>
      <c r="H231" s="8" t="n">
        <v>78.2</v>
      </c>
    </row>
    <row r="232" customFormat="false" ht="16.4" hidden="false" customHeight="false" outlineLevel="0" collapsed="false">
      <c r="A232" s="6" t="n">
        <v>45684</v>
      </c>
      <c r="B232" s="4" t="s">
        <v>4656</v>
      </c>
      <c r="C232" s="4" t="s">
        <v>4655</v>
      </c>
      <c r="D232" s="4" t="n">
        <v>5412</v>
      </c>
      <c r="E232" s="4" t="n">
        <v>6</v>
      </c>
      <c r="F232" s="19" t="n">
        <f aca="false">IFERROR(E232/D232,0)</f>
        <v>0.00110864745011086</v>
      </c>
      <c r="G232" s="4" t="n">
        <v>157</v>
      </c>
      <c r="H232" s="8" t="n">
        <v>169.2</v>
      </c>
    </row>
    <row r="233" customFormat="false" ht="16.4" hidden="false" customHeight="false" outlineLevel="0" collapsed="false">
      <c r="A233" s="6" t="n">
        <v>46120</v>
      </c>
      <c r="B233" s="4" t="s">
        <v>4654</v>
      </c>
      <c r="C233" s="4" t="s">
        <v>4655</v>
      </c>
      <c r="D233" s="4" t="n">
        <v>2352</v>
      </c>
      <c r="E233" s="4" t="n">
        <v>8</v>
      </c>
      <c r="F233" s="19" t="n">
        <f aca="false">IFERROR(E233/D233,0)</f>
        <v>0.00340136054421769</v>
      </c>
      <c r="G233" s="4" t="n">
        <v>23</v>
      </c>
      <c r="H233" s="8" t="n">
        <v>70.6</v>
      </c>
    </row>
    <row r="234" customFormat="false" ht="16.4" hidden="false" customHeight="false" outlineLevel="0" collapsed="false">
      <c r="A234" s="6" t="n">
        <v>45700</v>
      </c>
      <c r="B234" s="4" t="s">
        <v>4656</v>
      </c>
      <c r="C234" s="4" t="s">
        <v>4655</v>
      </c>
      <c r="D234" s="4" t="n">
        <v>5228</v>
      </c>
      <c r="E234" s="4" t="n">
        <v>194</v>
      </c>
      <c r="F234" s="19" t="n">
        <f aca="false">IFERROR(E234/D234,0)</f>
        <v>0.0371078806426932</v>
      </c>
      <c r="G234" s="4" t="n">
        <v>167</v>
      </c>
      <c r="H234" s="8" t="n">
        <v>149.2</v>
      </c>
    </row>
    <row r="235" customFormat="false" ht="16.4" hidden="false" customHeight="false" outlineLevel="0" collapsed="false">
      <c r="A235" s="6" t="n">
        <v>45780</v>
      </c>
      <c r="B235" s="4" t="s">
        <v>4658</v>
      </c>
      <c r="C235" s="4" t="s">
        <v>4660</v>
      </c>
      <c r="D235" s="4" t="n">
        <v>1967</v>
      </c>
      <c r="E235" s="4" t="n">
        <v>23</v>
      </c>
      <c r="F235" s="19" t="n">
        <f aca="false">IFERROR(E235/D235,0)</f>
        <v>0.0116929334011185</v>
      </c>
      <c r="G235" s="4" t="n">
        <v>80</v>
      </c>
      <c r="H235" s="8" t="n">
        <v>283.6</v>
      </c>
    </row>
    <row r="236" customFormat="false" ht="16.4" hidden="false" customHeight="false" outlineLevel="0" collapsed="false">
      <c r="A236" s="6" t="n">
        <v>45772</v>
      </c>
      <c r="B236" s="4" t="s">
        <v>4656</v>
      </c>
      <c r="C236" s="4" t="s">
        <v>4655</v>
      </c>
      <c r="D236" s="4" t="n">
        <v>3088</v>
      </c>
      <c r="E236" s="4" t="n">
        <v>104</v>
      </c>
      <c r="F236" s="19" t="n">
        <f aca="false">IFERROR(E236/D236,0)</f>
        <v>0.0336787564766839</v>
      </c>
      <c r="G236" s="4" t="n">
        <v>145</v>
      </c>
      <c r="H236" s="8" t="n">
        <v>86.8</v>
      </c>
    </row>
    <row r="237" customFormat="false" ht="16.4" hidden="false" customHeight="false" outlineLevel="0" collapsed="false">
      <c r="A237" s="6" t="n">
        <v>45664</v>
      </c>
      <c r="B237" s="4" t="s">
        <v>4656</v>
      </c>
      <c r="C237" s="4" t="s">
        <v>4660</v>
      </c>
      <c r="D237" s="4" t="n">
        <v>1360</v>
      </c>
      <c r="E237" s="4" t="n">
        <v>60</v>
      </c>
      <c r="F237" s="19" t="n">
        <f aca="false">IFERROR(E237/D237,0)</f>
        <v>0.0441176470588235</v>
      </c>
      <c r="G237" s="4" t="n">
        <v>78</v>
      </c>
      <c r="H237" s="8" t="n">
        <v>108.6</v>
      </c>
    </row>
    <row r="238" customFormat="false" ht="16.4" hidden="false" customHeight="false" outlineLevel="0" collapsed="false">
      <c r="A238" s="6" t="n">
        <v>45888</v>
      </c>
      <c r="B238" s="4" t="s">
        <v>4659</v>
      </c>
      <c r="C238" s="4" t="s">
        <v>4660</v>
      </c>
      <c r="D238" s="4" t="n">
        <v>1240</v>
      </c>
      <c r="E238" s="4" t="n">
        <v>18</v>
      </c>
      <c r="F238" s="19" t="n">
        <f aca="false">IFERROR(E238/D238,0)</f>
        <v>0.0145161290322581</v>
      </c>
      <c r="G238" s="4" t="n">
        <v>219</v>
      </c>
      <c r="H238" s="8" t="n">
        <v>260.2</v>
      </c>
    </row>
    <row r="239" customFormat="false" ht="16.4" hidden="false" customHeight="false" outlineLevel="0" collapsed="false">
      <c r="A239" s="6" t="n">
        <v>46027</v>
      </c>
      <c r="B239" s="4" t="s">
        <v>4654</v>
      </c>
      <c r="C239" s="4" t="s">
        <v>4655</v>
      </c>
      <c r="D239" s="4" t="n">
        <v>1879</v>
      </c>
      <c r="E239" s="4" t="n">
        <v>23</v>
      </c>
      <c r="F239" s="19" t="n">
        <f aca="false">IFERROR(E239/D239,0)</f>
        <v>0.0122405534858968</v>
      </c>
      <c r="G239" s="4" t="n">
        <v>165</v>
      </c>
      <c r="H239" s="8" t="n">
        <v>151.2</v>
      </c>
    </row>
    <row r="240" customFormat="false" ht="16.4" hidden="false" customHeight="false" outlineLevel="0" collapsed="false">
      <c r="A240" s="6" t="n">
        <v>45843</v>
      </c>
      <c r="B240" s="4" t="s">
        <v>4654</v>
      </c>
      <c r="C240" s="4" t="s">
        <v>4657</v>
      </c>
      <c r="D240" s="4" t="n">
        <v>1980</v>
      </c>
      <c r="E240" s="4" t="n">
        <v>43</v>
      </c>
      <c r="F240" s="19" t="n">
        <f aca="false">IFERROR(E240/D240,0)</f>
        <v>0.0217171717171717</v>
      </c>
      <c r="G240" s="4" t="n">
        <v>69</v>
      </c>
      <c r="H240" s="8" t="n">
        <v>251.5</v>
      </c>
    </row>
    <row r="241" customFormat="false" ht="16.4" hidden="false" customHeight="false" outlineLevel="0" collapsed="false">
      <c r="A241" s="6" t="n">
        <v>45675</v>
      </c>
      <c r="B241" s="4" t="s">
        <v>4659</v>
      </c>
      <c r="C241" s="4" t="s">
        <v>4660</v>
      </c>
      <c r="D241" s="4" t="n">
        <v>1962</v>
      </c>
      <c r="E241" s="4" t="n">
        <v>93</v>
      </c>
      <c r="F241" s="19" t="n">
        <f aca="false">IFERROR(E241/D241,0)</f>
        <v>0.0474006116207951</v>
      </c>
      <c r="G241" s="4" t="n">
        <v>189</v>
      </c>
      <c r="H241" s="8" t="n">
        <v>270.5</v>
      </c>
    </row>
    <row r="242" customFormat="false" ht="16.4" hidden="false" customHeight="false" outlineLevel="0" collapsed="false">
      <c r="A242" s="6" t="n">
        <v>46042</v>
      </c>
      <c r="B242" s="4" t="s">
        <v>4658</v>
      </c>
      <c r="C242" s="4" t="s">
        <v>4655</v>
      </c>
      <c r="D242" s="4" t="n">
        <v>4686</v>
      </c>
      <c r="E242" s="4" t="n">
        <v>92</v>
      </c>
      <c r="F242" s="19" t="n">
        <f aca="false">IFERROR(E242/D242,0)</f>
        <v>0.019632949210414</v>
      </c>
      <c r="G242" s="4" t="n">
        <v>172</v>
      </c>
      <c r="H242" s="8" t="n">
        <v>91.1</v>
      </c>
    </row>
    <row r="243" customFormat="false" ht="16.4" hidden="false" customHeight="false" outlineLevel="0" collapsed="false">
      <c r="A243" s="6" t="n">
        <v>45754</v>
      </c>
      <c r="B243" s="4" t="s">
        <v>4654</v>
      </c>
      <c r="C243" s="4" t="s">
        <v>4655</v>
      </c>
      <c r="D243" s="4" t="n">
        <v>3692</v>
      </c>
      <c r="E243" s="4" t="n">
        <v>80</v>
      </c>
      <c r="F243" s="19" t="n">
        <f aca="false">IFERROR(E243/D243,0)</f>
        <v>0.0216684723726977</v>
      </c>
      <c r="G243" s="4" t="n">
        <v>120</v>
      </c>
      <c r="H243" s="8" t="n">
        <v>154.5</v>
      </c>
    </row>
    <row r="244" customFormat="false" ht="16.4" hidden="false" customHeight="false" outlineLevel="0" collapsed="false">
      <c r="A244" s="6" t="n">
        <v>45682</v>
      </c>
      <c r="B244" s="4" t="s">
        <v>4654</v>
      </c>
      <c r="C244" s="4" t="s">
        <v>4660</v>
      </c>
      <c r="D244" s="4" t="n">
        <v>4614</v>
      </c>
      <c r="E244" s="4" t="n">
        <v>153</v>
      </c>
      <c r="F244" s="19" t="n">
        <f aca="false">IFERROR(E244/D244,0)</f>
        <v>0.0331599479843953</v>
      </c>
      <c r="G244" s="4" t="n">
        <v>88</v>
      </c>
      <c r="H244" s="8" t="n">
        <v>271.6</v>
      </c>
    </row>
    <row r="245" customFormat="false" ht="16.4" hidden="false" customHeight="false" outlineLevel="0" collapsed="false">
      <c r="A245" s="6" t="n">
        <v>46017</v>
      </c>
      <c r="B245" s="4" t="s">
        <v>4658</v>
      </c>
      <c r="C245" s="4" t="s">
        <v>4660</v>
      </c>
      <c r="D245" s="4" t="n">
        <v>3741</v>
      </c>
      <c r="E245" s="4" t="n">
        <v>149</v>
      </c>
      <c r="F245" s="19" t="n">
        <f aca="false">IFERROR(E245/D245,0)</f>
        <v>0.0398289227479284</v>
      </c>
      <c r="G245" s="4" t="n">
        <v>9</v>
      </c>
      <c r="H245" s="8" t="n">
        <v>76.8</v>
      </c>
    </row>
    <row r="246" customFormat="false" ht="16.4" hidden="false" customHeight="false" outlineLevel="0" collapsed="false">
      <c r="A246" s="6" t="n">
        <v>45771</v>
      </c>
      <c r="B246" s="4" t="s">
        <v>4659</v>
      </c>
      <c r="C246" s="4" t="s">
        <v>4657</v>
      </c>
      <c r="D246" s="4" t="n">
        <v>1670</v>
      </c>
      <c r="E246" s="4" t="n">
        <v>73</v>
      </c>
      <c r="F246" s="19" t="n">
        <f aca="false">IFERROR(E246/D246,0)</f>
        <v>0.0437125748502994</v>
      </c>
      <c r="G246" s="4" t="n">
        <v>148</v>
      </c>
      <c r="H246" s="8" t="n">
        <v>298.2</v>
      </c>
    </row>
    <row r="247" customFormat="false" ht="16.4" hidden="false" customHeight="false" outlineLevel="0" collapsed="false">
      <c r="A247" s="6" t="n">
        <v>46098</v>
      </c>
      <c r="B247" s="4" t="s">
        <v>4656</v>
      </c>
      <c r="C247" s="4" t="s">
        <v>4657</v>
      </c>
      <c r="D247" s="4" t="n">
        <v>1544</v>
      </c>
      <c r="E247" s="4" t="n">
        <v>21</v>
      </c>
      <c r="F247" s="19" t="n">
        <f aca="false">IFERROR(E247/D247,0)</f>
        <v>0.0136010362694301</v>
      </c>
      <c r="G247" s="4" t="n">
        <v>73</v>
      </c>
      <c r="H247" s="8" t="n">
        <v>245.1</v>
      </c>
    </row>
    <row r="248" customFormat="false" ht="16.4" hidden="false" customHeight="false" outlineLevel="0" collapsed="false">
      <c r="A248" s="6" t="n">
        <v>45919</v>
      </c>
      <c r="B248" s="4" t="s">
        <v>4656</v>
      </c>
      <c r="C248" s="4" t="s">
        <v>4657</v>
      </c>
      <c r="D248" s="4" t="n">
        <v>5189</v>
      </c>
      <c r="E248" s="4" t="n">
        <v>211</v>
      </c>
      <c r="F248" s="19" t="n">
        <f aca="false">IFERROR(E248/D248,0)</f>
        <v>0.0406629408363847</v>
      </c>
      <c r="G248" s="4" t="n">
        <v>109</v>
      </c>
      <c r="H248" s="8" t="n">
        <v>261.5</v>
      </c>
    </row>
    <row r="249" customFormat="false" ht="16.4" hidden="false" customHeight="false" outlineLevel="0" collapsed="false">
      <c r="A249" s="6" t="n">
        <v>45787</v>
      </c>
      <c r="B249" s="4" t="s">
        <v>4654</v>
      </c>
      <c r="C249" s="4" t="s">
        <v>4660</v>
      </c>
      <c r="D249" s="4" t="n">
        <v>5008</v>
      </c>
      <c r="E249" s="4" t="n">
        <v>215</v>
      </c>
      <c r="F249" s="19" t="n">
        <f aca="false">IFERROR(E249/D249,0)</f>
        <v>0.0429313099041534</v>
      </c>
      <c r="G249" s="4" t="n">
        <v>97</v>
      </c>
      <c r="H249" s="8" t="n">
        <v>319.8</v>
      </c>
    </row>
    <row r="250" customFormat="false" ht="16.4" hidden="false" customHeight="false" outlineLevel="0" collapsed="false">
      <c r="A250" s="6" t="n">
        <v>46196</v>
      </c>
      <c r="B250" s="4" t="s">
        <v>4659</v>
      </c>
      <c r="C250" s="4" t="s">
        <v>4660</v>
      </c>
      <c r="D250" s="4" t="n">
        <v>879</v>
      </c>
      <c r="E250" s="4" t="n">
        <v>32</v>
      </c>
      <c r="F250" s="19" t="n">
        <f aca="false">IFERROR(E250/D250,0)</f>
        <v>0.0364050056882821</v>
      </c>
      <c r="G250" s="4" t="n">
        <v>116</v>
      </c>
      <c r="H250" s="8" t="n">
        <v>112.5</v>
      </c>
    </row>
    <row r="251" customFormat="false" ht="16.4" hidden="false" customHeight="false" outlineLevel="0" collapsed="false">
      <c r="A251" s="6" t="n">
        <v>46106</v>
      </c>
      <c r="B251" s="4" t="s">
        <v>4658</v>
      </c>
      <c r="C251" s="4" t="s">
        <v>4657</v>
      </c>
      <c r="D251" s="4" t="n">
        <v>4987</v>
      </c>
      <c r="E251" s="4" t="n">
        <v>118</v>
      </c>
      <c r="F251" s="19" t="n">
        <f aca="false">IFERROR(E251/D251,0)</f>
        <v>0.0236615199518749</v>
      </c>
      <c r="G251" s="4" t="n">
        <v>28</v>
      </c>
      <c r="H251" s="8" t="n">
        <v>200.1</v>
      </c>
    </row>
    <row r="252" customFormat="false" ht="16.4" hidden="false" customHeight="false" outlineLevel="0" collapsed="false">
      <c r="A252" s="6" t="n">
        <v>45791</v>
      </c>
      <c r="B252" s="4" t="s">
        <v>4658</v>
      </c>
      <c r="C252" s="4" t="s">
        <v>4660</v>
      </c>
      <c r="D252" s="4" t="n">
        <v>4819</v>
      </c>
      <c r="E252" s="4" t="n">
        <v>149</v>
      </c>
      <c r="F252" s="19" t="n">
        <f aca="false">IFERROR(E252/D252,0)</f>
        <v>0.0309192778584769</v>
      </c>
      <c r="G252" s="4" t="n">
        <v>76</v>
      </c>
      <c r="H252" s="8" t="n">
        <v>52.2</v>
      </c>
    </row>
    <row r="253" customFormat="false" ht="16.4" hidden="false" customHeight="false" outlineLevel="0" collapsed="false">
      <c r="A253" s="6" t="n">
        <v>46199</v>
      </c>
      <c r="B253" s="4" t="s">
        <v>4654</v>
      </c>
      <c r="C253" s="4" t="s">
        <v>4660</v>
      </c>
      <c r="D253" s="4" t="n">
        <v>4106</v>
      </c>
      <c r="E253" s="4" t="n">
        <v>146</v>
      </c>
      <c r="F253" s="19" t="n">
        <f aca="false">IFERROR(E253/D253,0)</f>
        <v>0.0355577204091573</v>
      </c>
      <c r="G253" s="4" t="n">
        <v>155</v>
      </c>
      <c r="H253" s="8" t="n">
        <v>309.3</v>
      </c>
    </row>
    <row r="254" customFormat="false" ht="16.4" hidden="false" customHeight="false" outlineLevel="0" collapsed="false">
      <c r="A254" s="6" t="n">
        <v>45860</v>
      </c>
      <c r="B254" s="4" t="s">
        <v>4659</v>
      </c>
      <c r="C254" s="4" t="s">
        <v>4655</v>
      </c>
      <c r="D254" s="4" t="n">
        <v>1847</v>
      </c>
      <c r="E254" s="4" t="n">
        <v>106</v>
      </c>
      <c r="F254" s="19" t="n">
        <f aca="false">IFERROR(E254/D254,0)</f>
        <v>0.0573903627504061</v>
      </c>
      <c r="G254" s="4" t="n">
        <v>71</v>
      </c>
      <c r="H254" s="8" t="n">
        <v>191.3</v>
      </c>
    </row>
    <row r="255" customFormat="false" ht="16.4" hidden="false" customHeight="false" outlineLevel="0" collapsed="false">
      <c r="A255" s="6" t="n">
        <v>45934</v>
      </c>
      <c r="B255" s="4" t="s">
        <v>4656</v>
      </c>
      <c r="C255" s="4" t="s">
        <v>4655</v>
      </c>
      <c r="D255" s="4" t="n">
        <v>4976</v>
      </c>
      <c r="E255" s="4" t="n">
        <v>223</v>
      </c>
      <c r="F255" s="19" t="n">
        <f aca="false">IFERROR(E255/D255,0)</f>
        <v>0.0448151125401929</v>
      </c>
      <c r="G255" s="4" t="n">
        <v>129</v>
      </c>
      <c r="H255" s="8" t="n">
        <v>84.2</v>
      </c>
    </row>
    <row r="256" customFormat="false" ht="16.4" hidden="false" customHeight="false" outlineLevel="0" collapsed="false">
      <c r="A256" s="6" t="n">
        <v>46198</v>
      </c>
      <c r="B256" s="4" t="s">
        <v>4656</v>
      </c>
      <c r="C256" s="4" t="s">
        <v>4660</v>
      </c>
      <c r="D256" s="4" t="n">
        <v>2635</v>
      </c>
      <c r="E256" s="4" t="n">
        <v>146</v>
      </c>
      <c r="F256" s="19" t="n">
        <f aca="false">IFERROR(E256/D256,0)</f>
        <v>0.0554079696394687</v>
      </c>
      <c r="G256" s="4" t="n">
        <v>70</v>
      </c>
      <c r="H256" s="8" t="n">
        <v>160.9</v>
      </c>
    </row>
    <row r="257" customFormat="false" ht="16.4" hidden="false" customHeight="false" outlineLevel="0" collapsed="false">
      <c r="A257" s="6" t="n">
        <v>45667</v>
      </c>
      <c r="B257" s="4" t="s">
        <v>4654</v>
      </c>
      <c r="C257" s="4" t="s">
        <v>4655</v>
      </c>
      <c r="D257" s="4" t="n">
        <v>2012</v>
      </c>
      <c r="E257" s="4" t="n">
        <v>91</v>
      </c>
      <c r="F257" s="19" t="n">
        <f aca="false">IFERROR(E257/D257,0)</f>
        <v>0.0452286282306163</v>
      </c>
      <c r="G257" s="4" t="n">
        <v>42</v>
      </c>
      <c r="H257" s="8" t="n">
        <v>95.8</v>
      </c>
    </row>
    <row r="258" customFormat="false" ht="16.4" hidden="false" customHeight="false" outlineLevel="0" collapsed="false">
      <c r="A258" s="6" t="n">
        <v>45672</v>
      </c>
      <c r="B258" s="4" t="s">
        <v>4659</v>
      </c>
      <c r="C258" s="4" t="s">
        <v>4660</v>
      </c>
      <c r="D258" s="4" t="n">
        <v>4827</v>
      </c>
      <c r="E258" s="4" t="n">
        <v>75</v>
      </c>
      <c r="F258" s="19" t="n">
        <f aca="false">IFERROR(E258/D258,0)</f>
        <v>0.0155376009944065</v>
      </c>
      <c r="G258" s="4" t="n">
        <v>0</v>
      </c>
      <c r="H258" s="8" t="n">
        <v>286</v>
      </c>
    </row>
    <row r="259" customFormat="false" ht="16.4" hidden="false" customHeight="false" outlineLevel="0" collapsed="false">
      <c r="A259" s="6" t="n">
        <v>45720</v>
      </c>
      <c r="B259" s="4" t="s">
        <v>4658</v>
      </c>
      <c r="C259" s="4" t="s">
        <v>4655</v>
      </c>
      <c r="D259" s="4" t="n">
        <v>2584</v>
      </c>
      <c r="E259" s="4" t="n">
        <v>0</v>
      </c>
      <c r="F259" s="19" t="n">
        <f aca="false">IFERROR(E259/D259,0)</f>
        <v>0</v>
      </c>
      <c r="G259" s="4" t="n">
        <v>140</v>
      </c>
      <c r="H259" s="8" t="n">
        <v>185.3</v>
      </c>
    </row>
    <row r="260" customFormat="false" ht="16.4" hidden="false" customHeight="false" outlineLevel="0" collapsed="false">
      <c r="A260" s="6" t="n">
        <v>46070</v>
      </c>
      <c r="B260" s="4" t="s">
        <v>4656</v>
      </c>
      <c r="C260" s="4" t="s">
        <v>4655</v>
      </c>
      <c r="D260" s="4" t="n">
        <v>2837</v>
      </c>
      <c r="E260" s="4" t="n">
        <v>74</v>
      </c>
      <c r="F260" s="19" t="n">
        <f aca="false">IFERROR(E260/D260,0)</f>
        <v>0.026083891434614</v>
      </c>
      <c r="G260" s="4" t="n">
        <v>151</v>
      </c>
      <c r="H260" s="8" t="n">
        <v>71.1</v>
      </c>
    </row>
    <row r="261" customFormat="false" ht="16.4" hidden="false" customHeight="false" outlineLevel="0" collapsed="false">
      <c r="A261" s="6" t="n">
        <v>46186</v>
      </c>
      <c r="B261" s="4" t="s">
        <v>4658</v>
      </c>
      <c r="C261" s="4" t="s">
        <v>4655</v>
      </c>
      <c r="D261" s="4" t="n">
        <v>839</v>
      </c>
      <c r="E261" s="4" t="n">
        <v>0</v>
      </c>
      <c r="F261" s="19" t="n">
        <f aca="false">IFERROR(E261/D261,0)</f>
        <v>0</v>
      </c>
      <c r="G261" s="4" t="n">
        <v>64</v>
      </c>
      <c r="H261" s="8" t="n">
        <v>73.4</v>
      </c>
    </row>
    <row r="262" customFormat="false" ht="16.4" hidden="false" customHeight="false" outlineLevel="0" collapsed="false">
      <c r="A262" s="6" t="n">
        <v>45752</v>
      </c>
      <c r="B262" s="4" t="s">
        <v>4656</v>
      </c>
      <c r="C262" s="4" t="s">
        <v>4657</v>
      </c>
      <c r="D262" s="4" t="n">
        <v>821</v>
      </c>
      <c r="E262" s="4" t="n">
        <v>1</v>
      </c>
      <c r="F262" s="19" t="n">
        <f aca="false">IFERROR(E262/D262,0)</f>
        <v>0.00121802679658953</v>
      </c>
      <c r="G262" s="4" t="n">
        <v>192</v>
      </c>
      <c r="H262" s="8" t="n">
        <v>247.6</v>
      </c>
    </row>
    <row r="263" customFormat="false" ht="16.4" hidden="false" customHeight="false" outlineLevel="0" collapsed="false">
      <c r="A263" s="6" t="n">
        <v>45898</v>
      </c>
      <c r="B263" s="4" t="s">
        <v>4654</v>
      </c>
      <c r="C263" s="4" t="s">
        <v>4657</v>
      </c>
      <c r="D263" s="4" t="n">
        <v>2047</v>
      </c>
      <c r="E263" s="4" t="n">
        <v>105</v>
      </c>
      <c r="F263" s="19" t="n">
        <f aca="false">IFERROR(E263/D263,0)</f>
        <v>0.0512945774303859</v>
      </c>
      <c r="G263" s="4" t="n">
        <v>126</v>
      </c>
      <c r="H263" s="8" t="n">
        <v>96.4</v>
      </c>
    </row>
    <row r="264" customFormat="false" ht="16.4" hidden="false" customHeight="false" outlineLevel="0" collapsed="false">
      <c r="A264" s="6" t="n">
        <v>46128</v>
      </c>
      <c r="B264" s="4" t="s">
        <v>4658</v>
      </c>
      <c r="C264" s="4" t="s">
        <v>4660</v>
      </c>
      <c r="D264" s="4" t="n">
        <v>4541</v>
      </c>
      <c r="E264" s="4" t="n">
        <v>272</v>
      </c>
      <c r="F264" s="19" t="n">
        <f aca="false">IFERROR(E264/D264,0)</f>
        <v>0.0598987007267122</v>
      </c>
      <c r="G264" s="4" t="n">
        <v>2</v>
      </c>
      <c r="H264" s="8" t="n">
        <v>191.7</v>
      </c>
    </row>
    <row r="265" customFormat="false" ht="16.4" hidden="false" customHeight="false" outlineLevel="0" collapsed="false">
      <c r="A265" s="6" t="n">
        <v>45742</v>
      </c>
      <c r="B265" s="4" t="s">
        <v>4656</v>
      </c>
      <c r="C265" s="4" t="s">
        <v>4660</v>
      </c>
      <c r="D265" s="4" t="n">
        <v>3559</v>
      </c>
      <c r="E265" s="4" t="n">
        <v>76</v>
      </c>
      <c r="F265" s="19" t="n">
        <f aca="false">IFERROR(E265/D265,0)</f>
        <v>0.0213543130092723</v>
      </c>
      <c r="G265" s="4" t="n">
        <v>66</v>
      </c>
      <c r="H265" s="8" t="n">
        <v>148.8</v>
      </c>
    </row>
    <row r="266" customFormat="false" ht="16.4" hidden="false" customHeight="false" outlineLevel="0" collapsed="false">
      <c r="A266" s="6" t="n">
        <v>45681</v>
      </c>
      <c r="B266" s="4" t="s">
        <v>4659</v>
      </c>
      <c r="C266" s="4" t="s">
        <v>4657</v>
      </c>
      <c r="D266" s="4" t="n">
        <v>1132</v>
      </c>
      <c r="E266" s="4" t="n">
        <v>6</v>
      </c>
      <c r="F266" s="19" t="n">
        <f aca="false">IFERROR(E266/D266,0)</f>
        <v>0.00530035335689046</v>
      </c>
      <c r="G266" s="4" t="n">
        <v>56</v>
      </c>
      <c r="H266" s="8" t="n">
        <v>109.7</v>
      </c>
    </row>
    <row r="267" customFormat="false" ht="16.4" hidden="false" customHeight="false" outlineLevel="0" collapsed="false">
      <c r="A267" s="6" t="n">
        <v>45908</v>
      </c>
      <c r="B267" s="4" t="s">
        <v>4656</v>
      </c>
      <c r="C267" s="4" t="s">
        <v>4655</v>
      </c>
      <c r="D267" s="4" t="n">
        <v>1772</v>
      </c>
      <c r="E267" s="4" t="n">
        <v>12</v>
      </c>
      <c r="F267" s="19" t="n">
        <f aca="false">IFERROR(E267/D267,0)</f>
        <v>0.00677200902934537</v>
      </c>
      <c r="G267" s="4" t="n">
        <v>237</v>
      </c>
      <c r="H267" s="8" t="n">
        <v>66.9</v>
      </c>
    </row>
    <row r="268" customFormat="false" ht="16.4" hidden="false" customHeight="false" outlineLevel="0" collapsed="false">
      <c r="A268" s="6" t="n">
        <v>45752</v>
      </c>
      <c r="B268" s="4" t="s">
        <v>4659</v>
      </c>
      <c r="C268" s="4" t="s">
        <v>4657</v>
      </c>
      <c r="D268" s="4" t="n">
        <v>1497</v>
      </c>
      <c r="E268" s="4" t="n">
        <v>40</v>
      </c>
      <c r="F268" s="19" t="n">
        <f aca="false">IFERROR(E268/D268,0)</f>
        <v>0.0267201068804275</v>
      </c>
      <c r="G268" s="4" t="n">
        <v>66</v>
      </c>
      <c r="H268" s="8" t="n">
        <v>132.3</v>
      </c>
    </row>
    <row r="269" customFormat="false" ht="16.4" hidden="false" customHeight="false" outlineLevel="0" collapsed="false">
      <c r="A269" s="6" t="n">
        <v>45974</v>
      </c>
      <c r="B269" s="4" t="s">
        <v>4654</v>
      </c>
      <c r="C269" s="4" t="s">
        <v>4655</v>
      </c>
      <c r="D269" s="4" t="n">
        <v>1959</v>
      </c>
      <c r="E269" s="4" t="n">
        <v>97</v>
      </c>
      <c r="F269" s="19" t="n">
        <f aca="false">IFERROR(E269/D269,0)</f>
        <v>0.0495150587034201</v>
      </c>
      <c r="G269" s="4" t="n">
        <v>48</v>
      </c>
      <c r="H269" s="8" t="n">
        <v>218.1</v>
      </c>
    </row>
    <row r="270" customFormat="false" ht="16.4" hidden="false" customHeight="false" outlineLevel="0" collapsed="false">
      <c r="A270" s="6" t="n">
        <v>46029</v>
      </c>
      <c r="B270" s="4" t="s">
        <v>4654</v>
      </c>
      <c r="C270" s="4" t="s">
        <v>4660</v>
      </c>
      <c r="D270" s="4" t="n">
        <v>898</v>
      </c>
      <c r="E270" s="4" t="n">
        <v>4</v>
      </c>
      <c r="F270" s="19" t="n">
        <f aca="false">IFERROR(E270/D270,0)</f>
        <v>0.0044543429844098</v>
      </c>
      <c r="G270" s="4" t="n">
        <v>195</v>
      </c>
      <c r="H270" s="8" t="n">
        <v>107</v>
      </c>
    </row>
    <row r="271" customFormat="false" ht="16.4" hidden="false" customHeight="false" outlineLevel="0" collapsed="false">
      <c r="A271" s="6" t="n">
        <v>45688</v>
      </c>
      <c r="B271" s="4" t="s">
        <v>4656</v>
      </c>
      <c r="C271" s="4" t="s">
        <v>4660</v>
      </c>
      <c r="D271" s="4" t="n">
        <v>4182</v>
      </c>
      <c r="E271" s="4" t="n">
        <v>105</v>
      </c>
      <c r="F271" s="19" t="n">
        <f aca="false">IFERROR(E271/D271,0)</f>
        <v>0.0251076040172166</v>
      </c>
      <c r="G271" s="4" t="n">
        <v>96</v>
      </c>
      <c r="H271" s="8" t="n">
        <v>304.2</v>
      </c>
    </row>
    <row r="272" customFormat="false" ht="16.4" hidden="false" customHeight="false" outlineLevel="0" collapsed="false">
      <c r="A272" s="6" t="n">
        <v>45937</v>
      </c>
      <c r="B272" s="4" t="s">
        <v>4656</v>
      </c>
      <c r="C272" s="4" t="s">
        <v>4660</v>
      </c>
      <c r="D272" s="4" t="n">
        <v>2851</v>
      </c>
      <c r="E272" s="4" t="n">
        <v>72</v>
      </c>
      <c r="F272" s="19" t="n">
        <f aca="false">IFERROR(E272/D272,0)</f>
        <v>0.0252542967379867</v>
      </c>
      <c r="G272" s="4" t="n">
        <v>113</v>
      </c>
      <c r="H272" s="8" t="n">
        <v>81.5</v>
      </c>
    </row>
    <row r="273" customFormat="false" ht="16.4" hidden="false" customHeight="false" outlineLevel="0" collapsed="false">
      <c r="A273" s="6" t="n">
        <v>45717</v>
      </c>
      <c r="B273" s="4" t="s">
        <v>4654</v>
      </c>
      <c r="C273" s="4" t="s">
        <v>4660</v>
      </c>
      <c r="D273" s="4" t="n">
        <v>1239</v>
      </c>
      <c r="E273" s="4" t="n">
        <v>12</v>
      </c>
      <c r="F273" s="19" t="n">
        <f aca="false">IFERROR(E273/D273,0)</f>
        <v>0.00968523002421308</v>
      </c>
      <c r="G273" s="4" t="n">
        <v>225</v>
      </c>
      <c r="H273" s="8" t="n">
        <v>220.3</v>
      </c>
    </row>
    <row r="274" customFormat="false" ht="16.4" hidden="false" customHeight="false" outlineLevel="0" collapsed="false">
      <c r="A274" s="6" t="n">
        <v>45800</v>
      </c>
      <c r="B274" s="4" t="s">
        <v>4658</v>
      </c>
      <c r="C274" s="4" t="s">
        <v>4657</v>
      </c>
      <c r="D274" s="4" t="n">
        <v>931</v>
      </c>
      <c r="E274" s="4" t="n">
        <v>51</v>
      </c>
      <c r="F274" s="19" t="n">
        <f aca="false">IFERROR(E274/D274,0)</f>
        <v>0.0547798066595059</v>
      </c>
      <c r="G274" s="4" t="n">
        <v>129</v>
      </c>
      <c r="H274" s="8" t="n">
        <v>82.6</v>
      </c>
    </row>
    <row r="275" customFormat="false" ht="16.4" hidden="false" customHeight="false" outlineLevel="0" collapsed="false">
      <c r="A275" s="6" t="n">
        <v>45885</v>
      </c>
      <c r="B275" s="4" t="s">
        <v>4656</v>
      </c>
      <c r="C275" s="4" t="s">
        <v>4657</v>
      </c>
      <c r="D275" s="4" t="n">
        <v>1928</v>
      </c>
      <c r="E275" s="4" t="n">
        <v>83</v>
      </c>
      <c r="F275" s="19" t="n">
        <f aca="false">IFERROR(E275/D275,0)</f>
        <v>0.0430497925311203</v>
      </c>
      <c r="G275" s="4" t="n">
        <v>236</v>
      </c>
      <c r="H275" s="8" t="n">
        <v>254.8</v>
      </c>
    </row>
    <row r="276" customFormat="false" ht="16.4" hidden="false" customHeight="false" outlineLevel="0" collapsed="false">
      <c r="A276" s="6" t="n">
        <v>46058</v>
      </c>
      <c r="B276" s="4" t="s">
        <v>4654</v>
      </c>
      <c r="C276" s="4" t="s">
        <v>4655</v>
      </c>
      <c r="D276" s="4" t="n">
        <v>809</v>
      </c>
      <c r="E276" s="4" t="n">
        <v>9</v>
      </c>
      <c r="F276" s="19" t="n">
        <f aca="false">IFERROR(E276/D276,0)</f>
        <v>0.0111248454882571</v>
      </c>
      <c r="G276" s="4" t="n">
        <v>135</v>
      </c>
      <c r="H276" s="8" t="n">
        <v>137.1</v>
      </c>
    </row>
    <row r="277" customFormat="false" ht="16.4" hidden="false" customHeight="false" outlineLevel="0" collapsed="false">
      <c r="A277" s="6" t="n">
        <v>45926</v>
      </c>
      <c r="B277" s="4" t="s">
        <v>4659</v>
      </c>
      <c r="C277" s="4" t="s">
        <v>4655</v>
      </c>
      <c r="D277" s="4" t="n">
        <v>1373</v>
      </c>
      <c r="E277" s="4" t="n">
        <v>63</v>
      </c>
      <c r="F277" s="19" t="n">
        <f aca="false">IFERROR(E277/D277,0)</f>
        <v>0.0458849235251275</v>
      </c>
      <c r="G277" s="4" t="n">
        <v>119</v>
      </c>
      <c r="H277" s="8" t="n">
        <v>103.7</v>
      </c>
    </row>
    <row r="278" customFormat="false" ht="16.4" hidden="false" customHeight="false" outlineLevel="0" collapsed="false">
      <c r="A278" s="6" t="n">
        <v>45855</v>
      </c>
      <c r="B278" s="4" t="s">
        <v>4656</v>
      </c>
      <c r="C278" s="4" t="s">
        <v>4660</v>
      </c>
      <c r="D278" s="4" t="n">
        <v>3736</v>
      </c>
      <c r="E278" s="4" t="n">
        <v>163</v>
      </c>
      <c r="F278" s="19" t="n">
        <f aca="false">IFERROR(E278/D278,0)</f>
        <v>0.0436295503211992</v>
      </c>
      <c r="G278" s="4" t="n">
        <v>40</v>
      </c>
      <c r="H278" s="8" t="n">
        <v>306.3</v>
      </c>
    </row>
    <row r="279" customFormat="false" ht="16.4" hidden="false" customHeight="false" outlineLevel="0" collapsed="false">
      <c r="A279" s="6" t="n">
        <v>46123</v>
      </c>
      <c r="B279" s="4" t="s">
        <v>4658</v>
      </c>
      <c r="C279" s="4" t="s">
        <v>4655</v>
      </c>
      <c r="D279" s="4" t="n">
        <v>2620</v>
      </c>
      <c r="E279" s="4" t="n">
        <v>88</v>
      </c>
      <c r="F279" s="19" t="n">
        <f aca="false">IFERROR(E279/D279,0)</f>
        <v>0.033587786259542</v>
      </c>
      <c r="G279" s="4" t="n">
        <v>75</v>
      </c>
      <c r="H279" s="8" t="n">
        <v>64.4</v>
      </c>
    </row>
    <row r="280" customFormat="false" ht="16.4" hidden="false" customHeight="false" outlineLevel="0" collapsed="false">
      <c r="A280" s="6" t="n">
        <v>45800</v>
      </c>
      <c r="B280" s="4" t="s">
        <v>4659</v>
      </c>
      <c r="C280" s="4" t="s">
        <v>4655</v>
      </c>
      <c r="D280" s="4" t="n">
        <v>1575</v>
      </c>
      <c r="E280" s="4" t="n">
        <v>71</v>
      </c>
      <c r="F280" s="19" t="n">
        <f aca="false">IFERROR(E280/D280,0)</f>
        <v>0.0450793650793651</v>
      </c>
      <c r="G280" s="4" t="n">
        <v>140</v>
      </c>
      <c r="H280" s="8" t="n">
        <v>72.5</v>
      </c>
    </row>
    <row r="281" customFormat="false" ht="16.4" hidden="false" customHeight="false" outlineLevel="0" collapsed="false">
      <c r="A281" s="6" t="n">
        <v>45729</v>
      </c>
      <c r="B281" s="4" t="s">
        <v>4654</v>
      </c>
      <c r="C281" s="4" t="s">
        <v>4657</v>
      </c>
      <c r="D281" s="4" t="n">
        <v>4229</v>
      </c>
      <c r="E281" s="4" t="n">
        <v>240</v>
      </c>
      <c r="F281" s="19" t="n">
        <f aca="false">IFERROR(E281/D281,0)</f>
        <v>0.0567510049657129</v>
      </c>
      <c r="G281" s="4" t="n">
        <v>83</v>
      </c>
      <c r="H281" s="8" t="n">
        <v>136.9</v>
      </c>
    </row>
    <row r="282" customFormat="false" ht="16.4" hidden="false" customHeight="false" outlineLevel="0" collapsed="false">
      <c r="A282" s="6" t="n">
        <v>46065</v>
      </c>
      <c r="B282" s="4" t="s">
        <v>4658</v>
      </c>
      <c r="C282" s="4" t="s">
        <v>4655</v>
      </c>
      <c r="D282" s="4" t="n">
        <v>946</v>
      </c>
      <c r="E282" s="4" t="n">
        <v>18</v>
      </c>
      <c r="F282" s="19" t="n">
        <f aca="false">IFERROR(E282/D282,0)</f>
        <v>0.0190274841437632</v>
      </c>
      <c r="G282" s="4" t="n">
        <v>15</v>
      </c>
      <c r="H282" s="8" t="n">
        <v>170.1</v>
      </c>
    </row>
    <row r="283" customFormat="false" ht="16.4" hidden="false" customHeight="false" outlineLevel="0" collapsed="false">
      <c r="A283" s="6" t="n">
        <v>45714</v>
      </c>
      <c r="B283" s="4" t="s">
        <v>4659</v>
      </c>
      <c r="C283" s="4" t="s">
        <v>4660</v>
      </c>
      <c r="D283" s="4" t="n">
        <v>2216</v>
      </c>
      <c r="E283" s="4" t="n">
        <v>56</v>
      </c>
      <c r="F283" s="19" t="n">
        <f aca="false">IFERROR(E283/D283,0)</f>
        <v>0.0252707581227437</v>
      </c>
      <c r="G283" s="4" t="n">
        <v>104</v>
      </c>
      <c r="H283" s="8" t="n">
        <v>46.6</v>
      </c>
    </row>
    <row r="284" customFormat="false" ht="16.4" hidden="false" customHeight="false" outlineLevel="0" collapsed="false">
      <c r="A284" s="6" t="n">
        <v>45906</v>
      </c>
      <c r="B284" s="4" t="s">
        <v>4654</v>
      </c>
      <c r="C284" s="4" t="s">
        <v>4660</v>
      </c>
      <c r="D284" s="4" t="n">
        <v>1498</v>
      </c>
      <c r="E284" s="4" t="n">
        <v>16</v>
      </c>
      <c r="F284" s="19" t="n">
        <f aca="false">IFERROR(E284/D284,0)</f>
        <v>0.0106809078771696</v>
      </c>
      <c r="G284" s="4" t="n">
        <v>22</v>
      </c>
      <c r="H284" s="8" t="n">
        <v>48.3</v>
      </c>
    </row>
    <row r="285" customFormat="false" ht="16.4" hidden="false" customHeight="false" outlineLevel="0" collapsed="false">
      <c r="A285" s="6" t="n">
        <v>45788</v>
      </c>
      <c r="B285" s="4" t="s">
        <v>4656</v>
      </c>
      <c r="C285" s="4" t="s">
        <v>4655</v>
      </c>
      <c r="D285" s="4" t="n">
        <v>2239</v>
      </c>
      <c r="E285" s="4" t="n">
        <v>51</v>
      </c>
      <c r="F285" s="19" t="n">
        <f aca="false">IFERROR(E285/D285,0)</f>
        <v>0.0227780259044216</v>
      </c>
      <c r="G285" s="4" t="n">
        <v>89</v>
      </c>
      <c r="H285" s="8" t="n">
        <v>65.1</v>
      </c>
    </row>
    <row r="286" customFormat="false" ht="16.4" hidden="false" customHeight="false" outlineLevel="0" collapsed="false">
      <c r="A286" s="6" t="n">
        <v>45928</v>
      </c>
      <c r="B286" s="4" t="s">
        <v>4659</v>
      </c>
      <c r="C286" s="4" t="s">
        <v>4655</v>
      </c>
      <c r="D286" s="4" t="n">
        <v>1040</v>
      </c>
      <c r="E286" s="4" t="n">
        <v>41</v>
      </c>
      <c r="F286" s="19" t="n">
        <f aca="false">IFERROR(E286/D286,0)</f>
        <v>0.0394230769230769</v>
      </c>
      <c r="G286" s="4" t="n">
        <v>127</v>
      </c>
      <c r="H286" s="8" t="n">
        <v>245.9</v>
      </c>
    </row>
    <row r="287" customFormat="false" ht="16.4" hidden="false" customHeight="false" outlineLevel="0" collapsed="false">
      <c r="A287" s="6" t="n">
        <v>45887</v>
      </c>
      <c r="B287" s="4" t="s">
        <v>4659</v>
      </c>
      <c r="C287" s="4" t="s">
        <v>4660</v>
      </c>
      <c r="D287" s="4" t="n">
        <v>4365</v>
      </c>
      <c r="E287" s="4" t="n">
        <v>166</v>
      </c>
      <c r="F287" s="19" t="n">
        <f aca="false">IFERROR(E287/D287,0)</f>
        <v>0.0380297823596793</v>
      </c>
      <c r="G287" s="4" t="n">
        <v>97</v>
      </c>
      <c r="H287" s="8" t="n">
        <v>243.1</v>
      </c>
    </row>
    <row r="288" customFormat="false" ht="16.4" hidden="false" customHeight="false" outlineLevel="0" collapsed="false">
      <c r="A288" s="6" t="n">
        <v>45839</v>
      </c>
      <c r="B288" s="4" t="s">
        <v>4654</v>
      </c>
      <c r="C288" s="4" t="s">
        <v>4660</v>
      </c>
      <c r="D288" s="4" t="n">
        <v>3302</v>
      </c>
      <c r="E288" s="4" t="n">
        <v>167</v>
      </c>
      <c r="F288" s="19" t="n">
        <f aca="false">IFERROR(E288/D288,0)</f>
        <v>0.0505754088431254</v>
      </c>
      <c r="G288" s="4" t="n">
        <v>107</v>
      </c>
      <c r="H288" s="8" t="n">
        <v>316.5</v>
      </c>
    </row>
    <row r="289" customFormat="false" ht="16.4" hidden="false" customHeight="false" outlineLevel="0" collapsed="false">
      <c r="A289" s="6" t="n">
        <v>45683</v>
      </c>
      <c r="B289" s="4" t="s">
        <v>4658</v>
      </c>
      <c r="C289" s="4" t="s">
        <v>4657</v>
      </c>
      <c r="D289" s="4" t="n">
        <v>3256</v>
      </c>
      <c r="E289" s="4" t="n">
        <v>98</v>
      </c>
      <c r="F289" s="19" t="n">
        <f aca="false">IFERROR(E289/D289,0)</f>
        <v>0.0300982800982801</v>
      </c>
      <c r="G289" s="4" t="n">
        <v>22</v>
      </c>
      <c r="H289" s="8" t="n">
        <v>133.2</v>
      </c>
    </row>
    <row r="290" customFormat="false" ht="16.4" hidden="false" customHeight="false" outlineLevel="0" collapsed="false">
      <c r="A290" s="6" t="n">
        <v>46169</v>
      </c>
      <c r="B290" s="4" t="s">
        <v>4654</v>
      </c>
      <c r="C290" s="4" t="s">
        <v>4657</v>
      </c>
      <c r="D290" s="4" t="n">
        <v>856</v>
      </c>
      <c r="E290" s="4" t="n">
        <v>23</v>
      </c>
      <c r="F290" s="19" t="n">
        <f aca="false">IFERROR(E290/D290,0)</f>
        <v>0.0268691588785047</v>
      </c>
      <c r="G290" s="4" t="n">
        <v>79</v>
      </c>
      <c r="H290" s="8" t="n">
        <v>177.7</v>
      </c>
    </row>
    <row r="291" customFormat="false" ht="16.4" hidden="false" customHeight="false" outlineLevel="0" collapsed="false">
      <c r="A291" s="6" t="n">
        <v>45898</v>
      </c>
      <c r="B291" s="4" t="s">
        <v>4659</v>
      </c>
      <c r="C291" s="4" t="s">
        <v>4657</v>
      </c>
      <c r="D291" s="4" t="n">
        <v>2019</v>
      </c>
      <c r="E291" s="4" t="n">
        <v>33</v>
      </c>
      <c r="F291" s="19" t="n">
        <f aca="false">IFERROR(E291/D291,0)</f>
        <v>0.0163447251114413</v>
      </c>
      <c r="G291" s="4" t="n">
        <v>107</v>
      </c>
      <c r="H291" s="8" t="n">
        <v>63.3</v>
      </c>
    </row>
    <row r="292" customFormat="false" ht="16.4" hidden="false" customHeight="false" outlineLevel="0" collapsed="false">
      <c r="A292" s="6" t="n">
        <v>45831</v>
      </c>
      <c r="B292" s="4" t="s">
        <v>4654</v>
      </c>
      <c r="C292" s="4" t="s">
        <v>4660</v>
      </c>
      <c r="D292" s="4" t="n">
        <v>4157</v>
      </c>
      <c r="E292" s="4" t="n">
        <v>136</v>
      </c>
      <c r="F292" s="19" t="n">
        <f aca="false">IFERROR(E292/D292,0)</f>
        <v>0.032715900890065</v>
      </c>
      <c r="G292" s="4" t="n">
        <v>193</v>
      </c>
      <c r="H292" s="8" t="n">
        <v>68.4</v>
      </c>
    </row>
    <row r="293" customFormat="false" ht="16.4" hidden="false" customHeight="false" outlineLevel="0" collapsed="false">
      <c r="A293" s="6" t="n">
        <v>46127</v>
      </c>
      <c r="B293" s="4" t="s">
        <v>4654</v>
      </c>
      <c r="C293" s="4" t="s">
        <v>4660</v>
      </c>
      <c r="D293" s="4" t="n">
        <v>1833</v>
      </c>
      <c r="E293" s="4" t="n">
        <v>105</v>
      </c>
      <c r="F293" s="19" t="n">
        <f aca="false">IFERROR(E293/D293,0)</f>
        <v>0.0572831423895254</v>
      </c>
      <c r="G293" s="4" t="n">
        <v>115</v>
      </c>
      <c r="H293" s="8" t="n">
        <v>316.3</v>
      </c>
    </row>
    <row r="294" customFormat="false" ht="16.4" hidden="false" customHeight="false" outlineLevel="0" collapsed="false">
      <c r="A294" s="6" t="n">
        <v>46086</v>
      </c>
      <c r="B294" s="4" t="s">
        <v>4656</v>
      </c>
      <c r="C294" s="4" t="s">
        <v>4660</v>
      </c>
      <c r="D294" s="4" t="n">
        <v>4972</v>
      </c>
      <c r="E294" s="4" t="n">
        <v>200</v>
      </c>
      <c r="F294" s="19" t="n">
        <f aca="false">IFERROR(E294/D294,0)</f>
        <v>0.0402252614641995</v>
      </c>
      <c r="G294" s="4" t="n">
        <v>238</v>
      </c>
      <c r="H294" s="8" t="n">
        <v>235.7</v>
      </c>
    </row>
    <row r="295" customFormat="false" ht="16.4" hidden="false" customHeight="false" outlineLevel="0" collapsed="false">
      <c r="A295" s="6" t="n">
        <v>45814</v>
      </c>
      <c r="B295" s="4" t="s">
        <v>4654</v>
      </c>
      <c r="C295" s="4" t="s">
        <v>4660</v>
      </c>
      <c r="D295" s="4" t="n">
        <v>4078</v>
      </c>
      <c r="E295" s="4" t="n">
        <v>243</v>
      </c>
      <c r="F295" s="19" t="n">
        <f aca="false">IFERROR(E295/D295,0)</f>
        <v>0.0595880333496812</v>
      </c>
      <c r="G295" s="4" t="n">
        <v>19</v>
      </c>
      <c r="H295" s="8" t="n">
        <v>307.8</v>
      </c>
    </row>
    <row r="296" customFormat="false" ht="16.4" hidden="false" customHeight="false" outlineLevel="0" collapsed="false">
      <c r="A296" s="6" t="n">
        <v>46110</v>
      </c>
      <c r="B296" s="4" t="s">
        <v>4659</v>
      </c>
      <c r="C296" s="4" t="s">
        <v>4657</v>
      </c>
      <c r="D296" s="4" t="n">
        <v>4420</v>
      </c>
      <c r="E296" s="4" t="n">
        <v>209</v>
      </c>
      <c r="F296" s="19" t="n">
        <f aca="false">IFERROR(E296/D296,0)</f>
        <v>0.0472850678733032</v>
      </c>
      <c r="G296" s="4" t="n">
        <v>75</v>
      </c>
      <c r="H296" s="8" t="n">
        <v>172.5</v>
      </c>
    </row>
    <row r="297" customFormat="false" ht="16.4" hidden="false" customHeight="false" outlineLevel="0" collapsed="false">
      <c r="A297" s="6" t="n">
        <v>45821</v>
      </c>
      <c r="B297" s="4" t="s">
        <v>4658</v>
      </c>
      <c r="C297" s="4" t="s">
        <v>4657</v>
      </c>
      <c r="D297" s="4" t="n">
        <v>1459</v>
      </c>
      <c r="E297" s="4" t="n">
        <v>84</v>
      </c>
      <c r="F297" s="19" t="n">
        <f aca="false">IFERROR(E297/D297,0)</f>
        <v>0.0575736806031528</v>
      </c>
      <c r="G297" s="4" t="n">
        <v>53</v>
      </c>
      <c r="H297" s="8" t="n">
        <v>141.2</v>
      </c>
    </row>
    <row r="298" customFormat="false" ht="16.4" hidden="false" customHeight="false" outlineLevel="0" collapsed="false">
      <c r="A298" s="6" t="n">
        <v>45769</v>
      </c>
      <c r="B298" s="4" t="s">
        <v>4659</v>
      </c>
      <c r="C298" s="4" t="s">
        <v>4657</v>
      </c>
      <c r="D298" s="4" t="n">
        <v>1099</v>
      </c>
      <c r="E298" s="4" t="n">
        <v>52</v>
      </c>
      <c r="F298" s="19" t="n">
        <f aca="false">IFERROR(E298/D298,0)</f>
        <v>0.0473157415832575</v>
      </c>
      <c r="G298" s="4" t="n">
        <v>144</v>
      </c>
      <c r="H298" s="8" t="n">
        <v>175.3</v>
      </c>
    </row>
    <row r="299" customFormat="false" ht="16.4" hidden="false" customHeight="false" outlineLevel="0" collapsed="false">
      <c r="A299" s="6" t="n">
        <v>45786</v>
      </c>
      <c r="B299" s="4" t="s">
        <v>4654</v>
      </c>
      <c r="C299" s="4" t="s">
        <v>4660</v>
      </c>
      <c r="D299" s="4" t="n">
        <v>3268</v>
      </c>
      <c r="E299" s="4" t="n">
        <v>37</v>
      </c>
      <c r="F299" s="19" t="n">
        <f aca="false">IFERROR(E299/D299,0)</f>
        <v>0.0113219094247246</v>
      </c>
      <c r="G299" s="4" t="n">
        <v>221</v>
      </c>
      <c r="H299" s="8" t="n">
        <v>116.1</v>
      </c>
    </row>
    <row r="300" customFormat="false" ht="16.4" hidden="false" customHeight="false" outlineLevel="0" collapsed="false">
      <c r="A300" s="6" t="n">
        <v>45712</v>
      </c>
      <c r="B300" s="4" t="s">
        <v>4659</v>
      </c>
      <c r="C300" s="4" t="s">
        <v>4657</v>
      </c>
      <c r="D300" s="4" t="n">
        <v>2516</v>
      </c>
      <c r="E300" s="4" t="n">
        <v>78</v>
      </c>
      <c r="F300" s="19" t="n">
        <f aca="false">IFERROR(E300/D300,0)</f>
        <v>0.0310015898251192</v>
      </c>
      <c r="G300" s="4" t="n">
        <v>107</v>
      </c>
      <c r="H300" s="8" t="n">
        <v>286</v>
      </c>
    </row>
    <row r="301" customFormat="false" ht="16.4" hidden="false" customHeight="false" outlineLevel="0" collapsed="false">
      <c r="A301" s="6" t="n">
        <v>45814</v>
      </c>
      <c r="B301" s="4" t="s">
        <v>4658</v>
      </c>
      <c r="C301" s="4" t="s">
        <v>4655</v>
      </c>
      <c r="D301" s="4" t="n">
        <v>3899</v>
      </c>
      <c r="E301" s="4" t="n">
        <v>140</v>
      </c>
      <c r="F301" s="19" t="n">
        <f aca="false">IFERROR(E301/D301,0)</f>
        <v>0.0359066427289049</v>
      </c>
      <c r="G301" s="4" t="n">
        <v>22</v>
      </c>
      <c r="H301" s="8" t="n">
        <v>134.2</v>
      </c>
    </row>
    <row r="302" customFormat="false" ht="16.4" hidden="false" customHeight="false" outlineLevel="0" collapsed="false">
      <c r="A302" s="6" t="n">
        <v>46022</v>
      </c>
      <c r="B302" s="4" t="s">
        <v>4654</v>
      </c>
      <c r="C302" s="4" t="s">
        <v>4660</v>
      </c>
      <c r="D302" s="4" t="n">
        <v>4345</v>
      </c>
      <c r="E302" s="4" t="n">
        <v>129</v>
      </c>
      <c r="F302" s="19" t="n">
        <f aca="false">IFERROR(E302/D302,0)</f>
        <v>0.0296892980437284</v>
      </c>
      <c r="G302" s="4" t="n">
        <v>65</v>
      </c>
      <c r="H302" s="8" t="n">
        <v>201</v>
      </c>
    </row>
    <row r="303" customFormat="false" ht="16.4" hidden="false" customHeight="false" outlineLevel="0" collapsed="false">
      <c r="A303" s="6" t="n">
        <v>46067</v>
      </c>
      <c r="B303" s="4" t="s">
        <v>4659</v>
      </c>
      <c r="C303" s="4" t="s">
        <v>4660</v>
      </c>
      <c r="D303" s="4" t="n">
        <v>2209</v>
      </c>
      <c r="E303" s="4" t="n">
        <v>4</v>
      </c>
      <c r="F303" s="19" t="n">
        <f aca="false">IFERROR(E303/D303,0)</f>
        <v>0.00181077410593029</v>
      </c>
      <c r="G303" s="4" t="n">
        <v>164</v>
      </c>
      <c r="H303" s="8" t="n">
        <v>269.1</v>
      </c>
    </row>
    <row r="304" customFormat="false" ht="16.4" hidden="false" customHeight="false" outlineLevel="0" collapsed="false">
      <c r="A304" s="6" t="n">
        <v>46162</v>
      </c>
      <c r="B304" s="4" t="s">
        <v>4654</v>
      </c>
      <c r="C304" s="4" t="s">
        <v>4657</v>
      </c>
      <c r="D304" s="4" t="n">
        <v>1813</v>
      </c>
      <c r="E304" s="4" t="n">
        <v>12</v>
      </c>
      <c r="F304" s="19" t="n">
        <f aca="false">IFERROR(E304/D304,0)</f>
        <v>0.0066188637617209</v>
      </c>
      <c r="G304" s="4" t="n">
        <v>140</v>
      </c>
      <c r="H304" s="8" t="n">
        <v>62.5</v>
      </c>
    </row>
    <row r="305" customFormat="false" ht="16.4" hidden="false" customHeight="false" outlineLevel="0" collapsed="false">
      <c r="A305" s="6" t="n">
        <v>45913</v>
      </c>
      <c r="B305" s="4" t="s">
        <v>4658</v>
      </c>
      <c r="C305" s="4" t="s">
        <v>4657</v>
      </c>
      <c r="D305" s="4" t="n">
        <v>2002</v>
      </c>
      <c r="E305" s="4" t="n">
        <v>59</v>
      </c>
      <c r="F305" s="19" t="n">
        <f aca="false">IFERROR(E305/D305,0)</f>
        <v>0.0294705294705295</v>
      </c>
      <c r="G305" s="4" t="n">
        <v>109</v>
      </c>
      <c r="H305" s="8" t="n">
        <v>105.4</v>
      </c>
    </row>
    <row r="306" customFormat="false" ht="16.4" hidden="false" customHeight="false" outlineLevel="0" collapsed="false">
      <c r="A306" s="6" t="n">
        <v>45952</v>
      </c>
      <c r="B306" s="4" t="s">
        <v>4654</v>
      </c>
      <c r="C306" s="4" t="s">
        <v>4657</v>
      </c>
      <c r="D306" s="4" t="n">
        <v>2646</v>
      </c>
      <c r="E306" s="4" t="n">
        <v>86</v>
      </c>
      <c r="F306" s="19" t="n">
        <f aca="false">IFERROR(E306/D306,0)</f>
        <v>0.0325018896447468</v>
      </c>
      <c r="G306" s="4" t="n">
        <v>16</v>
      </c>
      <c r="H306" s="8" t="n">
        <v>187.9</v>
      </c>
    </row>
    <row r="307" customFormat="false" ht="16.4" hidden="false" customHeight="false" outlineLevel="0" collapsed="false">
      <c r="A307" s="6" t="n">
        <v>46087</v>
      </c>
      <c r="B307" s="4" t="s">
        <v>4658</v>
      </c>
      <c r="C307" s="4" t="s">
        <v>4660</v>
      </c>
      <c r="D307" s="4" t="n">
        <v>3071</v>
      </c>
      <c r="E307" s="4" t="n">
        <v>150</v>
      </c>
      <c r="F307" s="19" t="n">
        <f aca="false">IFERROR(E307/D307,0)</f>
        <v>0.0488440247476392</v>
      </c>
      <c r="G307" s="4" t="n">
        <v>103</v>
      </c>
      <c r="H307" s="8" t="n">
        <v>112.7</v>
      </c>
    </row>
    <row r="308" customFormat="false" ht="16.4" hidden="false" customHeight="false" outlineLevel="0" collapsed="false">
      <c r="A308" s="6" t="n">
        <v>45758</v>
      </c>
      <c r="B308" s="4" t="s">
        <v>4658</v>
      </c>
      <c r="C308" s="4" t="s">
        <v>4655</v>
      </c>
      <c r="D308" s="4" t="n">
        <v>949</v>
      </c>
      <c r="E308" s="4" t="n">
        <v>22</v>
      </c>
      <c r="F308" s="19" t="n">
        <f aca="false">IFERROR(E308/D308,0)</f>
        <v>0.0231822971548999</v>
      </c>
      <c r="G308" s="4" t="n">
        <v>46</v>
      </c>
      <c r="H308" s="8" t="n">
        <v>65.5</v>
      </c>
    </row>
    <row r="309" customFormat="false" ht="16.4" hidden="false" customHeight="false" outlineLevel="0" collapsed="false">
      <c r="A309" s="6" t="n">
        <v>45858</v>
      </c>
      <c r="B309" s="4" t="s">
        <v>4659</v>
      </c>
      <c r="C309" s="4" t="s">
        <v>4655</v>
      </c>
      <c r="D309" s="4" t="n">
        <v>3839</v>
      </c>
      <c r="E309" s="4" t="n">
        <v>79</v>
      </c>
      <c r="F309" s="19" t="n">
        <f aca="false">IFERROR(E309/D309,0)</f>
        <v>0.0205782755926022</v>
      </c>
      <c r="G309" s="4" t="n">
        <v>205</v>
      </c>
      <c r="H309" s="8" t="n">
        <v>243.3</v>
      </c>
    </row>
    <row r="310" customFormat="false" ht="16.4" hidden="false" customHeight="false" outlineLevel="0" collapsed="false">
      <c r="A310" s="6" t="n">
        <v>45779</v>
      </c>
      <c r="B310" s="4" t="s">
        <v>4656</v>
      </c>
      <c r="C310" s="4" t="s">
        <v>4655</v>
      </c>
      <c r="D310" s="4" t="n">
        <v>2824</v>
      </c>
      <c r="E310" s="4" t="n">
        <v>7</v>
      </c>
      <c r="F310" s="19" t="n">
        <f aca="false">IFERROR(E310/D310,0)</f>
        <v>0.00247875354107649</v>
      </c>
      <c r="G310" s="4" t="n">
        <v>79</v>
      </c>
      <c r="H310" s="8" t="n">
        <v>211.2</v>
      </c>
    </row>
    <row r="311" customFormat="false" ht="16.4" hidden="false" customHeight="false" outlineLevel="0" collapsed="false">
      <c r="A311" s="6" t="n">
        <v>45662</v>
      </c>
      <c r="B311" s="4" t="s">
        <v>4654</v>
      </c>
      <c r="C311" s="4" t="s">
        <v>4660</v>
      </c>
      <c r="D311" s="4" t="n">
        <v>5124</v>
      </c>
      <c r="E311" s="4" t="n">
        <v>217</v>
      </c>
      <c r="F311" s="19" t="n">
        <f aca="false">IFERROR(E311/D311,0)</f>
        <v>0.0423497267759563</v>
      </c>
      <c r="G311" s="4" t="n">
        <v>36</v>
      </c>
      <c r="H311" s="8" t="n">
        <v>68.1</v>
      </c>
    </row>
    <row r="312" customFormat="false" ht="16.4" hidden="false" customHeight="false" outlineLevel="0" collapsed="false">
      <c r="A312" s="6" t="n">
        <v>45712</v>
      </c>
      <c r="B312" s="4" t="s">
        <v>4658</v>
      </c>
      <c r="C312" s="4" t="s">
        <v>4655</v>
      </c>
      <c r="D312" s="4" t="n">
        <v>4938</v>
      </c>
      <c r="E312" s="4" t="n">
        <v>197</v>
      </c>
      <c r="F312" s="19" t="n">
        <f aca="false">IFERROR(E312/D312,0)</f>
        <v>0.0398946942081815</v>
      </c>
      <c r="G312" s="4" t="n">
        <v>41</v>
      </c>
      <c r="H312" s="8" t="n">
        <v>57.5</v>
      </c>
    </row>
    <row r="313" customFormat="false" ht="16.4" hidden="false" customHeight="false" outlineLevel="0" collapsed="false">
      <c r="A313" s="6" t="n">
        <v>46115</v>
      </c>
      <c r="B313" s="4" t="s">
        <v>4658</v>
      </c>
      <c r="C313" s="4" t="s">
        <v>4655</v>
      </c>
      <c r="D313" s="4" t="n">
        <v>2451</v>
      </c>
      <c r="E313" s="4" t="n">
        <v>26</v>
      </c>
      <c r="F313" s="19" t="n">
        <f aca="false">IFERROR(E313/D313,0)</f>
        <v>0.0106079151366789</v>
      </c>
      <c r="G313" s="4" t="n">
        <v>22</v>
      </c>
      <c r="H313" s="8" t="n">
        <v>266.1</v>
      </c>
    </row>
    <row r="314" customFormat="false" ht="16.4" hidden="false" customHeight="false" outlineLevel="0" collapsed="false">
      <c r="A314" s="6" t="n">
        <v>45872</v>
      </c>
      <c r="B314" s="4" t="s">
        <v>4659</v>
      </c>
      <c r="C314" s="4" t="s">
        <v>4660</v>
      </c>
      <c r="D314" s="4" t="n">
        <v>1065</v>
      </c>
      <c r="E314" s="4" t="n">
        <v>1</v>
      </c>
      <c r="F314" s="19" t="n">
        <f aca="false">IFERROR(E314/D314,0)</f>
        <v>0.000938967136150235</v>
      </c>
      <c r="G314" s="4" t="n">
        <v>208</v>
      </c>
      <c r="H314" s="8" t="n">
        <v>72.7</v>
      </c>
    </row>
    <row r="315" customFormat="false" ht="16.4" hidden="false" customHeight="false" outlineLevel="0" collapsed="false">
      <c r="A315" s="6" t="n">
        <v>46166</v>
      </c>
      <c r="B315" s="4" t="s">
        <v>4658</v>
      </c>
      <c r="C315" s="4" t="s">
        <v>4657</v>
      </c>
      <c r="D315" s="4" t="n">
        <v>1676</v>
      </c>
      <c r="E315" s="4" t="n">
        <v>96</v>
      </c>
      <c r="F315" s="19" t="n">
        <f aca="false">IFERROR(E315/D315,0)</f>
        <v>0.0572792362768496</v>
      </c>
      <c r="G315" s="4" t="n">
        <v>210</v>
      </c>
      <c r="H315" s="8" t="n">
        <v>170.7</v>
      </c>
    </row>
    <row r="316" customFormat="false" ht="16.4" hidden="false" customHeight="false" outlineLevel="0" collapsed="false">
      <c r="A316" s="6" t="n">
        <v>45704</v>
      </c>
      <c r="B316" s="4" t="s">
        <v>4658</v>
      </c>
      <c r="C316" s="4" t="s">
        <v>4657</v>
      </c>
      <c r="D316" s="4" t="n">
        <v>5344</v>
      </c>
      <c r="E316" s="4" t="n">
        <v>212</v>
      </c>
      <c r="F316" s="19" t="n">
        <f aca="false">IFERROR(E316/D316,0)</f>
        <v>0.0396706586826347</v>
      </c>
      <c r="G316" s="4" t="n">
        <v>193</v>
      </c>
      <c r="H316" s="8" t="n">
        <v>148.6</v>
      </c>
    </row>
    <row r="317" customFormat="false" ht="16.4" hidden="false" customHeight="false" outlineLevel="0" collapsed="false">
      <c r="A317" s="6" t="n">
        <v>46021</v>
      </c>
      <c r="B317" s="4" t="s">
        <v>4658</v>
      </c>
      <c r="C317" s="4" t="s">
        <v>4657</v>
      </c>
      <c r="D317" s="4" t="n">
        <v>2074</v>
      </c>
      <c r="E317" s="4" t="n">
        <v>97</v>
      </c>
      <c r="F317" s="19" t="n">
        <f aca="false">IFERROR(E317/D317,0)</f>
        <v>0.0467695274831244</v>
      </c>
      <c r="G317" s="4" t="n">
        <v>129</v>
      </c>
      <c r="H317" s="8" t="n">
        <v>112.3</v>
      </c>
    </row>
    <row r="318" customFormat="false" ht="16.4" hidden="false" customHeight="false" outlineLevel="0" collapsed="false">
      <c r="A318" s="6" t="n">
        <v>46135</v>
      </c>
      <c r="B318" s="4" t="s">
        <v>4659</v>
      </c>
      <c r="C318" s="4" t="s">
        <v>4660</v>
      </c>
      <c r="D318" s="4" t="n">
        <v>3133</v>
      </c>
      <c r="E318" s="4" t="n">
        <v>162</v>
      </c>
      <c r="F318" s="19" t="n">
        <f aca="false">IFERROR(E318/D318,0)</f>
        <v>0.0517076284711139</v>
      </c>
      <c r="G318" s="4" t="n">
        <v>235</v>
      </c>
      <c r="H318" s="8" t="n">
        <v>42.6</v>
      </c>
    </row>
    <row r="319" customFormat="false" ht="16.4" hidden="false" customHeight="false" outlineLevel="0" collapsed="false">
      <c r="A319" s="6" t="n">
        <v>45868</v>
      </c>
      <c r="B319" s="4" t="s">
        <v>4656</v>
      </c>
      <c r="C319" s="4" t="s">
        <v>4660</v>
      </c>
      <c r="D319" s="4" t="n">
        <v>1786</v>
      </c>
      <c r="E319" s="4" t="n">
        <v>9</v>
      </c>
      <c r="F319" s="19" t="n">
        <f aca="false">IFERROR(E319/D319,0)</f>
        <v>0.00503919372900336</v>
      </c>
      <c r="G319" s="4" t="n">
        <v>57</v>
      </c>
      <c r="H319" s="8" t="n">
        <v>134.6</v>
      </c>
    </row>
    <row r="320" customFormat="false" ht="16.4" hidden="false" customHeight="false" outlineLevel="0" collapsed="false">
      <c r="A320" s="6" t="n">
        <v>45681</v>
      </c>
      <c r="B320" s="4" t="s">
        <v>4656</v>
      </c>
      <c r="C320" s="4" t="s">
        <v>4655</v>
      </c>
      <c r="D320" s="4" t="n">
        <v>2156</v>
      </c>
      <c r="E320" s="4" t="n">
        <v>30</v>
      </c>
      <c r="F320" s="19" t="n">
        <f aca="false">IFERROR(E320/D320,0)</f>
        <v>0.0139146567717996</v>
      </c>
      <c r="G320" s="4" t="n">
        <v>142</v>
      </c>
      <c r="H320" s="8" t="n">
        <v>188</v>
      </c>
    </row>
    <row r="321" customFormat="false" ht="16.4" hidden="false" customHeight="false" outlineLevel="0" collapsed="false">
      <c r="A321" s="6" t="n">
        <v>46140</v>
      </c>
      <c r="B321" s="4" t="s">
        <v>4654</v>
      </c>
      <c r="C321" s="4" t="s">
        <v>4660</v>
      </c>
      <c r="D321" s="4" t="n">
        <v>4434</v>
      </c>
      <c r="E321" s="4" t="n">
        <v>1</v>
      </c>
      <c r="F321" s="19" t="n">
        <f aca="false">IFERROR(E321/D321,0)</f>
        <v>0.0002255299954894</v>
      </c>
      <c r="G321" s="4" t="n">
        <v>153</v>
      </c>
      <c r="H321" s="8" t="n">
        <v>252.9</v>
      </c>
    </row>
    <row r="322" customFormat="false" ht="16.4" hidden="false" customHeight="false" outlineLevel="0" collapsed="false">
      <c r="A322" s="6" t="n">
        <v>45772</v>
      </c>
      <c r="B322" s="4" t="s">
        <v>4656</v>
      </c>
      <c r="C322" s="4" t="s">
        <v>4655</v>
      </c>
      <c r="D322" s="4" t="n">
        <v>2657</v>
      </c>
      <c r="E322" s="4" t="n">
        <v>119</v>
      </c>
      <c r="F322" s="19" t="n">
        <f aca="false">IFERROR(E322/D322,0)</f>
        <v>0.0447873541588257</v>
      </c>
      <c r="G322" s="4" t="n">
        <v>109</v>
      </c>
      <c r="H322" s="8" t="n">
        <v>47.7</v>
      </c>
    </row>
    <row r="323" customFormat="false" ht="16.4" hidden="false" customHeight="false" outlineLevel="0" collapsed="false">
      <c r="A323" s="6" t="n">
        <v>46139</v>
      </c>
      <c r="B323" s="4" t="s">
        <v>4654</v>
      </c>
      <c r="C323" s="4" t="s">
        <v>4655</v>
      </c>
      <c r="D323" s="4" t="n">
        <v>4994</v>
      </c>
      <c r="E323" s="4" t="n">
        <v>56</v>
      </c>
      <c r="F323" s="19" t="n">
        <f aca="false">IFERROR(E323/D323,0)</f>
        <v>0.0112134561473769</v>
      </c>
      <c r="G323" s="4" t="n">
        <v>228</v>
      </c>
      <c r="H323" s="8" t="n">
        <v>96.8</v>
      </c>
    </row>
    <row r="324" customFormat="false" ht="16.4" hidden="false" customHeight="false" outlineLevel="0" collapsed="false">
      <c r="A324" s="6" t="n">
        <v>46150</v>
      </c>
      <c r="B324" s="4" t="s">
        <v>4656</v>
      </c>
      <c r="C324" s="4" t="s">
        <v>4655</v>
      </c>
      <c r="D324" s="4" t="n">
        <v>3947</v>
      </c>
      <c r="E324" s="4" t="n">
        <v>64</v>
      </c>
      <c r="F324" s="19" t="n">
        <f aca="false">IFERROR(E324/D324,0)</f>
        <v>0.0162148467190271</v>
      </c>
      <c r="G324" s="4" t="n">
        <v>137</v>
      </c>
      <c r="H324" s="8" t="n">
        <v>95.4</v>
      </c>
    </row>
    <row r="325" customFormat="false" ht="16.4" hidden="false" customHeight="false" outlineLevel="0" collapsed="false">
      <c r="A325" s="6" t="n">
        <v>45890</v>
      </c>
      <c r="B325" s="4" t="s">
        <v>4658</v>
      </c>
      <c r="C325" s="4" t="s">
        <v>4660</v>
      </c>
      <c r="D325" s="4" t="n">
        <v>3575</v>
      </c>
      <c r="E325" s="4" t="n">
        <v>214</v>
      </c>
      <c r="F325" s="19" t="n">
        <f aca="false">IFERROR(E325/D325,0)</f>
        <v>0.0598601398601399</v>
      </c>
      <c r="G325" s="4" t="n">
        <v>224</v>
      </c>
      <c r="H325" s="8" t="n">
        <v>157.4</v>
      </c>
    </row>
    <row r="326" customFormat="false" ht="16.4" hidden="false" customHeight="false" outlineLevel="0" collapsed="false">
      <c r="A326" s="6" t="n">
        <v>45844</v>
      </c>
      <c r="B326" s="4" t="s">
        <v>4659</v>
      </c>
      <c r="C326" s="4" t="s">
        <v>4657</v>
      </c>
      <c r="D326" s="4" t="n">
        <v>1668</v>
      </c>
      <c r="E326" s="4" t="n">
        <v>0</v>
      </c>
      <c r="F326" s="19" t="n">
        <f aca="false">IFERROR(E326/D326,0)</f>
        <v>0</v>
      </c>
      <c r="G326" s="4" t="n">
        <v>3</v>
      </c>
      <c r="H326" s="8" t="n">
        <v>228.6</v>
      </c>
    </row>
    <row r="327" customFormat="false" ht="16.4" hidden="false" customHeight="false" outlineLevel="0" collapsed="false">
      <c r="A327" s="6" t="n">
        <v>46018</v>
      </c>
      <c r="B327" s="4" t="s">
        <v>4656</v>
      </c>
      <c r="C327" s="4" t="s">
        <v>4657</v>
      </c>
      <c r="D327" s="4" t="n">
        <v>5297</v>
      </c>
      <c r="E327" s="4" t="n">
        <v>187</v>
      </c>
      <c r="F327" s="19" t="n">
        <f aca="false">IFERROR(E327/D327,0)</f>
        <v>0.035303001699075</v>
      </c>
      <c r="G327" s="4" t="n">
        <v>8</v>
      </c>
      <c r="H327" s="8" t="n">
        <v>44.1</v>
      </c>
    </row>
    <row r="328" customFormat="false" ht="16.4" hidden="false" customHeight="false" outlineLevel="0" collapsed="false">
      <c r="A328" s="6" t="n">
        <v>45958</v>
      </c>
      <c r="B328" s="4" t="s">
        <v>4654</v>
      </c>
      <c r="C328" s="4" t="s">
        <v>4655</v>
      </c>
      <c r="D328" s="4" t="n">
        <v>2904</v>
      </c>
      <c r="E328" s="4" t="n">
        <v>171</v>
      </c>
      <c r="F328" s="19" t="n">
        <f aca="false">IFERROR(E328/D328,0)</f>
        <v>0.0588842975206612</v>
      </c>
      <c r="G328" s="4" t="n">
        <v>54</v>
      </c>
      <c r="H328" s="8" t="n">
        <v>285.4</v>
      </c>
    </row>
    <row r="329" customFormat="false" ht="16.4" hidden="false" customHeight="false" outlineLevel="0" collapsed="false">
      <c r="A329" s="6" t="n">
        <v>45782</v>
      </c>
      <c r="B329" s="4" t="s">
        <v>4656</v>
      </c>
      <c r="C329" s="4" t="s">
        <v>4657</v>
      </c>
      <c r="D329" s="4" t="n">
        <v>2325</v>
      </c>
      <c r="E329" s="4" t="n">
        <v>41</v>
      </c>
      <c r="F329" s="19" t="n">
        <f aca="false">IFERROR(E329/D329,0)</f>
        <v>0.0176344086021505</v>
      </c>
      <c r="G329" s="4" t="n">
        <v>9</v>
      </c>
      <c r="H329" s="8" t="n">
        <v>261</v>
      </c>
    </row>
    <row r="330" customFormat="false" ht="16.4" hidden="false" customHeight="false" outlineLevel="0" collapsed="false">
      <c r="A330" s="6" t="n">
        <v>46049</v>
      </c>
      <c r="B330" s="4" t="s">
        <v>4659</v>
      </c>
      <c r="C330" s="4" t="s">
        <v>4660</v>
      </c>
      <c r="D330" s="4" t="n">
        <v>3949</v>
      </c>
      <c r="E330" s="4" t="n">
        <v>154</v>
      </c>
      <c r="F330" s="19" t="n">
        <f aca="false">IFERROR(E330/D330,0)</f>
        <v>0.0389972144846797</v>
      </c>
      <c r="G330" s="4" t="n">
        <v>66</v>
      </c>
      <c r="H330" s="8" t="n">
        <v>151.6</v>
      </c>
    </row>
    <row r="331" customFormat="false" ht="16.4" hidden="false" customHeight="false" outlineLevel="0" collapsed="false">
      <c r="A331" s="6" t="n">
        <v>46056</v>
      </c>
      <c r="B331" s="4" t="s">
        <v>4656</v>
      </c>
      <c r="C331" s="4" t="s">
        <v>4657</v>
      </c>
      <c r="D331" s="4" t="n">
        <v>4667</v>
      </c>
      <c r="E331" s="4" t="n">
        <v>10</v>
      </c>
      <c r="F331" s="19" t="n">
        <f aca="false">IFERROR(E331/D331,0)</f>
        <v>0.00214270409256482</v>
      </c>
      <c r="G331" s="4" t="n">
        <v>174</v>
      </c>
      <c r="H331" s="8" t="n">
        <v>139.8</v>
      </c>
    </row>
    <row r="332" customFormat="false" ht="16.4" hidden="false" customHeight="false" outlineLevel="0" collapsed="false">
      <c r="A332" s="6" t="n">
        <v>45909</v>
      </c>
      <c r="B332" s="4" t="s">
        <v>4659</v>
      </c>
      <c r="C332" s="4" t="s">
        <v>4657</v>
      </c>
      <c r="D332" s="4" t="n">
        <v>4379</v>
      </c>
      <c r="E332" s="4" t="n">
        <v>60</v>
      </c>
      <c r="F332" s="19" t="n">
        <f aca="false">IFERROR(E332/D332,0)</f>
        <v>0.013701758392327</v>
      </c>
      <c r="G332" s="4" t="n">
        <v>191</v>
      </c>
      <c r="H332" s="8" t="n">
        <v>303.1</v>
      </c>
    </row>
    <row r="333" customFormat="false" ht="16.4" hidden="false" customHeight="false" outlineLevel="0" collapsed="false">
      <c r="A333" s="6" t="n">
        <v>45987</v>
      </c>
      <c r="B333" s="4" t="s">
        <v>4658</v>
      </c>
      <c r="C333" s="4" t="s">
        <v>4657</v>
      </c>
      <c r="D333" s="4" t="n">
        <v>1963</v>
      </c>
      <c r="E333" s="4" t="n">
        <v>11</v>
      </c>
      <c r="F333" s="19" t="n">
        <f aca="false">IFERROR(E333/D333,0)</f>
        <v>0.00560366785532348</v>
      </c>
      <c r="G333" s="4" t="n">
        <v>29</v>
      </c>
      <c r="H333" s="8" t="n">
        <v>274.8</v>
      </c>
    </row>
    <row r="334" customFormat="false" ht="16.4" hidden="false" customHeight="false" outlineLevel="0" collapsed="false">
      <c r="A334" s="6" t="n">
        <v>46055</v>
      </c>
      <c r="B334" s="4" t="s">
        <v>4658</v>
      </c>
      <c r="C334" s="4" t="s">
        <v>4655</v>
      </c>
      <c r="D334" s="4" t="n">
        <v>3242</v>
      </c>
      <c r="E334" s="4" t="n">
        <v>37</v>
      </c>
      <c r="F334" s="19" t="n">
        <f aca="false">IFERROR(E334/D334,0)</f>
        <v>0.0114127082048118</v>
      </c>
      <c r="G334" s="4" t="n">
        <v>122</v>
      </c>
      <c r="H334" s="8" t="n">
        <v>299.8</v>
      </c>
    </row>
    <row r="335" customFormat="false" ht="16.4" hidden="false" customHeight="false" outlineLevel="0" collapsed="false">
      <c r="A335" s="6" t="n">
        <v>46030</v>
      </c>
      <c r="B335" s="4" t="s">
        <v>4658</v>
      </c>
      <c r="C335" s="4" t="s">
        <v>4657</v>
      </c>
      <c r="D335" s="4" t="n">
        <v>2582</v>
      </c>
      <c r="E335" s="4" t="n">
        <v>50</v>
      </c>
      <c r="F335" s="19" t="n">
        <f aca="false">IFERROR(E335/D335,0)</f>
        <v>0.0193648334624322</v>
      </c>
      <c r="G335" s="4" t="n">
        <v>133</v>
      </c>
      <c r="H335" s="8" t="n">
        <v>254.7</v>
      </c>
    </row>
    <row r="336" customFormat="false" ht="16.4" hidden="false" customHeight="false" outlineLevel="0" collapsed="false">
      <c r="A336" s="6" t="n">
        <v>45874</v>
      </c>
      <c r="B336" s="4" t="s">
        <v>4658</v>
      </c>
      <c r="C336" s="4" t="s">
        <v>4657</v>
      </c>
      <c r="D336" s="4" t="n">
        <v>2082</v>
      </c>
      <c r="E336" s="4" t="n">
        <v>36</v>
      </c>
      <c r="F336" s="19" t="n">
        <f aca="false">IFERROR(E336/D336,0)</f>
        <v>0.0172910662824208</v>
      </c>
      <c r="G336" s="4" t="n">
        <v>137</v>
      </c>
      <c r="H336" s="8" t="n">
        <v>282.4</v>
      </c>
    </row>
    <row r="337" customFormat="false" ht="16.4" hidden="false" customHeight="false" outlineLevel="0" collapsed="false">
      <c r="A337" s="6" t="n">
        <v>45957</v>
      </c>
      <c r="B337" s="4" t="s">
        <v>4658</v>
      </c>
      <c r="C337" s="4" t="s">
        <v>4655</v>
      </c>
      <c r="D337" s="4" t="n">
        <v>1921</v>
      </c>
      <c r="E337" s="4" t="n">
        <v>36</v>
      </c>
      <c r="F337" s="19" t="n">
        <f aca="false">IFERROR(E337/D337,0)</f>
        <v>0.0187402394586153</v>
      </c>
      <c r="G337" s="4" t="n">
        <v>6</v>
      </c>
      <c r="H337" s="8" t="n">
        <v>42.9</v>
      </c>
    </row>
    <row r="338" customFormat="false" ht="16.4" hidden="false" customHeight="false" outlineLevel="0" collapsed="false">
      <c r="A338" s="6" t="n">
        <v>46093</v>
      </c>
      <c r="B338" s="4" t="s">
        <v>4658</v>
      </c>
      <c r="C338" s="4" t="s">
        <v>4655</v>
      </c>
      <c r="D338" s="4" t="n">
        <v>1677</v>
      </c>
      <c r="E338" s="4" t="n">
        <v>94</v>
      </c>
      <c r="F338" s="19" t="n">
        <f aca="false">IFERROR(E338/D338,0)</f>
        <v>0.0560524746571258</v>
      </c>
      <c r="G338" s="4" t="n">
        <v>80</v>
      </c>
      <c r="H338" s="8" t="n">
        <v>280.3</v>
      </c>
    </row>
    <row r="339" customFormat="false" ht="16.4" hidden="false" customHeight="false" outlineLevel="0" collapsed="false">
      <c r="A339" s="6" t="n">
        <v>45761</v>
      </c>
      <c r="B339" s="4" t="s">
        <v>4659</v>
      </c>
      <c r="C339" s="4" t="s">
        <v>4655</v>
      </c>
      <c r="D339" s="4" t="n">
        <v>1183</v>
      </c>
      <c r="E339" s="4" t="n">
        <v>18</v>
      </c>
      <c r="F339" s="19" t="n">
        <f aca="false">IFERROR(E339/D339,0)</f>
        <v>0.0152155536770921</v>
      </c>
      <c r="G339" s="4" t="n">
        <v>96</v>
      </c>
      <c r="H339" s="8" t="n">
        <v>173.4</v>
      </c>
    </row>
    <row r="340" customFormat="false" ht="16.4" hidden="false" customHeight="false" outlineLevel="0" collapsed="false">
      <c r="A340" s="6" t="n">
        <v>46055</v>
      </c>
      <c r="B340" s="4" t="s">
        <v>4659</v>
      </c>
      <c r="C340" s="4" t="s">
        <v>4660</v>
      </c>
      <c r="D340" s="4" t="n">
        <v>3787</v>
      </c>
      <c r="E340" s="4" t="n">
        <v>195</v>
      </c>
      <c r="F340" s="19" t="n">
        <f aca="false">IFERROR(E340/D340,0)</f>
        <v>0.0514919461315025</v>
      </c>
      <c r="G340" s="4" t="n">
        <v>182</v>
      </c>
      <c r="H340" s="8" t="n">
        <v>262.4</v>
      </c>
    </row>
    <row r="341" customFormat="false" ht="16.4" hidden="false" customHeight="false" outlineLevel="0" collapsed="false">
      <c r="A341" s="6" t="n">
        <v>45995</v>
      </c>
      <c r="B341" s="4" t="s">
        <v>4654</v>
      </c>
      <c r="C341" s="4" t="s">
        <v>4660</v>
      </c>
      <c r="D341" s="4" t="n">
        <v>2693</v>
      </c>
      <c r="E341" s="4" t="n">
        <v>157</v>
      </c>
      <c r="F341" s="19" t="n">
        <f aca="false">IFERROR(E341/D341,0)</f>
        <v>0.058299294467137</v>
      </c>
      <c r="G341" s="4" t="n">
        <v>140</v>
      </c>
      <c r="H341" s="8" t="n">
        <v>65.4</v>
      </c>
    </row>
    <row r="342" customFormat="false" ht="16.4" hidden="false" customHeight="false" outlineLevel="0" collapsed="false">
      <c r="A342" s="6" t="n">
        <v>45675</v>
      </c>
      <c r="B342" s="4" t="s">
        <v>4658</v>
      </c>
      <c r="C342" s="4" t="s">
        <v>4660</v>
      </c>
      <c r="D342" s="4" t="n">
        <v>825</v>
      </c>
      <c r="E342" s="4" t="n">
        <v>20</v>
      </c>
      <c r="F342" s="19" t="n">
        <f aca="false">IFERROR(E342/D342,0)</f>
        <v>0.0242424242424242</v>
      </c>
      <c r="G342" s="4" t="n">
        <v>233</v>
      </c>
      <c r="H342" s="8" t="n">
        <v>179.6</v>
      </c>
    </row>
    <row r="343" customFormat="false" ht="16.4" hidden="false" customHeight="false" outlineLevel="0" collapsed="false">
      <c r="A343" s="6" t="n">
        <v>46160</v>
      </c>
      <c r="B343" s="4" t="s">
        <v>4656</v>
      </c>
      <c r="C343" s="4" t="s">
        <v>4655</v>
      </c>
      <c r="D343" s="4" t="n">
        <v>2926</v>
      </c>
      <c r="E343" s="4" t="n">
        <v>39</v>
      </c>
      <c r="F343" s="19" t="n">
        <f aca="false">IFERROR(E343/D343,0)</f>
        <v>0.0133287764866712</v>
      </c>
      <c r="G343" s="4" t="n">
        <v>81</v>
      </c>
      <c r="H343" s="8" t="n">
        <v>172.3</v>
      </c>
    </row>
    <row r="344" customFormat="false" ht="16.4" hidden="false" customHeight="false" outlineLevel="0" collapsed="false">
      <c r="A344" s="6" t="n">
        <v>45986</v>
      </c>
      <c r="B344" s="4" t="s">
        <v>4658</v>
      </c>
      <c r="C344" s="4" t="s">
        <v>4655</v>
      </c>
      <c r="D344" s="4" t="n">
        <v>5320</v>
      </c>
      <c r="E344" s="4" t="n">
        <v>172</v>
      </c>
      <c r="F344" s="19" t="n">
        <f aca="false">IFERROR(E344/D344,0)</f>
        <v>0.0323308270676692</v>
      </c>
      <c r="G344" s="4" t="n">
        <v>139</v>
      </c>
      <c r="H344" s="8" t="n">
        <v>255.7</v>
      </c>
    </row>
    <row r="345" customFormat="false" ht="16.4" hidden="false" customHeight="false" outlineLevel="0" collapsed="false">
      <c r="A345" s="6" t="n">
        <v>45995</v>
      </c>
      <c r="B345" s="4" t="s">
        <v>4658</v>
      </c>
      <c r="C345" s="4" t="s">
        <v>4655</v>
      </c>
      <c r="D345" s="4" t="n">
        <v>4478</v>
      </c>
      <c r="E345" s="4" t="n">
        <v>252</v>
      </c>
      <c r="F345" s="19" t="n">
        <f aca="false">IFERROR(E345/D345,0)</f>
        <v>0.0562751228226887</v>
      </c>
      <c r="G345" s="4" t="n">
        <v>59</v>
      </c>
      <c r="H345" s="8" t="n">
        <v>205.8</v>
      </c>
    </row>
    <row r="346" customFormat="false" ht="16.4" hidden="false" customHeight="false" outlineLevel="0" collapsed="false">
      <c r="A346" s="6" t="n">
        <v>46176</v>
      </c>
      <c r="B346" s="4" t="s">
        <v>4658</v>
      </c>
      <c r="C346" s="4" t="s">
        <v>4660</v>
      </c>
      <c r="D346" s="4" t="n">
        <v>5410</v>
      </c>
      <c r="E346" s="4" t="n">
        <v>254</v>
      </c>
      <c r="F346" s="19" t="n">
        <f aca="false">IFERROR(E346/D346,0)</f>
        <v>0.0469500924214418</v>
      </c>
      <c r="G346" s="4" t="n">
        <v>92</v>
      </c>
      <c r="H346" s="8" t="n">
        <v>112.7</v>
      </c>
    </row>
    <row r="347" customFormat="false" ht="16.4" hidden="false" customHeight="false" outlineLevel="0" collapsed="false">
      <c r="A347" s="6" t="n">
        <v>45704</v>
      </c>
      <c r="B347" s="4" t="s">
        <v>4656</v>
      </c>
      <c r="C347" s="4" t="s">
        <v>4655</v>
      </c>
      <c r="D347" s="4" t="n">
        <v>3883</v>
      </c>
      <c r="E347" s="4" t="n">
        <v>218</v>
      </c>
      <c r="F347" s="19" t="n">
        <f aca="false">IFERROR(E347/D347,0)</f>
        <v>0.056142158125161</v>
      </c>
      <c r="G347" s="4" t="n">
        <v>58</v>
      </c>
      <c r="H347" s="8" t="n">
        <v>245.6</v>
      </c>
    </row>
    <row r="348" customFormat="false" ht="16.4" hidden="false" customHeight="false" outlineLevel="0" collapsed="false">
      <c r="A348" s="6" t="n">
        <v>45960</v>
      </c>
      <c r="B348" s="4" t="s">
        <v>4659</v>
      </c>
      <c r="C348" s="4" t="s">
        <v>4660</v>
      </c>
      <c r="D348" s="4" t="n">
        <v>954</v>
      </c>
      <c r="E348" s="4" t="n">
        <v>9</v>
      </c>
      <c r="F348" s="19" t="n">
        <f aca="false">IFERROR(E348/D348,0)</f>
        <v>0.00943396226415094</v>
      </c>
      <c r="G348" s="4" t="n">
        <v>194</v>
      </c>
      <c r="H348" s="8" t="n">
        <v>246.7</v>
      </c>
    </row>
    <row r="349" customFormat="false" ht="16.4" hidden="false" customHeight="false" outlineLevel="0" collapsed="false">
      <c r="A349" s="6" t="n">
        <v>45944</v>
      </c>
      <c r="B349" s="4" t="s">
        <v>4656</v>
      </c>
      <c r="C349" s="4" t="s">
        <v>4660</v>
      </c>
      <c r="D349" s="4" t="n">
        <v>3829</v>
      </c>
      <c r="E349" s="4" t="n">
        <v>197</v>
      </c>
      <c r="F349" s="19" t="n">
        <f aca="false">IFERROR(E349/D349,0)</f>
        <v>0.0514494646121703</v>
      </c>
      <c r="G349" s="4" t="n">
        <v>119</v>
      </c>
      <c r="H349" s="8" t="n">
        <v>79.6</v>
      </c>
    </row>
    <row r="350" customFormat="false" ht="16.4" hidden="false" customHeight="false" outlineLevel="0" collapsed="false">
      <c r="A350" s="6" t="n">
        <v>46110</v>
      </c>
      <c r="B350" s="4" t="s">
        <v>4658</v>
      </c>
      <c r="C350" s="4" t="s">
        <v>4655</v>
      </c>
      <c r="D350" s="4" t="n">
        <v>3733</v>
      </c>
      <c r="E350" s="4" t="n">
        <v>16</v>
      </c>
      <c r="F350" s="19" t="n">
        <f aca="false">IFERROR(E350/D350,0)</f>
        <v>0.00428609697294401</v>
      </c>
      <c r="G350" s="4" t="n">
        <v>117</v>
      </c>
      <c r="H350" s="8" t="n">
        <v>97</v>
      </c>
    </row>
    <row r="351" customFormat="false" ht="16.4" hidden="false" customHeight="false" outlineLevel="0" collapsed="false">
      <c r="A351" s="6" t="n">
        <v>45783</v>
      </c>
      <c r="B351" s="4" t="s">
        <v>4659</v>
      </c>
      <c r="C351" s="4" t="s">
        <v>4660</v>
      </c>
      <c r="D351" s="4" t="n">
        <v>4896</v>
      </c>
      <c r="E351" s="4" t="n">
        <v>237</v>
      </c>
      <c r="F351" s="19" t="n">
        <f aca="false">IFERROR(E351/D351,0)</f>
        <v>0.048406862745098</v>
      </c>
      <c r="G351" s="4" t="n">
        <v>206</v>
      </c>
      <c r="H351" s="8" t="n">
        <v>113.8</v>
      </c>
    </row>
    <row r="352" customFormat="false" ht="16.4" hidden="false" customHeight="false" outlineLevel="0" collapsed="false">
      <c r="A352" s="6" t="n">
        <v>45893</v>
      </c>
      <c r="B352" s="4" t="s">
        <v>4656</v>
      </c>
      <c r="C352" s="4" t="s">
        <v>4657</v>
      </c>
      <c r="D352" s="4" t="n">
        <v>4737</v>
      </c>
      <c r="E352" s="4" t="n">
        <v>272</v>
      </c>
      <c r="F352" s="19" t="n">
        <f aca="false">IFERROR(E352/D352,0)</f>
        <v>0.0574203082119485</v>
      </c>
      <c r="G352" s="4" t="n">
        <v>185</v>
      </c>
      <c r="H352" s="8" t="n">
        <v>57.1</v>
      </c>
    </row>
    <row r="353" customFormat="false" ht="16.4" hidden="false" customHeight="false" outlineLevel="0" collapsed="false">
      <c r="A353" s="6" t="n">
        <v>45983</v>
      </c>
      <c r="B353" s="4" t="s">
        <v>4659</v>
      </c>
      <c r="C353" s="4" t="s">
        <v>4655</v>
      </c>
      <c r="D353" s="4" t="n">
        <v>1600</v>
      </c>
      <c r="E353" s="4" t="n">
        <v>62</v>
      </c>
      <c r="F353" s="19" t="n">
        <f aca="false">IFERROR(E353/D353,0)</f>
        <v>0.03875</v>
      </c>
      <c r="G353" s="4" t="n">
        <v>135</v>
      </c>
      <c r="H353" s="8" t="n">
        <v>44.5</v>
      </c>
    </row>
    <row r="354" customFormat="false" ht="16.4" hidden="false" customHeight="false" outlineLevel="0" collapsed="false">
      <c r="A354" s="6" t="n">
        <v>45961</v>
      </c>
      <c r="B354" s="4" t="s">
        <v>4658</v>
      </c>
      <c r="C354" s="4" t="s">
        <v>4660</v>
      </c>
      <c r="D354" s="4" t="n">
        <v>2321</v>
      </c>
      <c r="E354" s="4" t="n">
        <v>113</v>
      </c>
      <c r="F354" s="19" t="n">
        <f aca="false">IFERROR(E354/D354,0)</f>
        <v>0.048685911245153</v>
      </c>
      <c r="G354" s="4" t="n">
        <v>128</v>
      </c>
      <c r="H354" s="8" t="n">
        <v>277.1</v>
      </c>
    </row>
    <row r="355" customFormat="false" ht="16.4" hidden="false" customHeight="false" outlineLevel="0" collapsed="false">
      <c r="A355" s="6" t="n">
        <v>46050</v>
      </c>
      <c r="B355" s="4" t="s">
        <v>4658</v>
      </c>
      <c r="C355" s="4" t="s">
        <v>4655</v>
      </c>
      <c r="D355" s="4" t="n">
        <v>4560</v>
      </c>
      <c r="E355" s="4" t="n">
        <v>92</v>
      </c>
      <c r="F355" s="19" t="n">
        <f aca="false">IFERROR(E355/D355,0)</f>
        <v>0.0201754385964912</v>
      </c>
      <c r="G355" s="4" t="n">
        <v>144</v>
      </c>
      <c r="H355" s="8" t="n">
        <v>88.4</v>
      </c>
    </row>
    <row r="356" customFormat="false" ht="16.4" hidden="false" customHeight="false" outlineLevel="0" collapsed="false">
      <c r="A356" s="6" t="n">
        <v>46198</v>
      </c>
      <c r="B356" s="4" t="s">
        <v>4656</v>
      </c>
      <c r="C356" s="4" t="s">
        <v>4655</v>
      </c>
      <c r="D356" s="4" t="n">
        <v>2926</v>
      </c>
      <c r="E356" s="4" t="n">
        <v>100</v>
      </c>
      <c r="F356" s="19" t="n">
        <f aca="false">IFERROR(E356/D356,0)</f>
        <v>0.0341763499658237</v>
      </c>
      <c r="G356" s="4" t="n">
        <v>228</v>
      </c>
      <c r="H356" s="8" t="n">
        <v>166.2</v>
      </c>
    </row>
    <row r="357" customFormat="false" ht="16.4" hidden="false" customHeight="false" outlineLevel="0" collapsed="false">
      <c r="A357" s="6" t="n">
        <v>45965</v>
      </c>
      <c r="B357" s="4" t="s">
        <v>4658</v>
      </c>
      <c r="C357" s="4" t="s">
        <v>4660</v>
      </c>
      <c r="D357" s="4" t="n">
        <v>5346</v>
      </c>
      <c r="E357" s="4" t="n">
        <v>264</v>
      </c>
      <c r="F357" s="19" t="n">
        <f aca="false">IFERROR(E357/D357,0)</f>
        <v>0.0493827160493827</v>
      </c>
      <c r="G357" s="4" t="n">
        <v>106</v>
      </c>
      <c r="H357" s="8" t="n">
        <v>160</v>
      </c>
    </row>
    <row r="358" customFormat="false" ht="16.4" hidden="false" customHeight="false" outlineLevel="0" collapsed="false">
      <c r="A358" s="6" t="n">
        <v>46114</v>
      </c>
      <c r="B358" s="4" t="s">
        <v>4656</v>
      </c>
      <c r="C358" s="4" t="s">
        <v>4657</v>
      </c>
      <c r="D358" s="4" t="n">
        <v>1914</v>
      </c>
      <c r="E358" s="4" t="n">
        <v>1</v>
      </c>
      <c r="F358" s="19" t="n">
        <f aca="false">IFERROR(E358/D358,0)</f>
        <v>0.000522466039707419</v>
      </c>
      <c r="G358" s="4" t="n">
        <v>52</v>
      </c>
      <c r="H358" s="8" t="n">
        <v>80.3</v>
      </c>
    </row>
    <row r="359" customFormat="false" ht="16.4" hidden="false" customHeight="false" outlineLevel="0" collapsed="false">
      <c r="A359" s="6" t="n">
        <v>46004</v>
      </c>
      <c r="B359" s="4" t="s">
        <v>4654</v>
      </c>
      <c r="C359" s="4" t="s">
        <v>4657</v>
      </c>
      <c r="D359" s="4" t="n">
        <v>1353</v>
      </c>
      <c r="E359" s="4" t="n">
        <v>26</v>
      </c>
      <c r="F359" s="19" t="n">
        <f aca="false">IFERROR(E359/D359,0)</f>
        <v>0.0192165558019217</v>
      </c>
      <c r="G359" s="4" t="n">
        <v>140</v>
      </c>
      <c r="H359" s="8" t="n">
        <v>310.7</v>
      </c>
    </row>
    <row r="360" customFormat="false" ht="16.4" hidden="false" customHeight="false" outlineLevel="0" collapsed="false">
      <c r="A360" s="6" t="n">
        <v>46085</v>
      </c>
      <c r="B360" s="4" t="s">
        <v>4654</v>
      </c>
      <c r="C360" s="4" t="s">
        <v>4660</v>
      </c>
      <c r="D360" s="4" t="n">
        <v>4084</v>
      </c>
      <c r="E360" s="4" t="n">
        <v>121</v>
      </c>
      <c r="F360" s="19" t="n">
        <f aca="false">IFERROR(E360/D360,0)</f>
        <v>0.0296278158667973</v>
      </c>
      <c r="G360" s="4" t="n">
        <v>154</v>
      </c>
      <c r="H360" s="8" t="n">
        <v>75.1</v>
      </c>
    </row>
    <row r="361" customFormat="false" ht="16.4" hidden="false" customHeight="false" outlineLevel="0" collapsed="false">
      <c r="A361" s="6" t="n">
        <v>46174</v>
      </c>
      <c r="B361" s="4" t="s">
        <v>4656</v>
      </c>
      <c r="C361" s="4" t="s">
        <v>4657</v>
      </c>
      <c r="D361" s="4" t="n">
        <v>5133</v>
      </c>
      <c r="E361" s="4" t="n">
        <v>220</v>
      </c>
      <c r="F361" s="19" t="n">
        <f aca="false">IFERROR(E361/D361,0)</f>
        <v>0.0428599259692188</v>
      </c>
      <c r="G361" s="4" t="n">
        <v>13</v>
      </c>
      <c r="H361" s="8" t="n">
        <v>153.8</v>
      </c>
    </row>
    <row r="362" customFormat="false" ht="16.4" hidden="false" customHeight="false" outlineLevel="0" collapsed="false">
      <c r="A362" s="6" t="n">
        <v>46187</v>
      </c>
      <c r="B362" s="4" t="s">
        <v>4656</v>
      </c>
      <c r="C362" s="4" t="s">
        <v>4657</v>
      </c>
      <c r="D362" s="4" t="n">
        <v>1047</v>
      </c>
      <c r="E362" s="4" t="n">
        <v>33</v>
      </c>
      <c r="F362" s="19" t="n">
        <f aca="false">IFERROR(E362/D362,0)</f>
        <v>0.0315186246418338</v>
      </c>
      <c r="G362" s="4" t="n">
        <v>173</v>
      </c>
      <c r="H362" s="8" t="n">
        <v>105.5</v>
      </c>
    </row>
    <row r="363" customFormat="false" ht="16.4" hidden="false" customHeight="false" outlineLevel="0" collapsed="false">
      <c r="A363" s="6" t="n">
        <v>46037</v>
      </c>
      <c r="B363" s="4" t="s">
        <v>4654</v>
      </c>
      <c r="C363" s="4" t="s">
        <v>4660</v>
      </c>
      <c r="D363" s="4" t="n">
        <v>1271</v>
      </c>
      <c r="E363" s="4" t="n">
        <v>42</v>
      </c>
      <c r="F363" s="19" t="n">
        <f aca="false">IFERROR(E363/D363,0)</f>
        <v>0.033044846577498</v>
      </c>
      <c r="G363" s="4" t="n">
        <v>1</v>
      </c>
      <c r="H363" s="8" t="n">
        <v>137.1</v>
      </c>
    </row>
    <row r="364" customFormat="false" ht="16.4" hidden="false" customHeight="false" outlineLevel="0" collapsed="false">
      <c r="A364" s="6" t="n">
        <v>46195</v>
      </c>
      <c r="B364" s="4" t="s">
        <v>4654</v>
      </c>
      <c r="C364" s="4" t="s">
        <v>4660</v>
      </c>
      <c r="D364" s="4" t="n">
        <v>1008</v>
      </c>
      <c r="E364" s="4" t="n">
        <v>43</v>
      </c>
      <c r="F364" s="19" t="n">
        <f aca="false">IFERROR(E364/D364,0)</f>
        <v>0.0426587301587302</v>
      </c>
      <c r="G364" s="4" t="n">
        <v>51</v>
      </c>
      <c r="H364" s="8" t="n">
        <v>201.8</v>
      </c>
    </row>
    <row r="365" customFormat="false" ht="16.4" hidden="false" customHeight="false" outlineLevel="0" collapsed="false">
      <c r="A365" s="6" t="n">
        <v>46118</v>
      </c>
      <c r="B365" s="4" t="s">
        <v>4656</v>
      </c>
      <c r="C365" s="4" t="s">
        <v>4660</v>
      </c>
      <c r="D365" s="4" t="n">
        <v>1486</v>
      </c>
      <c r="E365" s="4" t="n">
        <v>41</v>
      </c>
      <c r="F365" s="19" t="n">
        <f aca="false">IFERROR(E365/D365,0)</f>
        <v>0.0275908479138627</v>
      </c>
      <c r="G365" s="4" t="n">
        <v>198</v>
      </c>
      <c r="H365" s="8" t="n">
        <v>42.5</v>
      </c>
    </row>
    <row r="366" customFormat="false" ht="16.4" hidden="false" customHeight="false" outlineLevel="0" collapsed="false">
      <c r="A366" s="6" t="n">
        <v>46079</v>
      </c>
      <c r="B366" s="4" t="s">
        <v>4656</v>
      </c>
      <c r="C366" s="4" t="s">
        <v>4655</v>
      </c>
      <c r="D366" s="4" t="n">
        <v>2371</v>
      </c>
      <c r="E366" s="4" t="n">
        <v>82</v>
      </c>
      <c r="F366" s="19" t="n">
        <f aca="false">IFERROR(E366/D366,0)</f>
        <v>0.0345845634753269</v>
      </c>
      <c r="G366" s="4" t="n">
        <v>188</v>
      </c>
      <c r="H366" s="8" t="n">
        <v>172.6</v>
      </c>
    </row>
    <row r="367" customFormat="false" ht="16.4" hidden="false" customHeight="false" outlineLevel="0" collapsed="false">
      <c r="A367" s="6" t="n">
        <v>46005</v>
      </c>
      <c r="B367" s="4" t="s">
        <v>4659</v>
      </c>
      <c r="C367" s="4" t="s">
        <v>4660</v>
      </c>
      <c r="D367" s="4" t="n">
        <v>4595</v>
      </c>
      <c r="E367" s="4" t="n">
        <v>255</v>
      </c>
      <c r="F367" s="19" t="n">
        <f aca="false">IFERROR(E367/D367,0)</f>
        <v>0.0554951033732318</v>
      </c>
      <c r="G367" s="4" t="n">
        <v>40</v>
      </c>
      <c r="H367" s="8" t="n">
        <v>162.2</v>
      </c>
    </row>
    <row r="368" customFormat="false" ht="16.4" hidden="false" customHeight="false" outlineLevel="0" collapsed="false">
      <c r="A368" s="6" t="n">
        <v>45686</v>
      </c>
      <c r="B368" s="4" t="s">
        <v>4654</v>
      </c>
      <c r="C368" s="4" t="s">
        <v>4657</v>
      </c>
      <c r="D368" s="4" t="n">
        <v>1430</v>
      </c>
      <c r="E368" s="4" t="n">
        <v>75</v>
      </c>
      <c r="F368" s="19" t="n">
        <f aca="false">IFERROR(E368/D368,0)</f>
        <v>0.0524475524475525</v>
      </c>
      <c r="G368" s="4" t="n">
        <v>66</v>
      </c>
      <c r="H368" s="8" t="n">
        <v>81.2</v>
      </c>
    </row>
    <row r="369" customFormat="false" ht="16.4" hidden="false" customHeight="false" outlineLevel="0" collapsed="false">
      <c r="A369" s="6" t="n">
        <v>45873</v>
      </c>
      <c r="B369" s="4" t="s">
        <v>4656</v>
      </c>
      <c r="C369" s="4" t="s">
        <v>4657</v>
      </c>
      <c r="D369" s="4" t="n">
        <v>2282</v>
      </c>
      <c r="E369" s="4" t="n">
        <v>122</v>
      </c>
      <c r="F369" s="19" t="n">
        <f aca="false">IFERROR(E369/D369,0)</f>
        <v>0.0534618755477651</v>
      </c>
      <c r="G369" s="4" t="n">
        <v>214</v>
      </c>
      <c r="H369" s="8" t="n">
        <v>76.5</v>
      </c>
    </row>
    <row r="370" customFormat="false" ht="16.4" hidden="false" customHeight="false" outlineLevel="0" collapsed="false">
      <c r="A370" s="6" t="n">
        <v>45719</v>
      </c>
      <c r="B370" s="4" t="s">
        <v>4654</v>
      </c>
      <c r="C370" s="4" t="s">
        <v>4655</v>
      </c>
      <c r="D370" s="4" t="n">
        <v>2489</v>
      </c>
      <c r="E370" s="4" t="n">
        <v>46</v>
      </c>
      <c r="F370" s="19" t="n">
        <f aca="false">IFERROR(E370/D370,0)</f>
        <v>0.0184813177983126</v>
      </c>
      <c r="G370" s="4" t="n">
        <v>164</v>
      </c>
      <c r="H370" s="8" t="n">
        <v>81.2</v>
      </c>
    </row>
    <row r="371" customFormat="false" ht="16.4" hidden="false" customHeight="false" outlineLevel="0" collapsed="false">
      <c r="A371" s="6" t="n">
        <v>45734</v>
      </c>
      <c r="B371" s="4" t="s">
        <v>4656</v>
      </c>
      <c r="C371" s="4" t="s">
        <v>4660</v>
      </c>
      <c r="D371" s="4" t="n">
        <v>1646</v>
      </c>
      <c r="E371" s="4" t="n">
        <v>13</v>
      </c>
      <c r="F371" s="19" t="n">
        <f aca="false">IFERROR(E371/D371,0)</f>
        <v>0.00789793438639125</v>
      </c>
      <c r="G371" s="4" t="n">
        <v>166</v>
      </c>
      <c r="H371" s="8" t="n">
        <v>288.4</v>
      </c>
    </row>
    <row r="372" customFormat="false" ht="16.4" hidden="false" customHeight="false" outlineLevel="0" collapsed="false">
      <c r="A372" s="6" t="n">
        <v>46161</v>
      </c>
      <c r="B372" s="4" t="s">
        <v>4658</v>
      </c>
      <c r="C372" s="4" t="s">
        <v>4660</v>
      </c>
      <c r="D372" s="4" t="n">
        <v>4289</v>
      </c>
      <c r="E372" s="4" t="n">
        <v>61</v>
      </c>
      <c r="F372" s="19" t="n">
        <f aca="false">IFERROR(E372/D372,0)</f>
        <v>0.0142224294707391</v>
      </c>
      <c r="G372" s="4" t="n">
        <v>42</v>
      </c>
      <c r="H372" s="8" t="n">
        <v>56</v>
      </c>
    </row>
    <row r="373" customFormat="false" ht="16.4" hidden="false" customHeight="false" outlineLevel="0" collapsed="false">
      <c r="A373" s="6" t="n">
        <v>46038</v>
      </c>
      <c r="B373" s="4" t="s">
        <v>4658</v>
      </c>
      <c r="C373" s="4" t="s">
        <v>4660</v>
      </c>
      <c r="D373" s="4" t="n">
        <v>3212</v>
      </c>
      <c r="E373" s="4" t="n">
        <v>40</v>
      </c>
      <c r="F373" s="19" t="n">
        <f aca="false">IFERROR(E373/D373,0)</f>
        <v>0.012453300124533</v>
      </c>
      <c r="G373" s="4" t="n">
        <v>68</v>
      </c>
      <c r="H373" s="8" t="n">
        <v>274.4</v>
      </c>
    </row>
    <row r="374" customFormat="false" ht="16.4" hidden="false" customHeight="false" outlineLevel="0" collapsed="false">
      <c r="A374" s="6" t="n">
        <v>45896</v>
      </c>
      <c r="B374" s="4" t="s">
        <v>4658</v>
      </c>
      <c r="C374" s="4" t="s">
        <v>4660</v>
      </c>
      <c r="D374" s="4" t="n">
        <v>4110</v>
      </c>
      <c r="E374" s="4" t="n">
        <v>147</v>
      </c>
      <c r="F374" s="19" t="n">
        <f aca="false">IFERROR(E374/D374,0)</f>
        <v>0.0357664233576642</v>
      </c>
      <c r="G374" s="4" t="n">
        <v>44</v>
      </c>
      <c r="H374" s="8" t="n">
        <v>303.2</v>
      </c>
    </row>
    <row r="375" customFormat="false" ht="16.4" hidden="false" customHeight="false" outlineLevel="0" collapsed="false">
      <c r="A375" s="6" t="n">
        <v>45870</v>
      </c>
      <c r="B375" s="4" t="s">
        <v>4654</v>
      </c>
      <c r="C375" s="4" t="s">
        <v>4655</v>
      </c>
      <c r="D375" s="4" t="n">
        <v>4280</v>
      </c>
      <c r="E375" s="4" t="n">
        <v>4</v>
      </c>
      <c r="F375" s="19" t="n">
        <f aca="false">IFERROR(E375/D375,0)</f>
        <v>0.000934579439252337</v>
      </c>
      <c r="G375" s="4" t="n">
        <v>7</v>
      </c>
      <c r="H375" s="8" t="n">
        <v>291.6</v>
      </c>
    </row>
    <row r="376" customFormat="false" ht="16.4" hidden="false" customHeight="false" outlineLevel="0" collapsed="false">
      <c r="A376" s="6" t="n">
        <v>45672</v>
      </c>
      <c r="B376" s="4" t="s">
        <v>4658</v>
      </c>
      <c r="C376" s="4" t="s">
        <v>4660</v>
      </c>
      <c r="D376" s="4" t="n">
        <v>4185</v>
      </c>
      <c r="E376" s="4" t="n">
        <v>246</v>
      </c>
      <c r="F376" s="19" t="n">
        <f aca="false">IFERROR(E376/D376,0)</f>
        <v>0.0587813620071685</v>
      </c>
      <c r="G376" s="4" t="n">
        <v>47</v>
      </c>
      <c r="H376" s="8" t="n">
        <v>230</v>
      </c>
    </row>
    <row r="377" customFormat="false" ht="16.4" hidden="false" customHeight="false" outlineLevel="0" collapsed="false">
      <c r="A377" s="6" t="n">
        <v>45737</v>
      </c>
      <c r="B377" s="4" t="s">
        <v>4658</v>
      </c>
      <c r="C377" s="4" t="s">
        <v>4660</v>
      </c>
      <c r="D377" s="4" t="n">
        <v>3000</v>
      </c>
      <c r="E377" s="4" t="n">
        <v>126</v>
      </c>
      <c r="F377" s="19" t="n">
        <f aca="false">IFERROR(E377/D377,0)</f>
        <v>0.042</v>
      </c>
      <c r="G377" s="4" t="n">
        <v>139</v>
      </c>
      <c r="H377" s="8" t="n">
        <v>47.1</v>
      </c>
    </row>
    <row r="378" customFormat="false" ht="16.4" hidden="false" customHeight="false" outlineLevel="0" collapsed="false">
      <c r="A378" s="6" t="n">
        <v>46133</v>
      </c>
      <c r="B378" s="4" t="s">
        <v>4658</v>
      </c>
      <c r="C378" s="4" t="s">
        <v>4655</v>
      </c>
      <c r="D378" s="4" t="n">
        <v>1385</v>
      </c>
      <c r="E378" s="4" t="n">
        <v>57</v>
      </c>
      <c r="F378" s="19" t="n">
        <f aca="false">IFERROR(E378/D378,0)</f>
        <v>0.0411552346570397</v>
      </c>
      <c r="G378" s="4" t="n">
        <v>206</v>
      </c>
      <c r="H378" s="8" t="n">
        <v>319.4</v>
      </c>
    </row>
    <row r="379" customFormat="false" ht="16.4" hidden="false" customHeight="false" outlineLevel="0" collapsed="false">
      <c r="A379" s="6" t="n">
        <v>45856</v>
      </c>
      <c r="B379" s="4" t="s">
        <v>4656</v>
      </c>
      <c r="C379" s="4" t="s">
        <v>4655</v>
      </c>
      <c r="D379" s="4" t="n">
        <v>4077</v>
      </c>
      <c r="E379" s="4" t="n">
        <v>236</v>
      </c>
      <c r="F379" s="19" t="n">
        <f aca="false">IFERROR(E379/D379,0)</f>
        <v>0.0578857002698062</v>
      </c>
      <c r="G379" s="4" t="n">
        <v>227</v>
      </c>
      <c r="H379" s="8" t="n">
        <v>135.9</v>
      </c>
    </row>
    <row r="380" customFormat="false" ht="16.4" hidden="false" customHeight="false" outlineLevel="0" collapsed="false">
      <c r="A380" s="6" t="n">
        <v>45956</v>
      </c>
      <c r="B380" s="4" t="s">
        <v>4654</v>
      </c>
      <c r="C380" s="4" t="s">
        <v>4655</v>
      </c>
      <c r="D380" s="4" t="n">
        <v>888</v>
      </c>
      <c r="E380" s="4" t="n">
        <v>2</v>
      </c>
      <c r="F380" s="19" t="n">
        <f aca="false">IFERROR(E380/D380,0)</f>
        <v>0.00225225225225225</v>
      </c>
      <c r="G380" s="4" t="n">
        <v>47</v>
      </c>
      <c r="H380" s="8" t="n">
        <v>155.7</v>
      </c>
    </row>
    <row r="381" customFormat="false" ht="16.4" hidden="false" customHeight="false" outlineLevel="0" collapsed="false">
      <c r="A381" s="6" t="n">
        <v>45917</v>
      </c>
      <c r="B381" s="4" t="s">
        <v>4659</v>
      </c>
      <c r="C381" s="4" t="s">
        <v>4660</v>
      </c>
      <c r="D381" s="4" t="n">
        <v>4558</v>
      </c>
      <c r="E381" s="4" t="n">
        <v>93</v>
      </c>
      <c r="F381" s="19" t="n">
        <f aca="false">IFERROR(E381/D381,0)</f>
        <v>0.0204036858271172</v>
      </c>
      <c r="G381" s="4" t="n">
        <v>147</v>
      </c>
      <c r="H381" s="8" t="n">
        <v>102.7</v>
      </c>
    </row>
    <row r="382" customFormat="false" ht="16.4" hidden="false" customHeight="false" outlineLevel="0" collapsed="false">
      <c r="A382" s="6" t="n">
        <v>46109</v>
      </c>
      <c r="B382" s="4" t="s">
        <v>4654</v>
      </c>
      <c r="C382" s="4" t="s">
        <v>4657</v>
      </c>
      <c r="D382" s="4" t="n">
        <v>1726</v>
      </c>
      <c r="E382" s="4" t="n">
        <v>103</v>
      </c>
      <c r="F382" s="19" t="n">
        <f aca="false">IFERROR(E382/D382,0)</f>
        <v>0.059675550405562</v>
      </c>
      <c r="G382" s="4" t="n">
        <v>71</v>
      </c>
      <c r="H382" s="8" t="n">
        <v>259.1</v>
      </c>
    </row>
    <row r="383" customFormat="false" ht="16.4" hidden="false" customHeight="false" outlineLevel="0" collapsed="false">
      <c r="A383" s="6" t="n">
        <v>45663</v>
      </c>
      <c r="B383" s="4" t="s">
        <v>4654</v>
      </c>
      <c r="C383" s="4" t="s">
        <v>4657</v>
      </c>
      <c r="D383" s="4" t="n">
        <v>4349</v>
      </c>
      <c r="E383" s="4" t="n">
        <v>123</v>
      </c>
      <c r="F383" s="19" t="n">
        <f aca="false">IFERROR(E383/D383,0)</f>
        <v>0.0282823637617843</v>
      </c>
      <c r="G383" s="4" t="n">
        <v>8</v>
      </c>
      <c r="H383" s="8" t="n">
        <v>247.6</v>
      </c>
    </row>
    <row r="384" customFormat="false" ht="16.4" hidden="false" customHeight="false" outlineLevel="0" collapsed="false">
      <c r="A384" s="6" t="n">
        <v>45720</v>
      </c>
      <c r="B384" s="4" t="s">
        <v>4654</v>
      </c>
      <c r="C384" s="4" t="s">
        <v>4660</v>
      </c>
      <c r="D384" s="4" t="n">
        <v>3463</v>
      </c>
      <c r="E384" s="4" t="n">
        <v>66</v>
      </c>
      <c r="F384" s="19" t="n">
        <f aca="false">IFERROR(E384/D384,0)</f>
        <v>0.019058619693907</v>
      </c>
      <c r="G384" s="4" t="n">
        <v>157</v>
      </c>
      <c r="H384" s="8" t="n">
        <v>244</v>
      </c>
    </row>
    <row r="385" customFormat="false" ht="16.4" hidden="false" customHeight="false" outlineLevel="0" collapsed="false">
      <c r="A385" s="6" t="n">
        <v>45769</v>
      </c>
      <c r="B385" s="4" t="s">
        <v>4654</v>
      </c>
      <c r="C385" s="4" t="s">
        <v>4657</v>
      </c>
      <c r="D385" s="4" t="n">
        <v>5305</v>
      </c>
      <c r="E385" s="4" t="n">
        <v>166</v>
      </c>
      <c r="F385" s="19" t="n">
        <f aca="false">IFERROR(E385/D385,0)</f>
        <v>0.0312912346842601</v>
      </c>
      <c r="G385" s="4" t="n">
        <v>154</v>
      </c>
      <c r="H385" s="8" t="n">
        <v>103</v>
      </c>
    </row>
    <row r="386" customFormat="false" ht="16.4" hidden="false" customHeight="false" outlineLevel="0" collapsed="false">
      <c r="A386" s="6" t="n">
        <v>46163</v>
      </c>
      <c r="B386" s="4" t="s">
        <v>4654</v>
      </c>
      <c r="C386" s="4" t="s">
        <v>4657</v>
      </c>
      <c r="D386" s="4" t="n">
        <v>4584</v>
      </c>
      <c r="E386" s="4" t="n">
        <v>80</v>
      </c>
      <c r="F386" s="19" t="n">
        <f aca="false">IFERROR(E386/D386,0)</f>
        <v>0.0174520069808028</v>
      </c>
      <c r="G386" s="4" t="n">
        <v>220</v>
      </c>
      <c r="H386" s="8" t="n">
        <v>64.4</v>
      </c>
    </row>
    <row r="387" customFormat="false" ht="16.4" hidden="false" customHeight="false" outlineLevel="0" collapsed="false">
      <c r="A387" s="6" t="n">
        <v>46054</v>
      </c>
      <c r="B387" s="4" t="s">
        <v>4654</v>
      </c>
      <c r="C387" s="4" t="s">
        <v>4660</v>
      </c>
      <c r="D387" s="4" t="n">
        <v>5490</v>
      </c>
      <c r="E387" s="4" t="n">
        <v>60</v>
      </c>
      <c r="F387" s="19" t="n">
        <f aca="false">IFERROR(E387/D387,0)</f>
        <v>0.0109289617486339</v>
      </c>
      <c r="G387" s="4" t="n">
        <v>166</v>
      </c>
      <c r="H387" s="8" t="n">
        <v>53.4</v>
      </c>
    </row>
    <row r="388" customFormat="false" ht="16.4" hidden="false" customHeight="false" outlineLevel="0" collapsed="false">
      <c r="A388" s="6" t="n">
        <v>45718</v>
      </c>
      <c r="B388" s="4" t="s">
        <v>4654</v>
      </c>
      <c r="C388" s="4" t="s">
        <v>4660</v>
      </c>
      <c r="D388" s="4" t="n">
        <v>5413</v>
      </c>
      <c r="E388" s="4" t="n">
        <v>219</v>
      </c>
      <c r="F388" s="19" t="n">
        <f aca="false">IFERROR(E388/D388,0)</f>
        <v>0.040458156290412</v>
      </c>
      <c r="G388" s="4" t="n">
        <v>183</v>
      </c>
      <c r="H388" s="8" t="n">
        <v>157.5</v>
      </c>
    </row>
    <row r="389" customFormat="false" ht="16.4" hidden="false" customHeight="false" outlineLevel="0" collapsed="false">
      <c r="A389" s="6" t="n">
        <v>45997</v>
      </c>
      <c r="B389" s="4" t="s">
        <v>4654</v>
      </c>
      <c r="C389" s="4" t="s">
        <v>4660</v>
      </c>
      <c r="D389" s="4" t="n">
        <v>4036</v>
      </c>
      <c r="E389" s="4" t="n">
        <v>165</v>
      </c>
      <c r="F389" s="19" t="n">
        <f aca="false">IFERROR(E389/D389,0)</f>
        <v>0.0408820614469772</v>
      </c>
      <c r="G389" s="4" t="n">
        <v>220</v>
      </c>
      <c r="H389" s="8" t="n">
        <v>86.5</v>
      </c>
    </row>
    <row r="390" customFormat="false" ht="16.4" hidden="false" customHeight="false" outlineLevel="0" collapsed="false">
      <c r="A390" s="6" t="n">
        <v>45868</v>
      </c>
      <c r="B390" s="4" t="s">
        <v>4656</v>
      </c>
      <c r="C390" s="4" t="s">
        <v>4660</v>
      </c>
      <c r="D390" s="4" t="n">
        <v>3288</v>
      </c>
      <c r="E390" s="4" t="n">
        <v>91</v>
      </c>
      <c r="F390" s="19" t="n">
        <f aca="false">IFERROR(E390/D390,0)</f>
        <v>0.027676399026764</v>
      </c>
      <c r="G390" s="4" t="n">
        <v>159</v>
      </c>
      <c r="H390" s="8" t="n">
        <v>249.7</v>
      </c>
    </row>
    <row r="391" customFormat="false" ht="16.4" hidden="false" customHeight="false" outlineLevel="0" collapsed="false">
      <c r="A391" s="6" t="n">
        <v>46121</v>
      </c>
      <c r="B391" s="4" t="s">
        <v>4658</v>
      </c>
      <c r="C391" s="4" t="s">
        <v>4657</v>
      </c>
      <c r="D391" s="4" t="n">
        <v>3860</v>
      </c>
      <c r="E391" s="4" t="n">
        <v>5</v>
      </c>
      <c r="F391" s="19" t="n">
        <f aca="false">IFERROR(E391/D391,0)</f>
        <v>0.00129533678756477</v>
      </c>
      <c r="G391" s="4" t="n">
        <v>219</v>
      </c>
      <c r="H391" s="8" t="n">
        <v>192.9</v>
      </c>
    </row>
    <row r="392" customFormat="false" ht="16.4" hidden="false" customHeight="false" outlineLevel="0" collapsed="false">
      <c r="A392" s="6" t="n">
        <v>46086</v>
      </c>
      <c r="B392" s="4" t="s">
        <v>4656</v>
      </c>
      <c r="C392" s="4" t="s">
        <v>4660</v>
      </c>
      <c r="D392" s="4" t="n">
        <v>3268</v>
      </c>
      <c r="E392" s="4" t="n">
        <v>0</v>
      </c>
      <c r="F392" s="19" t="n">
        <f aca="false">IFERROR(E392/D392,0)</f>
        <v>0</v>
      </c>
      <c r="G392" s="4" t="n">
        <v>192</v>
      </c>
      <c r="H392" s="8" t="n">
        <v>155.6</v>
      </c>
    </row>
    <row r="393" customFormat="false" ht="16.4" hidden="false" customHeight="false" outlineLevel="0" collapsed="false">
      <c r="A393" s="6" t="n">
        <v>45703</v>
      </c>
      <c r="B393" s="4" t="s">
        <v>4658</v>
      </c>
      <c r="C393" s="4" t="s">
        <v>4657</v>
      </c>
      <c r="D393" s="4" t="n">
        <v>977</v>
      </c>
      <c r="E393" s="4" t="n">
        <v>10</v>
      </c>
      <c r="F393" s="19" t="n">
        <f aca="false">IFERROR(E393/D393,0)</f>
        <v>0.0102354145342886</v>
      </c>
      <c r="G393" s="4" t="n">
        <v>183</v>
      </c>
      <c r="H393" s="8" t="n">
        <v>298.3</v>
      </c>
    </row>
    <row r="394" customFormat="false" ht="16.4" hidden="false" customHeight="false" outlineLevel="0" collapsed="false">
      <c r="A394" s="6" t="n">
        <v>45705</v>
      </c>
      <c r="B394" s="4" t="s">
        <v>4654</v>
      </c>
      <c r="C394" s="4" t="s">
        <v>4655</v>
      </c>
      <c r="D394" s="4" t="n">
        <v>5428</v>
      </c>
      <c r="E394" s="4" t="n">
        <v>87</v>
      </c>
      <c r="F394" s="19" t="n">
        <f aca="false">IFERROR(E394/D394,0)</f>
        <v>0.0160280029476787</v>
      </c>
      <c r="G394" s="4" t="n">
        <v>197</v>
      </c>
      <c r="H394" s="8" t="n">
        <v>61.8</v>
      </c>
    </row>
    <row r="395" customFormat="false" ht="16.4" hidden="false" customHeight="false" outlineLevel="0" collapsed="false">
      <c r="A395" s="6" t="n">
        <v>45964</v>
      </c>
      <c r="B395" s="4" t="s">
        <v>4654</v>
      </c>
      <c r="C395" s="4" t="s">
        <v>4657</v>
      </c>
      <c r="D395" s="4" t="n">
        <v>3842</v>
      </c>
      <c r="E395" s="4" t="n">
        <v>198</v>
      </c>
      <c r="F395" s="19" t="n">
        <f aca="false">IFERROR(E395/D395,0)</f>
        <v>0.0515356585111921</v>
      </c>
      <c r="G395" s="4" t="n">
        <v>8</v>
      </c>
      <c r="H395" s="8" t="n">
        <v>118.3</v>
      </c>
    </row>
    <row r="396" customFormat="false" ht="16.4" hidden="false" customHeight="false" outlineLevel="0" collapsed="false">
      <c r="A396" s="6" t="n">
        <v>45693</v>
      </c>
      <c r="B396" s="4" t="s">
        <v>4654</v>
      </c>
      <c r="C396" s="4" t="s">
        <v>4655</v>
      </c>
      <c r="D396" s="4" t="n">
        <v>5241</v>
      </c>
      <c r="E396" s="4" t="n">
        <v>293</v>
      </c>
      <c r="F396" s="19" t="n">
        <f aca="false">IFERROR(E396/D396,0)</f>
        <v>0.055905361572219</v>
      </c>
      <c r="G396" s="4" t="n">
        <v>230</v>
      </c>
      <c r="H396" s="8" t="n">
        <v>83.9</v>
      </c>
    </row>
    <row r="397" customFormat="false" ht="16.4" hidden="false" customHeight="false" outlineLevel="0" collapsed="false">
      <c r="A397" s="6" t="n">
        <v>45869</v>
      </c>
      <c r="B397" s="4" t="s">
        <v>4654</v>
      </c>
      <c r="C397" s="4" t="s">
        <v>4655</v>
      </c>
      <c r="D397" s="4" t="n">
        <v>2376</v>
      </c>
      <c r="E397" s="4" t="n">
        <v>63</v>
      </c>
      <c r="F397" s="19" t="n">
        <f aca="false">IFERROR(E397/D397,0)</f>
        <v>0.0265151515151515</v>
      </c>
      <c r="G397" s="4" t="n">
        <v>42</v>
      </c>
      <c r="H397" s="8" t="n">
        <v>108.5</v>
      </c>
    </row>
    <row r="398" customFormat="false" ht="16.4" hidden="false" customHeight="false" outlineLevel="0" collapsed="false">
      <c r="A398" s="6" t="n">
        <v>45815</v>
      </c>
      <c r="B398" s="4" t="s">
        <v>4659</v>
      </c>
      <c r="C398" s="4" t="s">
        <v>4657</v>
      </c>
      <c r="D398" s="4" t="n">
        <v>1350</v>
      </c>
      <c r="E398" s="4" t="n">
        <v>5</v>
      </c>
      <c r="F398" s="19" t="n">
        <f aca="false">IFERROR(E398/D398,0)</f>
        <v>0.0037037037037037</v>
      </c>
      <c r="G398" s="4" t="n">
        <v>206</v>
      </c>
      <c r="H398" s="8" t="n">
        <v>132.8</v>
      </c>
    </row>
    <row r="399" customFormat="false" ht="16.4" hidden="false" customHeight="false" outlineLevel="0" collapsed="false">
      <c r="A399" s="6" t="n">
        <v>45889</v>
      </c>
      <c r="B399" s="4" t="s">
        <v>4659</v>
      </c>
      <c r="C399" s="4" t="s">
        <v>4660</v>
      </c>
      <c r="D399" s="4" t="n">
        <v>1286</v>
      </c>
      <c r="E399" s="4" t="n">
        <v>14</v>
      </c>
      <c r="F399" s="19" t="n">
        <f aca="false">IFERROR(E399/D399,0)</f>
        <v>0.0108864696734059</v>
      </c>
      <c r="G399" s="4" t="n">
        <v>84</v>
      </c>
      <c r="H399" s="8" t="n">
        <v>262.9</v>
      </c>
    </row>
    <row r="400" customFormat="false" ht="16.4" hidden="false" customHeight="false" outlineLevel="0" collapsed="false">
      <c r="A400" s="6" t="n">
        <v>46072</v>
      </c>
      <c r="B400" s="4" t="s">
        <v>4659</v>
      </c>
      <c r="C400" s="4" t="s">
        <v>4657</v>
      </c>
      <c r="D400" s="4" t="n">
        <v>1073</v>
      </c>
      <c r="E400" s="4" t="n">
        <v>28</v>
      </c>
      <c r="F400" s="19" t="n">
        <f aca="false">IFERROR(E400/D400,0)</f>
        <v>0.0260950605778192</v>
      </c>
      <c r="G400" s="4" t="n">
        <v>200</v>
      </c>
      <c r="H400" s="8" t="n">
        <v>98.3</v>
      </c>
    </row>
    <row r="401" customFormat="false" ht="16.4" hidden="false" customHeight="false" outlineLevel="0" collapsed="false">
      <c r="A401" s="6" t="n">
        <v>45855</v>
      </c>
      <c r="B401" s="4" t="s">
        <v>4654</v>
      </c>
      <c r="C401" s="4" t="s">
        <v>4660</v>
      </c>
      <c r="D401" s="4" t="n">
        <v>2386</v>
      </c>
      <c r="E401" s="4" t="n">
        <v>62</v>
      </c>
      <c r="F401" s="19" t="n">
        <f aca="false">IFERROR(E401/D401,0)</f>
        <v>0.0259849119865884</v>
      </c>
      <c r="G401" s="4" t="n">
        <v>217</v>
      </c>
      <c r="H401" s="8" t="n">
        <v>109</v>
      </c>
    </row>
    <row r="402" customFormat="false" ht="16.4" hidden="false" customHeight="false" outlineLevel="0" collapsed="false">
      <c r="A402" s="6" t="n">
        <v>45793</v>
      </c>
      <c r="B402" s="4" t="s">
        <v>4658</v>
      </c>
      <c r="C402" s="4" t="s">
        <v>4657</v>
      </c>
      <c r="D402" s="4" t="n">
        <v>2137</v>
      </c>
      <c r="E402" s="4" t="n">
        <v>109</v>
      </c>
      <c r="F402" s="19" t="n">
        <f aca="false">IFERROR(E402/D402,0)</f>
        <v>0.0510060832943379</v>
      </c>
      <c r="G402" s="4" t="n">
        <v>6</v>
      </c>
      <c r="H402" s="8" t="n">
        <v>137.1</v>
      </c>
    </row>
    <row r="403" customFormat="false" ht="16.4" hidden="false" customHeight="false" outlineLevel="0" collapsed="false">
      <c r="A403" s="6" t="n">
        <v>45783</v>
      </c>
      <c r="B403" s="4" t="s">
        <v>4654</v>
      </c>
      <c r="C403" s="4" t="s">
        <v>4660</v>
      </c>
      <c r="D403" s="4" t="n">
        <v>5210</v>
      </c>
      <c r="E403" s="4" t="n">
        <v>118</v>
      </c>
      <c r="F403" s="19" t="n">
        <f aca="false">IFERROR(E403/D403,0)</f>
        <v>0.0226487523992322</v>
      </c>
      <c r="G403" s="4" t="n">
        <v>192</v>
      </c>
      <c r="H403" s="8" t="n">
        <v>115.7</v>
      </c>
    </row>
    <row r="404" customFormat="false" ht="16.4" hidden="false" customHeight="false" outlineLevel="0" collapsed="false">
      <c r="A404" s="6" t="n">
        <v>46112</v>
      </c>
      <c r="B404" s="4" t="s">
        <v>4659</v>
      </c>
      <c r="C404" s="4" t="s">
        <v>4657</v>
      </c>
      <c r="D404" s="4" t="n">
        <v>2124</v>
      </c>
      <c r="E404" s="4" t="n">
        <v>14</v>
      </c>
      <c r="F404" s="19" t="n">
        <f aca="false">IFERROR(E404/D404,0)</f>
        <v>0.00659133709981168</v>
      </c>
      <c r="G404" s="4" t="n">
        <v>100</v>
      </c>
      <c r="H404" s="8" t="n">
        <v>127.7</v>
      </c>
    </row>
    <row r="405" customFormat="false" ht="16.4" hidden="false" customHeight="false" outlineLevel="0" collapsed="false">
      <c r="A405" s="6" t="n">
        <v>45778</v>
      </c>
      <c r="B405" s="4" t="s">
        <v>4654</v>
      </c>
      <c r="C405" s="4" t="s">
        <v>4655</v>
      </c>
      <c r="D405" s="4" t="n">
        <v>1896</v>
      </c>
      <c r="E405" s="4" t="n">
        <v>7</v>
      </c>
      <c r="F405" s="19" t="n">
        <f aca="false">IFERROR(E405/D405,0)</f>
        <v>0.00369198312236287</v>
      </c>
      <c r="G405" s="4" t="n">
        <v>127</v>
      </c>
      <c r="H405" s="8" t="n">
        <v>152.4</v>
      </c>
    </row>
    <row r="406" customFormat="false" ht="16.4" hidden="false" customHeight="false" outlineLevel="0" collapsed="false">
      <c r="A406" s="6" t="n">
        <v>46128</v>
      </c>
      <c r="B406" s="4" t="s">
        <v>4659</v>
      </c>
      <c r="C406" s="4" t="s">
        <v>4657</v>
      </c>
      <c r="D406" s="4" t="n">
        <v>1416</v>
      </c>
      <c r="E406" s="4" t="n">
        <v>61</v>
      </c>
      <c r="F406" s="19" t="n">
        <f aca="false">IFERROR(E406/D406,0)</f>
        <v>0.0430790960451977</v>
      </c>
      <c r="G406" s="4" t="n">
        <v>95</v>
      </c>
      <c r="H406" s="8" t="n">
        <v>117.8</v>
      </c>
    </row>
    <row r="407" customFormat="false" ht="16.4" hidden="false" customHeight="false" outlineLevel="0" collapsed="false">
      <c r="A407" s="6" t="n">
        <v>46051</v>
      </c>
      <c r="B407" s="4" t="s">
        <v>4654</v>
      </c>
      <c r="C407" s="4" t="s">
        <v>4657</v>
      </c>
      <c r="D407" s="4" t="n">
        <v>1337</v>
      </c>
      <c r="E407" s="4" t="n">
        <v>1</v>
      </c>
      <c r="F407" s="19" t="n">
        <f aca="false">IFERROR(E407/D407,0)</f>
        <v>0.00074794315632012</v>
      </c>
      <c r="G407" s="4" t="n">
        <v>198</v>
      </c>
      <c r="H407" s="8" t="n">
        <v>282.7</v>
      </c>
    </row>
    <row r="408" customFormat="false" ht="16.4" hidden="false" customHeight="false" outlineLevel="0" collapsed="false">
      <c r="A408" s="6" t="n">
        <v>45866</v>
      </c>
      <c r="B408" s="4" t="s">
        <v>4656</v>
      </c>
      <c r="C408" s="4" t="s">
        <v>4660</v>
      </c>
      <c r="D408" s="4" t="n">
        <v>1561</v>
      </c>
      <c r="E408" s="4" t="n">
        <v>72</v>
      </c>
      <c r="F408" s="19" t="n">
        <f aca="false">IFERROR(E408/D408,0)</f>
        <v>0.0461242793081358</v>
      </c>
      <c r="G408" s="4" t="n">
        <v>159</v>
      </c>
      <c r="H408" s="8" t="n">
        <v>316.1</v>
      </c>
    </row>
    <row r="409" customFormat="false" ht="16.4" hidden="false" customHeight="false" outlineLevel="0" collapsed="false">
      <c r="A409" s="6" t="n">
        <v>45793</v>
      </c>
      <c r="B409" s="4" t="s">
        <v>4654</v>
      </c>
      <c r="C409" s="4" t="s">
        <v>4660</v>
      </c>
      <c r="D409" s="4" t="n">
        <v>1601</v>
      </c>
      <c r="E409" s="4" t="n">
        <v>75</v>
      </c>
      <c r="F409" s="19" t="n">
        <f aca="false">IFERROR(E409/D409,0)</f>
        <v>0.0468457214241099</v>
      </c>
      <c r="G409" s="4" t="n">
        <v>114</v>
      </c>
      <c r="H409" s="8" t="n">
        <v>61.3</v>
      </c>
    </row>
    <row r="410" customFormat="false" ht="16.4" hidden="false" customHeight="false" outlineLevel="0" collapsed="false">
      <c r="A410" s="6" t="n">
        <v>46151</v>
      </c>
      <c r="B410" s="4" t="s">
        <v>4659</v>
      </c>
      <c r="C410" s="4" t="s">
        <v>4655</v>
      </c>
      <c r="D410" s="4" t="n">
        <v>2676</v>
      </c>
      <c r="E410" s="4" t="n">
        <v>25</v>
      </c>
      <c r="F410" s="19" t="n">
        <f aca="false">IFERROR(E410/D410,0)</f>
        <v>0.00934230194319881</v>
      </c>
      <c r="G410" s="4" t="n">
        <v>184</v>
      </c>
      <c r="H410" s="8" t="n">
        <v>152.2</v>
      </c>
    </row>
    <row r="411" customFormat="false" ht="16.4" hidden="false" customHeight="false" outlineLevel="0" collapsed="false">
      <c r="A411" s="6" t="n">
        <v>46142</v>
      </c>
      <c r="B411" s="4" t="s">
        <v>4659</v>
      </c>
      <c r="C411" s="4" t="s">
        <v>4655</v>
      </c>
      <c r="D411" s="4" t="n">
        <v>4269</v>
      </c>
      <c r="E411" s="4" t="n">
        <v>140</v>
      </c>
      <c r="F411" s="19" t="n">
        <f aca="false">IFERROR(E411/D411,0)</f>
        <v>0.0327945654720075</v>
      </c>
      <c r="G411" s="4" t="n">
        <v>170</v>
      </c>
      <c r="H411" s="8" t="n">
        <v>278.9</v>
      </c>
    </row>
    <row r="412" customFormat="false" ht="16.4" hidden="false" customHeight="false" outlineLevel="0" collapsed="false">
      <c r="A412" s="6" t="n">
        <v>46050</v>
      </c>
      <c r="B412" s="4" t="s">
        <v>4658</v>
      </c>
      <c r="C412" s="4" t="s">
        <v>4655</v>
      </c>
      <c r="D412" s="4" t="n">
        <v>4065</v>
      </c>
      <c r="E412" s="4" t="n">
        <v>64</v>
      </c>
      <c r="F412" s="19" t="n">
        <f aca="false">IFERROR(E412/D412,0)</f>
        <v>0.0157441574415744</v>
      </c>
      <c r="G412" s="4" t="n">
        <v>179</v>
      </c>
      <c r="H412" s="8" t="n">
        <v>47.1</v>
      </c>
    </row>
    <row r="413" customFormat="false" ht="16.4" hidden="false" customHeight="false" outlineLevel="0" collapsed="false">
      <c r="A413" s="6" t="n">
        <v>46117</v>
      </c>
      <c r="B413" s="4" t="s">
        <v>4654</v>
      </c>
      <c r="C413" s="4" t="s">
        <v>4655</v>
      </c>
      <c r="D413" s="4" t="n">
        <v>4287</v>
      </c>
      <c r="E413" s="4" t="n">
        <v>61</v>
      </c>
      <c r="F413" s="19" t="n">
        <f aca="false">IFERROR(E413/D413,0)</f>
        <v>0.0142290646139491</v>
      </c>
      <c r="G413" s="4" t="n">
        <v>1</v>
      </c>
      <c r="H413" s="8" t="n">
        <v>199.9</v>
      </c>
    </row>
    <row r="414" customFormat="false" ht="16.4" hidden="false" customHeight="false" outlineLevel="0" collapsed="false">
      <c r="A414" s="6" t="n">
        <v>46203</v>
      </c>
      <c r="B414" s="4" t="s">
        <v>4659</v>
      </c>
      <c r="C414" s="4" t="s">
        <v>4660</v>
      </c>
      <c r="D414" s="4" t="n">
        <v>2097</v>
      </c>
      <c r="E414" s="4" t="n">
        <v>84</v>
      </c>
      <c r="F414" s="19" t="n">
        <f aca="false">IFERROR(E414/D414,0)</f>
        <v>0.0400572246065808</v>
      </c>
      <c r="G414" s="4" t="n">
        <v>223</v>
      </c>
      <c r="H414" s="8" t="n">
        <v>78.5</v>
      </c>
    </row>
    <row r="415" customFormat="false" ht="16.4" hidden="false" customHeight="false" outlineLevel="0" collapsed="false">
      <c r="A415" s="6" t="n">
        <v>45828</v>
      </c>
      <c r="B415" s="4" t="s">
        <v>4658</v>
      </c>
      <c r="C415" s="4" t="s">
        <v>4655</v>
      </c>
      <c r="D415" s="4" t="n">
        <v>1300</v>
      </c>
      <c r="E415" s="4" t="n">
        <v>24</v>
      </c>
      <c r="F415" s="19" t="n">
        <f aca="false">IFERROR(E415/D415,0)</f>
        <v>0.0184615384615385</v>
      </c>
      <c r="G415" s="4" t="n">
        <v>90</v>
      </c>
      <c r="H415" s="8" t="n">
        <v>233.5</v>
      </c>
    </row>
    <row r="416" customFormat="false" ht="16.4" hidden="false" customHeight="false" outlineLevel="0" collapsed="false">
      <c r="A416" s="6" t="n">
        <v>45668</v>
      </c>
      <c r="B416" s="4" t="s">
        <v>4659</v>
      </c>
      <c r="C416" s="4" t="s">
        <v>4655</v>
      </c>
      <c r="D416" s="4" t="n">
        <v>3518</v>
      </c>
      <c r="E416" s="4" t="n">
        <v>90</v>
      </c>
      <c r="F416" s="19" t="n">
        <f aca="false">IFERROR(E416/D416,0)</f>
        <v>0.0255827174530984</v>
      </c>
      <c r="G416" s="4" t="n">
        <v>69</v>
      </c>
      <c r="H416" s="8" t="n">
        <v>98.8</v>
      </c>
    </row>
    <row r="417" customFormat="false" ht="16.4" hidden="false" customHeight="false" outlineLevel="0" collapsed="false">
      <c r="A417" s="6" t="n">
        <v>45765</v>
      </c>
      <c r="B417" s="4" t="s">
        <v>4659</v>
      </c>
      <c r="C417" s="4" t="s">
        <v>4655</v>
      </c>
      <c r="D417" s="4" t="n">
        <v>1943</v>
      </c>
      <c r="E417" s="4" t="n">
        <v>12</v>
      </c>
      <c r="F417" s="19" t="n">
        <f aca="false">IFERROR(E417/D417,0)</f>
        <v>0.00617601646937725</v>
      </c>
      <c r="G417" s="4" t="n">
        <v>170</v>
      </c>
      <c r="H417" s="8" t="n">
        <v>275.6</v>
      </c>
    </row>
    <row r="418" customFormat="false" ht="16.4" hidden="false" customHeight="false" outlineLevel="0" collapsed="false">
      <c r="A418" s="6" t="n">
        <v>46154</v>
      </c>
      <c r="B418" s="4" t="s">
        <v>4656</v>
      </c>
      <c r="C418" s="4" t="s">
        <v>4657</v>
      </c>
      <c r="D418" s="4" t="n">
        <v>5038</v>
      </c>
      <c r="E418" s="4" t="n">
        <v>226</v>
      </c>
      <c r="F418" s="19" t="n">
        <f aca="false">IFERROR(E418/D418,0)</f>
        <v>0.0448590710599444</v>
      </c>
      <c r="G418" s="4" t="n">
        <v>35</v>
      </c>
      <c r="H418" s="8" t="n">
        <v>113.1</v>
      </c>
    </row>
    <row r="419" customFormat="false" ht="16.4" hidden="false" customHeight="false" outlineLevel="0" collapsed="false">
      <c r="A419" s="6" t="n">
        <v>45915</v>
      </c>
      <c r="B419" s="4" t="s">
        <v>4654</v>
      </c>
      <c r="C419" s="4" t="s">
        <v>4655</v>
      </c>
      <c r="D419" s="4" t="n">
        <v>1839</v>
      </c>
      <c r="E419" s="4" t="n">
        <v>47</v>
      </c>
      <c r="F419" s="19" t="n">
        <f aca="false">IFERROR(E419/D419,0)</f>
        <v>0.0255573681348559</v>
      </c>
      <c r="G419" s="4" t="n">
        <v>23</v>
      </c>
      <c r="H419" s="8" t="n">
        <v>180.5</v>
      </c>
    </row>
    <row r="420" customFormat="false" ht="16.4" hidden="false" customHeight="false" outlineLevel="0" collapsed="false">
      <c r="A420" s="6" t="n">
        <v>45987</v>
      </c>
      <c r="B420" s="4" t="s">
        <v>4658</v>
      </c>
      <c r="C420" s="4" t="s">
        <v>4657</v>
      </c>
      <c r="D420" s="4" t="n">
        <v>2735</v>
      </c>
      <c r="E420" s="4" t="n">
        <v>65</v>
      </c>
      <c r="F420" s="19" t="n">
        <f aca="false">IFERROR(E420/D420,0)</f>
        <v>0.0237659963436929</v>
      </c>
      <c r="G420" s="4" t="n">
        <v>46</v>
      </c>
      <c r="H420" s="8" t="n">
        <v>246.1</v>
      </c>
    </row>
    <row r="421" customFormat="false" ht="16.4" hidden="false" customHeight="false" outlineLevel="0" collapsed="false">
      <c r="A421" s="6" t="n">
        <v>46152</v>
      </c>
      <c r="B421" s="4" t="s">
        <v>4656</v>
      </c>
      <c r="C421" s="4" t="s">
        <v>4655</v>
      </c>
      <c r="D421" s="4" t="n">
        <v>860</v>
      </c>
      <c r="E421" s="4" t="n">
        <v>19</v>
      </c>
      <c r="F421" s="19" t="n">
        <f aca="false">IFERROR(E421/D421,0)</f>
        <v>0.022093023255814</v>
      </c>
      <c r="G421" s="4" t="n">
        <v>110</v>
      </c>
      <c r="H421" s="8" t="n">
        <v>178</v>
      </c>
    </row>
    <row r="422" customFormat="false" ht="16.4" hidden="false" customHeight="false" outlineLevel="0" collapsed="false">
      <c r="A422" s="6" t="n">
        <v>45861</v>
      </c>
      <c r="B422" s="4" t="s">
        <v>4654</v>
      </c>
      <c r="C422" s="4" t="s">
        <v>4655</v>
      </c>
      <c r="D422" s="4" t="n">
        <v>3931</v>
      </c>
      <c r="E422" s="4" t="n">
        <v>212</v>
      </c>
      <c r="F422" s="19" t="n">
        <f aca="false">IFERROR(E422/D422,0)</f>
        <v>0.0539302976341898</v>
      </c>
      <c r="G422" s="4" t="n">
        <v>193</v>
      </c>
      <c r="H422" s="8" t="n">
        <v>87.6</v>
      </c>
    </row>
    <row r="423" customFormat="false" ht="16.4" hidden="false" customHeight="false" outlineLevel="0" collapsed="false">
      <c r="A423" s="6" t="n">
        <v>46020</v>
      </c>
      <c r="B423" s="4" t="s">
        <v>4658</v>
      </c>
      <c r="C423" s="4" t="s">
        <v>4660</v>
      </c>
      <c r="D423" s="4" t="n">
        <v>5372</v>
      </c>
      <c r="E423" s="4" t="n">
        <v>220</v>
      </c>
      <c r="F423" s="19" t="n">
        <f aca="false">IFERROR(E423/D423,0)</f>
        <v>0.0409530900967982</v>
      </c>
      <c r="G423" s="4" t="n">
        <v>223</v>
      </c>
      <c r="H423" s="8" t="n">
        <v>212.9</v>
      </c>
    </row>
    <row r="424" customFormat="false" ht="16.4" hidden="false" customHeight="false" outlineLevel="0" collapsed="false">
      <c r="A424" s="6" t="n">
        <v>46006</v>
      </c>
      <c r="B424" s="4" t="s">
        <v>4656</v>
      </c>
      <c r="C424" s="4" t="s">
        <v>4657</v>
      </c>
      <c r="D424" s="4" t="n">
        <v>1268</v>
      </c>
      <c r="E424" s="4" t="n">
        <v>21</v>
      </c>
      <c r="F424" s="19" t="n">
        <f aca="false">IFERROR(E424/D424,0)</f>
        <v>0.0165615141955836</v>
      </c>
      <c r="G424" s="4" t="n">
        <v>138</v>
      </c>
      <c r="H424" s="8" t="n">
        <v>226.3</v>
      </c>
    </row>
    <row r="425" customFormat="false" ht="16.4" hidden="false" customHeight="false" outlineLevel="0" collapsed="false">
      <c r="A425" s="6" t="n">
        <v>45716</v>
      </c>
      <c r="B425" s="4" t="s">
        <v>4659</v>
      </c>
      <c r="C425" s="4" t="s">
        <v>4657</v>
      </c>
      <c r="D425" s="4" t="n">
        <v>4349</v>
      </c>
      <c r="E425" s="4" t="n">
        <v>140</v>
      </c>
      <c r="F425" s="19" t="n">
        <f aca="false">IFERROR(E425/D425,0)</f>
        <v>0.0321913083467464</v>
      </c>
      <c r="G425" s="4" t="n">
        <v>128</v>
      </c>
      <c r="H425" s="8" t="n">
        <v>260</v>
      </c>
    </row>
    <row r="426" customFormat="false" ht="16.4" hidden="false" customHeight="false" outlineLevel="0" collapsed="false">
      <c r="A426" s="6" t="n">
        <v>46197</v>
      </c>
      <c r="B426" s="4" t="s">
        <v>4654</v>
      </c>
      <c r="C426" s="4" t="s">
        <v>4657</v>
      </c>
      <c r="D426" s="4" t="n">
        <v>3743</v>
      </c>
      <c r="E426" s="4" t="n">
        <v>188</v>
      </c>
      <c r="F426" s="19" t="n">
        <f aca="false">IFERROR(E426/D426,0)</f>
        <v>0.0502270905690623</v>
      </c>
      <c r="G426" s="4" t="n">
        <v>138</v>
      </c>
      <c r="H426" s="8" t="n">
        <v>88.1</v>
      </c>
    </row>
    <row r="427" customFormat="false" ht="16.4" hidden="false" customHeight="false" outlineLevel="0" collapsed="false">
      <c r="A427" s="6" t="n">
        <v>46105</v>
      </c>
      <c r="B427" s="4" t="s">
        <v>4656</v>
      </c>
      <c r="C427" s="4" t="s">
        <v>4655</v>
      </c>
      <c r="D427" s="4" t="n">
        <v>3426</v>
      </c>
      <c r="E427" s="4" t="n">
        <v>179</v>
      </c>
      <c r="F427" s="19" t="n">
        <f aca="false">IFERROR(E427/D427,0)</f>
        <v>0.0522475189725628</v>
      </c>
      <c r="G427" s="4" t="n">
        <v>103</v>
      </c>
      <c r="H427" s="8" t="n">
        <v>260.8</v>
      </c>
    </row>
    <row r="428" customFormat="false" ht="16.4" hidden="false" customHeight="false" outlineLevel="0" collapsed="false">
      <c r="A428" s="6" t="n">
        <v>46178</v>
      </c>
      <c r="B428" s="4" t="s">
        <v>4659</v>
      </c>
      <c r="C428" s="4" t="s">
        <v>4660</v>
      </c>
      <c r="D428" s="4" t="n">
        <v>947</v>
      </c>
      <c r="E428" s="4" t="n">
        <v>47</v>
      </c>
      <c r="F428" s="19" t="n">
        <f aca="false">IFERROR(E428/D428,0)</f>
        <v>0.0496304118268215</v>
      </c>
      <c r="G428" s="4" t="n">
        <v>123</v>
      </c>
      <c r="H428" s="8" t="n">
        <v>75.1</v>
      </c>
    </row>
    <row r="429" customFormat="false" ht="16.4" hidden="false" customHeight="false" outlineLevel="0" collapsed="false">
      <c r="A429" s="6" t="n">
        <v>45970</v>
      </c>
      <c r="B429" s="4" t="s">
        <v>4654</v>
      </c>
      <c r="C429" s="4" t="s">
        <v>4657</v>
      </c>
      <c r="D429" s="4" t="n">
        <v>2178</v>
      </c>
      <c r="E429" s="4" t="n">
        <v>92</v>
      </c>
      <c r="F429" s="19" t="n">
        <f aca="false">IFERROR(E429/D429,0)</f>
        <v>0.0422405876951332</v>
      </c>
      <c r="G429" s="4" t="n">
        <v>223</v>
      </c>
      <c r="H429" s="8" t="n">
        <v>129.3</v>
      </c>
    </row>
    <row r="430" customFormat="false" ht="16.4" hidden="false" customHeight="false" outlineLevel="0" collapsed="false">
      <c r="A430" s="6" t="n">
        <v>46059</v>
      </c>
      <c r="B430" s="4" t="s">
        <v>4654</v>
      </c>
      <c r="C430" s="4" t="s">
        <v>4657</v>
      </c>
      <c r="D430" s="4" t="n">
        <v>3857</v>
      </c>
      <c r="E430" s="4" t="n">
        <v>20</v>
      </c>
      <c r="F430" s="19" t="n">
        <f aca="false">IFERROR(E430/D430,0)</f>
        <v>0.00518537723619393</v>
      </c>
      <c r="G430" s="4" t="n">
        <v>40</v>
      </c>
      <c r="H430" s="8" t="n">
        <v>88.3</v>
      </c>
    </row>
    <row r="431" customFormat="false" ht="16.4" hidden="false" customHeight="false" outlineLevel="0" collapsed="false">
      <c r="A431" s="6" t="n">
        <v>45766</v>
      </c>
      <c r="B431" s="4" t="s">
        <v>4654</v>
      </c>
      <c r="C431" s="4" t="s">
        <v>4660</v>
      </c>
      <c r="D431" s="4" t="n">
        <v>3670</v>
      </c>
      <c r="E431" s="4" t="n">
        <v>2</v>
      </c>
      <c r="F431" s="19" t="n">
        <f aca="false">IFERROR(E431/D431,0)</f>
        <v>0.000544959128065395</v>
      </c>
      <c r="G431" s="4" t="n">
        <v>186</v>
      </c>
      <c r="H431" s="8" t="n">
        <v>262.8</v>
      </c>
    </row>
    <row r="432" customFormat="false" ht="16.4" hidden="false" customHeight="false" outlineLevel="0" collapsed="false">
      <c r="A432" s="6" t="n">
        <v>45965</v>
      </c>
      <c r="B432" s="4" t="s">
        <v>4656</v>
      </c>
      <c r="C432" s="4" t="s">
        <v>4655</v>
      </c>
      <c r="D432" s="4" t="n">
        <v>4123</v>
      </c>
      <c r="E432" s="4" t="n">
        <v>43</v>
      </c>
      <c r="F432" s="19" t="n">
        <f aca="false">IFERROR(E432/D432,0)</f>
        <v>0.0104292990540868</v>
      </c>
      <c r="G432" s="4" t="n">
        <v>141</v>
      </c>
      <c r="H432" s="8" t="n">
        <v>155.1</v>
      </c>
    </row>
    <row r="433" customFormat="false" ht="16.4" hidden="false" customHeight="false" outlineLevel="0" collapsed="false">
      <c r="A433" s="6" t="n">
        <v>45671</v>
      </c>
      <c r="B433" s="4" t="s">
        <v>4658</v>
      </c>
      <c r="C433" s="4" t="s">
        <v>4655</v>
      </c>
      <c r="D433" s="4" t="n">
        <v>2863</v>
      </c>
      <c r="E433" s="4" t="n">
        <v>46</v>
      </c>
      <c r="F433" s="19" t="n">
        <f aca="false">IFERROR(E433/D433,0)</f>
        <v>0.0160670625218303</v>
      </c>
      <c r="G433" s="4" t="n">
        <v>202</v>
      </c>
      <c r="H433" s="8" t="n">
        <v>85.5</v>
      </c>
    </row>
    <row r="434" customFormat="false" ht="16.4" hidden="false" customHeight="false" outlineLevel="0" collapsed="false">
      <c r="A434" s="6" t="n">
        <v>45952</v>
      </c>
      <c r="B434" s="4" t="s">
        <v>4654</v>
      </c>
      <c r="C434" s="4" t="s">
        <v>4657</v>
      </c>
      <c r="D434" s="4" t="n">
        <v>3040</v>
      </c>
      <c r="E434" s="4" t="n">
        <v>22</v>
      </c>
      <c r="F434" s="19" t="n">
        <f aca="false">IFERROR(E434/D434,0)</f>
        <v>0.00723684210526316</v>
      </c>
      <c r="G434" s="4" t="n">
        <v>2</v>
      </c>
      <c r="H434" s="8" t="n">
        <v>260.7</v>
      </c>
    </row>
    <row r="435" customFormat="false" ht="16.4" hidden="false" customHeight="false" outlineLevel="0" collapsed="false">
      <c r="A435" s="6" t="n">
        <v>45832</v>
      </c>
      <c r="B435" s="4" t="s">
        <v>4656</v>
      </c>
      <c r="C435" s="4" t="s">
        <v>4655</v>
      </c>
      <c r="D435" s="4" t="n">
        <v>4220</v>
      </c>
      <c r="E435" s="4" t="n">
        <v>100</v>
      </c>
      <c r="F435" s="19" t="n">
        <f aca="false">IFERROR(E435/D435,0)</f>
        <v>0.023696682464455</v>
      </c>
      <c r="G435" s="4" t="n">
        <v>34</v>
      </c>
      <c r="H435" s="8" t="n">
        <v>154.8</v>
      </c>
    </row>
    <row r="436" customFormat="false" ht="16.4" hidden="false" customHeight="false" outlineLevel="0" collapsed="false">
      <c r="A436" s="6" t="n">
        <v>46008</v>
      </c>
      <c r="B436" s="4" t="s">
        <v>4658</v>
      </c>
      <c r="C436" s="4" t="s">
        <v>4657</v>
      </c>
      <c r="D436" s="4" t="n">
        <v>802</v>
      </c>
      <c r="E436" s="4" t="n">
        <v>16</v>
      </c>
      <c r="F436" s="19" t="n">
        <f aca="false">IFERROR(E436/D436,0)</f>
        <v>0.0199501246882793</v>
      </c>
      <c r="G436" s="4" t="n">
        <v>92</v>
      </c>
      <c r="H436" s="8" t="n">
        <v>160.5</v>
      </c>
    </row>
    <row r="437" customFormat="false" ht="16.4" hidden="false" customHeight="false" outlineLevel="0" collapsed="false">
      <c r="A437" s="6" t="n">
        <v>46146</v>
      </c>
      <c r="B437" s="4" t="s">
        <v>4659</v>
      </c>
      <c r="C437" s="4" t="s">
        <v>4657</v>
      </c>
      <c r="D437" s="4" t="n">
        <v>2316</v>
      </c>
      <c r="E437" s="4" t="n">
        <v>17</v>
      </c>
      <c r="F437" s="19" t="n">
        <f aca="false">IFERROR(E437/D437,0)</f>
        <v>0.00734024179620035</v>
      </c>
      <c r="G437" s="4" t="n">
        <v>10</v>
      </c>
      <c r="H437" s="8" t="n">
        <v>45.3</v>
      </c>
    </row>
    <row r="438" customFormat="false" ht="16.4" hidden="false" customHeight="false" outlineLevel="0" collapsed="false">
      <c r="A438" s="6" t="n">
        <v>45734</v>
      </c>
      <c r="B438" s="4" t="s">
        <v>4658</v>
      </c>
      <c r="C438" s="4" t="s">
        <v>4657</v>
      </c>
      <c r="D438" s="4" t="n">
        <v>2697</v>
      </c>
      <c r="E438" s="4" t="n">
        <v>157</v>
      </c>
      <c r="F438" s="19" t="n">
        <f aca="false">IFERROR(E438/D438,0)</f>
        <v>0.0582128290693363</v>
      </c>
      <c r="G438" s="4" t="n">
        <v>194</v>
      </c>
      <c r="H438" s="8" t="n">
        <v>63.6</v>
      </c>
    </row>
    <row r="439" customFormat="false" ht="16.4" hidden="false" customHeight="false" outlineLevel="0" collapsed="false">
      <c r="A439" s="6" t="n">
        <v>46037</v>
      </c>
      <c r="B439" s="4" t="s">
        <v>4654</v>
      </c>
      <c r="C439" s="4" t="s">
        <v>4657</v>
      </c>
      <c r="D439" s="4" t="n">
        <v>2599</v>
      </c>
      <c r="E439" s="4" t="n">
        <v>62</v>
      </c>
      <c r="F439" s="19" t="n">
        <f aca="false">IFERROR(E439/D439,0)</f>
        <v>0.0238553289726818</v>
      </c>
      <c r="G439" s="4" t="n">
        <v>158</v>
      </c>
      <c r="H439" s="8" t="n">
        <v>89.7</v>
      </c>
    </row>
    <row r="440" customFormat="false" ht="16.4" hidden="false" customHeight="false" outlineLevel="0" collapsed="false">
      <c r="A440" s="6" t="n">
        <v>46132</v>
      </c>
      <c r="B440" s="4" t="s">
        <v>4658</v>
      </c>
      <c r="C440" s="4" t="s">
        <v>4655</v>
      </c>
      <c r="D440" s="4" t="n">
        <v>2113</v>
      </c>
      <c r="E440" s="4" t="n">
        <v>76</v>
      </c>
      <c r="F440" s="19" t="n">
        <f aca="false">IFERROR(E440/D440,0)</f>
        <v>0.0359678182678656</v>
      </c>
      <c r="G440" s="4" t="n">
        <v>151</v>
      </c>
      <c r="H440" s="8" t="n">
        <v>102.2</v>
      </c>
    </row>
    <row r="441" customFormat="false" ht="16.4" hidden="false" customHeight="false" outlineLevel="0" collapsed="false">
      <c r="A441" s="6" t="n">
        <v>45705</v>
      </c>
      <c r="B441" s="4" t="s">
        <v>4656</v>
      </c>
      <c r="C441" s="4" t="s">
        <v>4655</v>
      </c>
      <c r="D441" s="4" t="n">
        <v>847</v>
      </c>
      <c r="E441" s="4" t="n">
        <v>44</v>
      </c>
      <c r="F441" s="19" t="n">
        <f aca="false">IFERROR(E441/D441,0)</f>
        <v>0.051948051948052</v>
      </c>
      <c r="G441" s="4" t="n">
        <v>238</v>
      </c>
      <c r="H441" s="8" t="n">
        <v>188.1</v>
      </c>
    </row>
    <row r="442" customFormat="false" ht="16.4" hidden="false" customHeight="false" outlineLevel="0" collapsed="false">
      <c r="A442" s="6" t="n">
        <v>45696</v>
      </c>
      <c r="B442" s="4" t="s">
        <v>4659</v>
      </c>
      <c r="C442" s="4" t="s">
        <v>4660</v>
      </c>
      <c r="D442" s="4" t="n">
        <v>4579</v>
      </c>
      <c r="E442" s="4" t="n">
        <v>248</v>
      </c>
      <c r="F442" s="19" t="n">
        <f aca="false">IFERROR(E442/D442,0)</f>
        <v>0.0541602970080804</v>
      </c>
      <c r="G442" s="4" t="n">
        <v>71</v>
      </c>
      <c r="H442" s="8" t="n">
        <v>152.1</v>
      </c>
    </row>
    <row r="443" customFormat="false" ht="16.4" hidden="false" customHeight="false" outlineLevel="0" collapsed="false">
      <c r="A443" s="6" t="n">
        <v>45714</v>
      </c>
      <c r="B443" s="4" t="s">
        <v>4656</v>
      </c>
      <c r="C443" s="4" t="s">
        <v>4660</v>
      </c>
      <c r="D443" s="4" t="n">
        <v>4224</v>
      </c>
      <c r="E443" s="4" t="n">
        <v>212</v>
      </c>
      <c r="F443" s="19" t="n">
        <f aca="false">IFERROR(E443/D443,0)</f>
        <v>0.0501893939393939</v>
      </c>
      <c r="G443" s="4" t="n">
        <v>222</v>
      </c>
      <c r="H443" s="8" t="n">
        <v>76.3</v>
      </c>
    </row>
    <row r="444" customFormat="false" ht="16.4" hidden="false" customHeight="false" outlineLevel="0" collapsed="false">
      <c r="A444" s="6" t="n">
        <v>46196</v>
      </c>
      <c r="B444" s="4" t="s">
        <v>4659</v>
      </c>
      <c r="C444" s="4" t="s">
        <v>4655</v>
      </c>
      <c r="D444" s="4" t="n">
        <v>3105</v>
      </c>
      <c r="E444" s="4" t="n">
        <v>55</v>
      </c>
      <c r="F444" s="19" t="n">
        <f aca="false">IFERROR(E444/D444,0)</f>
        <v>0.0177133655394525</v>
      </c>
      <c r="G444" s="4" t="n">
        <v>3</v>
      </c>
      <c r="H444" s="8" t="n">
        <v>200.3</v>
      </c>
    </row>
    <row r="445" customFormat="false" ht="16.4" hidden="false" customHeight="false" outlineLevel="0" collapsed="false">
      <c r="A445" s="6" t="n">
        <v>45835</v>
      </c>
      <c r="B445" s="4" t="s">
        <v>4654</v>
      </c>
      <c r="C445" s="4" t="s">
        <v>4660</v>
      </c>
      <c r="D445" s="4" t="n">
        <v>2669</v>
      </c>
      <c r="E445" s="4" t="n">
        <v>118</v>
      </c>
      <c r="F445" s="19" t="n">
        <f aca="false">IFERROR(E445/D445,0)</f>
        <v>0.0442113150992881</v>
      </c>
      <c r="G445" s="4" t="n">
        <v>108</v>
      </c>
      <c r="H445" s="8" t="n">
        <v>65.2</v>
      </c>
    </row>
    <row r="446" customFormat="false" ht="16.4" hidden="false" customHeight="false" outlineLevel="0" collapsed="false">
      <c r="A446" s="6" t="n">
        <v>45886</v>
      </c>
      <c r="B446" s="4" t="s">
        <v>4658</v>
      </c>
      <c r="C446" s="4" t="s">
        <v>4655</v>
      </c>
      <c r="D446" s="4" t="n">
        <v>4286</v>
      </c>
      <c r="E446" s="4" t="n">
        <v>75</v>
      </c>
      <c r="F446" s="19" t="n">
        <f aca="false">IFERROR(E446/D446,0)</f>
        <v>0.0174988334111059</v>
      </c>
      <c r="G446" s="4" t="n">
        <v>222</v>
      </c>
      <c r="H446" s="8" t="n">
        <v>288.1</v>
      </c>
    </row>
    <row r="447" customFormat="false" ht="16.4" hidden="false" customHeight="false" outlineLevel="0" collapsed="false">
      <c r="A447" s="6" t="n">
        <v>45670</v>
      </c>
      <c r="B447" s="4" t="s">
        <v>4659</v>
      </c>
      <c r="C447" s="4" t="s">
        <v>4660</v>
      </c>
      <c r="D447" s="4" t="n">
        <v>4161</v>
      </c>
      <c r="E447" s="4" t="n">
        <v>29</v>
      </c>
      <c r="F447" s="19" t="n">
        <f aca="false">IFERROR(E447/D447,0)</f>
        <v>0.00696947849074742</v>
      </c>
      <c r="G447" s="4" t="n">
        <v>182</v>
      </c>
      <c r="H447" s="8" t="n">
        <v>66.1</v>
      </c>
    </row>
    <row r="448" customFormat="false" ht="16.4" hidden="false" customHeight="false" outlineLevel="0" collapsed="false">
      <c r="A448" s="6" t="n">
        <v>45798</v>
      </c>
      <c r="B448" s="4" t="s">
        <v>4654</v>
      </c>
      <c r="C448" s="4" t="s">
        <v>4657</v>
      </c>
      <c r="D448" s="4" t="n">
        <v>4365</v>
      </c>
      <c r="E448" s="4" t="n">
        <v>153</v>
      </c>
      <c r="F448" s="19" t="n">
        <f aca="false">IFERROR(E448/D448,0)</f>
        <v>0.0350515463917526</v>
      </c>
      <c r="G448" s="4" t="n">
        <v>25</v>
      </c>
      <c r="H448" s="8" t="n">
        <v>148.9</v>
      </c>
    </row>
    <row r="449" customFormat="false" ht="16.4" hidden="false" customHeight="false" outlineLevel="0" collapsed="false">
      <c r="A449" s="6" t="n">
        <v>45777</v>
      </c>
      <c r="B449" s="4" t="s">
        <v>4654</v>
      </c>
      <c r="C449" s="4" t="s">
        <v>4660</v>
      </c>
      <c r="D449" s="4" t="n">
        <v>3061</v>
      </c>
      <c r="E449" s="4" t="n">
        <v>73</v>
      </c>
      <c r="F449" s="19" t="n">
        <f aca="false">IFERROR(E449/D449,0)</f>
        <v>0.0238484155504737</v>
      </c>
      <c r="G449" s="4" t="n">
        <v>45</v>
      </c>
      <c r="H449" s="8" t="n">
        <v>169.9</v>
      </c>
    </row>
    <row r="450" customFormat="false" ht="16.4" hidden="false" customHeight="false" outlineLevel="0" collapsed="false">
      <c r="A450" s="6" t="n">
        <v>46028</v>
      </c>
      <c r="B450" s="4" t="s">
        <v>4656</v>
      </c>
      <c r="C450" s="4" t="s">
        <v>4660</v>
      </c>
      <c r="D450" s="4" t="n">
        <v>3981</v>
      </c>
      <c r="E450" s="4" t="n">
        <v>133</v>
      </c>
      <c r="F450" s="19" t="n">
        <f aca="false">IFERROR(E450/D450,0)</f>
        <v>0.0334086912835971</v>
      </c>
      <c r="G450" s="4" t="n">
        <v>228</v>
      </c>
      <c r="H450" s="8" t="n">
        <v>297.2</v>
      </c>
    </row>
    <row r="451" customFormat="false" ht="16.4" hidden="false" customHeight="false" outlineLevel="0" collapsed="false">
      <c r="A451" s="6" t="n">
        <v>45871</v>
      </c>
      <c r="B451" s="4" t="s">
        <v>4659</v>
      </c>
      <c r="C451" s="4" t="s">
        <v>4657</v>
      </c>
      <c r="D451" s="4" t="n">
        <v>1059</v>
      </c>
      <c r="E451" s="4" t="n">
        <v>54</v>
      </c>
      <c r="F451" s="19" t="n">
        <f aca="false">IFERROR(E451/D451,0)</f>
        <v>0.0509915014164306</v>
      </c>
      <c r="G451" s="4" t="n">
        <v>74</v>
      </c>
      <c r="H451" s="8" t="n">
        <v>90.4</v>
      </c>
    </row>
    <row r="452" customFormat="false" ht="16.4" hidden="false" customHeight="false" outlineLevel="0" collapsed="false">
      <c r="A452" s="6" t="n">
        <v>46096</v>
      </c>
      <c r="B452" s="4" t="s">
        <v>4658</v>
      </c>
      <c r="C452" s="4" t="s">
        <v>4660</v>
      </c>
      <c r="D452" s="4" t="n">
        <v>1168</v>
      </c>
      <c r="E452" s="4" t="n">
        <v>35</v>
      </c>
      <c r="F452" s="19" t="n">
        <f aca="false">IFERROR(E452/D452,0)</f>
        <v>0.0299657534246575</v>
      </c>
      <c r="G452" s="4" t="n">
        <v>83</v>
      </c>
      <c r="H452" s="8" t="n">
        <v>280.3</v>
      </c>
    </row>
    <row r="453" customFormat="false" ht="16.4" hidden="false" customHeight="false" outlineLevel="0" collapsed="false">
      <c r="A453" s="6" t="n">
        <v>46109</v>
      </c>
      <c r="B453" s="4" t="s">
        <v>4658</v>
      </c>
      <c r="C453" s="4" t="s">
        <v>4655</v>
      </c>
      <c r="D453" s="4" t="n">
        <v>1619</v>
      </c>
      <c r="E453" s="4" t="n">
        <v>65</v>
      </c>
      <c r="F453" s="19" t="n">
        <f aca="false">IFERROR(E453/D453,0)</f>
        <v>0.0401482396541075</v>
      </c>
      <c r="G453" s="4" t="n">
        <v>213</v>
      </c>
      <c r="H453" s="8" t="n">
        <v>276.9</v>
      </c>
    </row>
    <row r="454" customFormat="false" ht="16.4" hidden="false" customHeight="false" outlineLevel="0" collapsed="false">
      <c r="A454" s="6" t="n">
        <v>45834</v>
      </c>
      <c r="B454" s="4" t="s">
        <v>4659</v>
      </c>
      <c r="C454" s="4" t="s">
        <v>4657</v>
      </c>
      <c r="D454" s="4" t="n">
        <v>5425</v>
      </c>
      <c r="E454" s="4" t="n">
        <v>96</v>
      </c>
      <c r="F454" s="19" t="n">
        <f aca="false">IFERROR(E454/D454,0)</f>
        <v>0.0176958525345622</v>
      </c>
      <c r="G454" s="4" t="n">
        <v>46</v>
      </c>
      <c r="H454" s="8" t="n">
        <v>51.5</v>
      </c>
    </row>
    <row r="455" customFormat="false" ht="16.4" hidden="false" customHeight="false" outlineLevel="0" collapsed="false">
      <c r="A455" s="6" t="n">
        <v>45882</v>
      </c>
      <c r="B455" s="4" t="s">
        <v>4656</v>
      </c>
      <c r="C455" s="4" t="s">
        <v>4660</v>
      </c>
      <c r="D455" s="4" t="n">
        <v>2181</v>
      </c>
      <c r="E455" s="4" t="n">
        <v>73</v>
      </c>
      <c r="F455" s="19" t="n">
        <f aca="false">IFERROR(E455/D455,0)</f>
        <v>0.0334708849151765</v>
      </c>
      <c r="G455" s="4" t="n">
        <v>68</v>
      </c>
      <c r="H455" s="8" t="n">
        <v>256</v>
      </c>
    </row>
    <row r="456" customFormat="false" ht="16.4" hidden="false" customHeight="false" outlineLevel="0" collapsed="false">
      <c r="A456" s="6" t="n">
        <v>45830</v>
      </c>
      <c r="B456" s="4" t="s">
        <v>4654</v>
      </c>
      <c r="C456" s="4" t="s">
        <v>4660</v>
      </c>
      <c r="D456" s="4" t="n">
        <v>1437</v>
      </c>
      <c r="E456" s="4" t="n">
        <v>63</v>
      </c>
      <c r="F456" s="19" t="n">
        <f aca="false">IFERROR(E456/D456,0)</f>
        <v>0.0438413361169102</v>
      </c>
      <c r="G456" s="4" t="n">
        <v>88</v>
      </c>
      <c r="H456" s="8" t="n">
        <v>160</v>
      </c>
    </row>
    <row r="457" customFormat="false" ht="16.4" hidden="false" customHeight="false" outlineLevel="0" collapsed="false">
      <c r="A457" s="6" t="n">
        <v>45859</v>
      </c>
      <c r="B457" s="4" t="s">
        <v>4656</v>
      </c>
      <c r="C457" s="4" t="s">
        <v>4657</v>
      </c>
      <c r="D457" s="4" t="n">
        <v>3546</v>
      </c>
      <c r="E457" s="4" t="n">
        <v>203</v>
      </c>
      <c r="F457" s="19" t="n">
        <f aca="false">IFERROR(E457/D457,0)</f>
        <v>0.0572476029328821</v>
      </c>
      <c r="G457" s="4" t="n">
        <v>65</v>
      </c>
      <c r="H457" s="8" t="n">
        <v>165.6</v>
      </c>
    </row>
    <row r="458" customFormat="false" ht="16.4" hidden="false" customHeight="false" outlineLevel="0" collapsed="false">
      <c r="A458" s="6" t="n">
        <v>46025</v>
      </c>
      <c r="B458" s="4" t="s">
        <v>4659</v>
      </c>
      <c r="C458" s="4" t="s">
        <v>4657</v>
      </c>
      <c r="D458" s="4" t="n">
        <v>888</v>
      </c>
      <c r="E458" s="4" t="n">
        <v>10</v>
      </c>
      <c r="F458" s="19" t="n">
        <f aca="false">IFERROR(E458/D458,0)</f>
        <v>0.0112612612612613</v>
      </c>
      <c r="G458" s="4" t="n">
        <v>94</v>
      </c>
      <c r="H458" s="8" t="n">
        <v>248.7</v>
      </c>
    </row>
    <row r="459" customFormat="false" ht="16.4" hidden="false" customHeight="false" outlineLevel="0" collapsed="false">
      <c r="A459" s="6" t="n">
        <v>45798</v>
      </c>
      <c r="B459" s="4" t="s">
        <v>4656</v>
      </c>
      <c r="C459" s="4" t="s">
        <v>4657</v>
      </c>
      <c r="D459" s="4" t="n">
        <v>3900</v>
      </c>
      <c r="E459" s="4" t="n">
        <v>215</v>
      </c>
      <c r="F459" s="19" t="n">
        <f aca="false">IFERROR(E459/D459,0)</f>
        <v>0.0551282051282051</v>
      </c>
      <c r="G459" s="4" t="n">
        <v>145</v>
      </c>
      <c r="H459" s="8" t="n">
        <v>51.6</v>
      </c>
    </row>
    <row r="460" customFormat="false" ht="16.4" hidden="false" customHeight="false" outlineLevel="0" collapsed="false">
      <c r="A460" s="6" t="n">
        <v>45860</v>
      </c>
      <c r="B460" s="4" t="s">
        <v>4656</v>
      </c>
      <c r="C460" s="4" t="s">
        <v>4657</v>
      </c>
      <c r="D460" s="4" t="n">
        <v>4630</v>
      </c>
      <c r="E460" s="4" t="n">
        <v>88</v>
      </c>
      <c r="F460" s="19" t="n">
        <f aca="false">IFERROR(E460/D460,0)</f>
        <v>0.0190064794816415</v>
      </c>
      <c r="G460" s="4" t="n">
        <v>180</v>
      </c>
      <c r="H460" s="8" t="n">
        <v>114.5</v>
      </c>
    </row>
    <row r="461" customFormat="false" ht="16.4" hidden="false" customHeight="false" outlineLevel="0" collapsed="false">
      <c r="A461" s="6" t="n">
        <v>46005</v>
      </c>
      <c r="B461" s="4" t="s">
        <v>4654</v>
      </c>
      <c r="C461" s="4" t="s">
        <v>4657</v>
      </c>
      <c r="D461" s="4" t="n">
        <v>899</v>
      </c>
      <c r="E461" s="4" t="n">
        <v>0</v>
      </c>
      <c r="F461" s="19" t="n">
        <f aca="false">IFERROR(E461/D461,0)</f>
        <v>0</v>
      </c>
      <c r="G461" s="4" t="n">
        <v>223</v>
      </c>
      <c r="H461" s="8" t="n">
        <v>134.4</v>
      </c>
    </row>
    <row r="462" customFormat="false" ht="16.4" hidden="false" customHeight="false" outlineLevel="0" collapsed="false">
      <c r="A462" s="6" t="n">
        <v>45932</v>
      </c>
      <c r="B462" s="4" t="s">
        <v>4654</v>
      </c>
      <c r="C462" s="4" t="s">
        <v>4655</v>
      </c>
      <c r="D462" s="4" t="n">
        <v>3363</v>
      </c>
      <c r="E462" s="4" t="n">
        <v>123</v>
      </c>
      <c r="F462" s="19" t="n">
        <f aca="false">IFERROR(E462/D462,0)</f>
        <v>0.0365744870651204</v>
      </c>
      <c r="G462" s="4" t="n">
        <v>100</v>
      </c>
      <c r="H462" s="8" t="n">
        <v>243.3</v>
      </c>
    </row>
    <row r="463" customFormat="false" ht="16.4" hidden="false" customHeight="false" outlineLevel="0" collapsed="false">
      <c r="A463" s="6" t="n">
        <v>45674</v>
      </c>
      <c r="B463" s="4" t="s">
        <v>4658</v>
      </c>
      <c r="C463" s="4" t="s">
        <v>4657</v>
      </c>
      <c r="D463" s="4" t="n">
        <v>2720</v>
      </c>
      <c r="E463" s="4" t="n">
        <v>82</v>
      </c>
      <c r="F463" s="19" t="n">
        <f aca="false">IFERROR(E463/D463,0)</f>
        <v>0.0301470588235294</v>
      </c>
      <c r="G463" s="4" t="n">
        <v>199</v>
      </c>
      <c r="H463" s="8" t="n">
        <v>101.7</v>
      </c>
    </row>
    <row r="464" customFormat="false" ht="16.4" hidden="false" customHeight="false" outlineLevel="0" collapsed="false">
      <c r="A464" s="6" t="n">
        <v>45926</v>
      </c>
      <c r="B464" s="4" t="s">
        <v>4656</v>
      </c>
      <c r="C464" s="4" t="s">
        <v>4655</v>
      </c>
      <c r="D464" s="4" t="n">
        <v>5171</v>
      </c>
      <c r="E464" s="4" t="n">
        <v>39</v>
      </c>
      <c r="F464" s="19" t="n">
        <f aca="false">IFERROR(E464/D464,0)</f>
        <v>0.00754206149680913</v>
      </c>
      <c r="G464" s="4" t="n">
        <v>78</v>
      </c>
      <c r="H464" s="8" t="n">
        <v>176.8</v>
      </c>
    </row>
    <row r="465" customFormat="false" ht="16.4" hidden="false" customHeight="false" outlineLevel="0" collapsed="false">
      <c r="A465" s="6" t="n">
        <v>45754</v>
      </c>
      <c r="B465" s="4" t="s">
        <v>4659</v>
      </c>
      <c r="C465" s="4" t="s">
        <v>4655</v>
      </c>
      <c r="D465" s="4" t="n">
        <v>4163</v>
      </c>
      <c r="E465" s="4" t="n">
        <v>188</v>
      </c>
      <c r="F465" s="19" t="n">
        <f aca="false">IFERROR(E465/D465,0)</f>
        <v>0.0451597405717031</v>
      </c>
      <c r="G465" s="4" t="n">
        <v>116</v>
      </c>
      <c r="H465" s="8" t="n">
        <v>181.5</v>
      </c>
    </row>
    <row r="466" customFormat="false" ht="16.4" hidden="false" customHeight="false" outlineLevel="0" collapsed="false">
      <c r="A466" s="6" t="n">
        <v>45940</v>
      </c>
      <c r="B466" s="4" t="s">
        <v>4654</v>
      </c>
      <c r="C466" s="4" t="s">
        <v>4660</v>
      </c>
      <c r="D466" s="4" t="n">
        <v>5080</v>
      </c>
      <c r="E466" s="4" t="n">
        <v>134</v>
      </c>
      <c r="F466" s="19" t="n">
        <f aca="false">IFERROR(E466/D466,0)</f>
        <v>0.0263779527559055</v>
      </c>
      <c r="G466" s="4" t="n">
        <v>13</v>
      </c>
      <c r="H466" s="8" t="n">
        <v>150.9</v>
      </c>
    </row>
    <row r="467" customFormat="false" ht="16.4" hidden="false" customHeight="false" outlineLevel="0" collapsed="false">
      <c r="A467" s="6" t="n">
        <v>46120</v>
      </c>
      <c r="B467" s="4" t="s">
        <v>4659</v>
      </c>
      <c r="C467" s="4" t="s">
        <v>4660</v>
      </c>
      <c r="D467" s="4" t="n">
        <v>3873</v>
      </c>
      <c r="E467" s="4" t="n">
        <v>21</v>
      </c>
      <c r="F467" s="19" t="n">
        <f aca="false">IFERROR(E467/D467,0)</f>
        <v>0.00542215336948102</v>
      </c>
      <c r="G467" s="4" t="n">
        <v>65</v>
      </c>
      <c r="H467" s="8" t="n">
        <v>290.9</v>
      </c>
    </row>
    <row r="468" customFormat="false" ht="16.4" hidden="false" customHeight="false" outlineLevel="0" collapsed="false">
      <c r="A468" s="6" t="n">
        <v>46055</v>
      </c>
      <c r="B468" s="4" t="s">
        <v>4654</v>
      </c>
      <c r="C468" s="4" t="s">
        <v>4660</v>
      </c>
      <c r="D468" s="4" t="n">
        <v>4628</v>
      </c>
      <c r="E468" s="4" t="n">
        <v>67</v>
      </c>
      <c r="F468" s="19" t="n">
        <f aca="false">IFERROR(E468/D468,0)</f>
        <v>0.0144770959377701</v>
      </c>
      <c r="G468" s="4" t="n">
        <v>141</v>
      </c>
      <c r="H468" s="8" t="n">
        <v>298.9</v>
      </c>
    </row>
    <row r="469" customFormat="false" ht="16.4" hidden="false" customHeight="false" outlineLevel="0" collapsed="false">
      <c r="A469" s="6" t="n">
        <v>45962</v>
      </c>
      <c r="B469" s="4" t="s">
        <v>4658</v>
      </c>
      <c r="C469" s="4" t="s">
        <v>4657</v>
      </c>
      <c r="D469" s="4" t="n">
        <v>1350</v>
      </c>
      <c r="E469" s="4" t="n">
        <v>47</v>
      </c>
      <c r="F469" s="19" t="n">
        <f aca="false">IFERROR(E469/D469,0)</f>
        <v>0.0348148148148148</v>
      </c>
      <c r="G469" s="4" t="n">
        <v>95</v>
      </c>
      <c r="H469" s="8" t="n">
        <v>268.6</v>
      </c>
    </row>
    <row r="470" customFormat="false" ht="16.4" hidden="false" customHeight="false" outlineLevel="0" collapsed="false">
      <c r="A470" s="6" t="n">
        <v>45719</v>
      </c>
      <c r="B470" s="4" t="s">
        <v>4654</v>
      </c>
      <c r="C470" s="4" t="s">
        <v>4660</v>
      </c>
      <c r="D470" s="4" t="n">
        <v>5479</v>
      </c>
      <c r="E470" s="4" t="n">
        <v>17</v>
      </c>
      <c r="F470" s="19" t="n">
        <f aca="false">IFERROR(E470/D470,0)</f>
        <v>0.00310275597736813</v>
      </c>
      <c r="G470" s="4" t="n">
        <v>121</v>
      </c>
      <c r="H470" s="8" t="n">
        <v>298.9</v>
      </c>
    </row>
    <row r="471" customFormat="false" ht="16.4" hidden="false" customHeight="false" outlineLevel="0" collapsed="false">
      <c r="A471" s="6" t="n">
        <v>45669</v>
      </c>
      <c r="B471" s="4" t="s">
        <v>4659</v>
      </c>
      <c r="C471" s="4" t="s">
        <v>4660</v>
      </c>
      <c r="D471" s="4" t="n">
        <v>2167</v>
      </c>
      <c r="E471" s="4" t="n">
        <v>28</v>
      </c>
      <c r="F471" s="19" t="n">
        <f aca="false">IFERROR(E471/D471,0)</f>
        <v>0.012921089063221</v>
      </c>
      <c r="G471" s="4" t="n">
        <v>10</v>
      </c>
      <c r="H471" s="8" t="n">
        <v>235.3</v>
      </c>
    </row>
    <row r="472" customFormat="false" ht="16.4" hidden="false" customHeight="false" outlineLevel="0" collapsed="false">
      <c r="A472" s="6" t="n">
        <v>45678</v>
      </c>
      <c r="B472" s="4" t="s">
        <v>4659</v>
      </c>
      <c r="C472" s="4" t="s">
        <v>4655</v>
      </c>
      <c r="D472" s="4" t="n">
        <v>5404</v>
      </c>
      <c r="E472" s="4" t="n">
        <v>197</v>
      </c>
      <c r="F472" s="19" t="n">
        <f aca="false">IFERROR(E472/D472,0)</f>
        <v>0.0364544781643227</v>
      </c>
      <c r="G472" s="4" t="n">
        <v>93</v>
      </c>
      <c r="H472" s="8" t="n">
        <v>155.3</v>
      </c>
    </row>
    <row r="473" customFormat="false" ht="16.4" hidden="false" customHeight="false" outlineLevel="0" collapsed="false">
      <c r="A473" s="6" t="n">
        <v>46003</v>
      </c>
      <c r="B473" s="4" t="s">
        <v>4658</v>
      </c>
      <c r="C473" s="4" t="s">
        <v>4655</v>
      </c>
      <c r="D473" s="4" t="n">
        <v>4309</v>
      </c>
      <c r="E473" s="4" t="n">
        <v>17</v>
      </c>
      <c r="F473" s="19" t="n">
        <f aca="false">IFERROR(E473/D473,0)</f>
        <v>0.00394523091204456</v>
      </c>
      <c r="G473" s="4" t="n">
        <v>180</v>
      </c>
      <c r="H473" s="8" t="n">
        <v>109.4</v>
      </c>
    </row>
    <row r="474" customFormat="false" ht="16.4" hidden="false" customHeight="false" outlineLevel="0" collapsed="false">
      <c r="A474" s="6" t="n">
        <v>46179</v>
      </c>
      <c r="B474" s="4" t="s">
        <v>4654</v>
      </c>
      <c r="C474" s="4" t="s">
        <v>4655</v>
      </c>
      <c r="D474" s="4" t="n">
        <v>2987</v>
      </c>
      <c r="E474" s="4" t="n">
        <v>108</v>
      </c>
      <c r="F474" s="19" t="n">
        <f aca="false">IFERROR(E474/D474,0)</f>
        <v>0.0361566789420824</v>
      </c>
      <c r="G474" s="4" t="n">
        <v>6</v>
      </c>
      <c r="H474" s="8" t="n">
        <v>151</v>
      </c>
    </row>
    <row r="475" customFormat="false" ht="16.4" hidden="false" customHeight="false" outlineLevel="0" collapsed="false">
      <c r="A475" s="6" t="n">
        <v>45680</v>
      </c>
      <c r="B475" s="4" t="s">
        <v>4656</v>
      </c>
      <c r="C475" s="4" t="s">
        <v>4660</v>
      </c>
      <c r="D475" s="4" t="n">
        <v>4404</v>
      </c>
      <c r="E475" s="4" t="n">
        <v>108</v>
      </c>
      <c r="F475" s="19" t="n">
        <f aca="false">IFERROR(E475/D475,0)</f>
        <v>0.0245231607629428</v>
      </c>
      <c r="G475" s="4" t="n">
        <v>179</v>
      </c>
      <c r="H475" s="8" t="n">
        <v>261.6</v>
      </c>
    </row>
    <row r="476" customFormat="false" ht="16.4" hidden="false" customHeight="false" outlineLevel="0" collapsed="false">
      <c r="A476" s="6" t="n">
        <v>45796</v>
      </c>
      <c r="B476" s="4" t="s">
        <v>4654</v>
      </c>
      <c r="C476" s="4" t="s">
        <v>4657</v>
      </c>
      <c r="D476" s="4" t="n">
        <v>1785</v>
      </c>
      <c r="E476" s="4" t="n">
        <v>70</v>
      </c>
      <c r="F476" s="19" t="n">
        <f aca="false">IFERROR(E476/D476,0)</f>
        <v>0.0392156862745098</v>
      </c>
      <c r="G476" s="4" t="n">
        <v>46</v>
      </c>
      <c r="H476" s="8" t="n">
        <v>157.8</v>
      </c>
    </row>
    <row r="477" customFormat="false" ht="16.4" hidden="false" customHeight="false" outlineLevel="0" collapsed="false">
      <c r="A477" s="6" t="n">
        <v>45741</v>
      </c>
      <c r="B477" s="4" t="s">
        <v>4658</v>
      </c>
      <c r="C477" s="4" t="s">
        <v>4657</v>
      </c>
      <c r="D477" s="4" t="n">
        <v>4694</v>
      </c>
      <c r="E477" s="4" t="n">
        <v>143</v>
      </c>
      <c r="F477" s="19" t="n">
        <f aca="false">IFERROR(E477/D477,0)</f>
        <v>0.0304644226672348</v>
      </c>
      <c r="G477" s="4" t="n">
        <v>115</v>
      </c>
      <c r="H477" s="8" t="n">
        <v>182.3</v>
      </c>
    </row>
    <row r="478" customFormat="false" ht="16.4" hidden="false" customHeight="false" outlineLevel="0" collapsed="false">
      <c r="A478" s="6" t="n">
        <v>45994</v>
      </c>
      <c r="B478" s="4" t="s">
        <v>4654</v>
      </c>
      <c r="C478" s="4" t="s">
        <v>4657</v>
      </c>
      <c r="D478" s="4" t="n">
        <v>4953</v>
      </c>
      <c r="E478" s="4" t="n">
        <v>220</v>
      </c>
      <c r="F478" s="19" t="n">
        <f aca="false">IFERROR(E478/D478,0)</f>
        <v>0.0444175247324854</v>
      </c>
      <c r="G478" s="4" t="n">
        <v>194</v>
      </c>
      <c r="H478" s="8" t="n">
        <v>132.3</v>
      </c>
    </row>
    <row r="479" customFormat="false" ht="16.4" hidden="false" customHeight="false" outlineLevel="0" collapsed="false">
      <c r="A479" s="6" t="n">
        <v>46140</v>
      </c>
      <c r="B479" s="4" t="s">
        <v>4654</v>
      </c>
      <c r="C479" s="4" t="s">
        <v>4657</v>
      </c>
      <c r="D479" s="4" t="n">
        <v>1182</v>
      </c>
      <c r="E479" s="4" t="n">
        <v>49</v>
      </c>
      <c r="F479" s="19" t="n">
        <f aca="false">IFERROR(E479/D479,0)</f>
        <v>0.0414551607445009</v>
      </c>
      <c r="G479" s="4" t="n">
        <v>106</v>
      </c>
      <c r="H479" s="8" t="n">
        <v>97.2</v>
      </c>
    </row>
    <row r="480" customFormat="false" ht="16.4" hidden="false" customHeight="false" outlineLevel="0" collapsed="false">
      <c r="A480" s="6" t="n">
        <v>46173</v>
      </c>
      <c r="B480" s="4" t="s">
        <v>4656</v>
      </c>
      <c r="C480" s="4" t="s">
        <v>4660</v>
      </c>
      <c r="D480" s="4" t="n">
        <v>2185</v>
      </c>
      <c r="E480" s="4" t="n">
        <v>131</v>
      </c>
      <c r="F480" s="19" t="n">
        <f aca="false">IFERROR(E480/D480,0)</f>
        <v>0.059954233409611</v>
      </c>
      <c r="G480" s="4" t="n">
        <v>6</v>
      </c>
      <c r="H480" s="8" t="n">
        <v>247.7</v>
      </c>
    </row>
    <row r="481" customFormat="false" ht="16.4" hidden="false" customHeight="false" outlineLevel="0" collapsed="false">
      <c r="A481" s="6" t="n">
        <v>45988</v>
      </c>
      <c r="B481" s="4" t="s">
        <v>4658</v>
      </c>
      <c r="C481" s="4" t="s">
        <v>4657</v>
      </c>
      <c r="D481" s="4" t="n">
        <v>3379</v>
      </c>
      <c r="E481" s="4" t="n">
        <v>163</v>
      </c>
      <c r="F481" s="19" t="n">
        <f aca="false">IFERROR(E481/D481,0)</f>
        <v>0.0482391240011838</v>
      </c>
      <c r="G481" s="4" t="n">
        <v>163</v>
      </c>
      <c r="H481" s="8" t="n">
        <v>124.8</v>
      </c>
    </row>
    <row r="482" customFormat="false" ht="16.4" hidden="false" customHeight="false" outlineLevel="0" collapsed="false">
      <c r="A482" s="6" t="n">
        <v>45778</v>
      </c>
      <c r="B482" s="4" t="s">
        <v>4656</v>
      </c>
      <c r="C482" s="4" t="s">
        <v>4655</v>
      </c>
      <c r="D482" s="4" t="n">
        <v>1930</v>
      </c>
      <c r="E482" s="4" t="n">
        <v>17</v>
      </c>
      <c r="F482" s="19" t="n">
        <f aca="false">IFERROR(E482/D482,0)</f>
        <v>0.00880829015544041</v>
      </c>
      <c r="G482" s="4" t="n">
        <v>67</v>
      </c>
      <c r="H482" s="8" t="n">
        <v>221.4</v>
      </c>
    </row>
    <row r="483" customFormat="false" ht="16.4" hidden="false" customHeight="false" outlineLevel="0" collapsed="false">
      <c r="A483" s="6" t="n">
        <v>45737</v>
      </c>
      <c r="B483" s="4" t="s">
        <v>4656</v>
      </c>
      <c r="C483" s="4" t="s">
        <v>4657</v>
      </c>
      <c r="D483" s="4" t="n">
        <v>5395</v>
      </c>
      <c r="E483" s="4" t="n">
        <v>216</v>
      </c>
      <c r="F483" s="19" t="n">
        <f aca="false">IFERROR(E483/D483,0)</f>
        <v>0.0400370713623726</v>
      </c>
      <c r="G483" s="4" t="n">
        <v>185</v>
      </c>
      <c r="H483" s="8" t="n">
        <v>164</v>
      </c>
    </row>
    <row r="484" customFormat="false" ht="16.4" hidden="false" customHeight="false" outlineLevel="0" collapsed="false">
      <c r="A484" s="6" t="n">
        <v>45868</v>
      </c>
      <c r="B484" s="4" t="s">
        <v>4654</v>
      </c>
      <c r="C484" s="4" t="s">
        <v>4655</v>
      </c>
      <c r="D484" s="4" t="n">
        <v>4135</v>
      </c>
      <c r="E484" s="4" t="n">
        <v>100</v>
      </c>
      <c r="F484" s="19" t="n">
        <f aca="false">IFERROR(E484/D484,0)</f>
        <v>0.0241837968561064</v>
      </c>
      <c r="G484" s="4" t="n">
        <v>195</v>
      </c>
      <c r="H484" s="8" t="n">
        <v>59.5</v>
      </c>
    </row>
    <row r="485" customFormat="false" ht="16.4" hidden="false" customHeight="false" outlineLevel="0" collapsed="false">
      <c r="A485" s="6" t="n">
        <v>46143</v>
      </c>
      <c r="B485" s="4" t="s">
        <v>4654</v>
      </c>
      <c r="C485" s="4" t="s">
        <v>4657</v>
      </c>
      <c r="D485" s="4" t="n">
        <v>2134</v>
      </c>
      <c r="E485" s="4" t="n">
        <v>3</v>
      </c>
      <c r="F485" s="19" t="n">
        <f aca="false">IFERROR(E485/D485,0)</f>
        <v>0.0014058106841612</v>
      </c>
      <c r="G485" s="4" t="n">
        <v>148</v>
      </c>
      <c r="H485" s="8" t="n">
        <v>89.6</v>
      </c>
    </row>
    <row r="486" customFormat="false" ht="16.4" hidden="false" customHeight="false" outlineLevel="0" collapsed="false">
      <c r="A486" s="6" t="n">
        <v>45821</v>
      </c>
      <c r="B486" s="4" t="s">
        <v>4656</v>
      </c>
      <c r="C486" s="4" t="s">
        <v>4655</v>
      </c>
      <c r="D486" s="4" t="n">
        <v>4969</v>
      </c>
      <c r="E486" s="4" t="n">
        <v>41</v>
      </c>
      <c r="F486" s="19" t="n">
        <f aca="false">IFERROR(E486/D486,0)</f>
        <v>0.00825115717448179</v>
      </c>
      <c r="G486" s="4" t="n">
        <v>143</v>
      </c>
      <c r="H486" s="8" t="n">
        <v>83.1</v>
      </c>
    </row>
    <row r="487" customFormat="false" ht="16.4" hidden="false" customHeight="false" outlineLevel="0" collapsed="false">
      <c r="A487" s="6" t="n">
        <v>45866</v>
      </c>
      <c r="B487" s="4" t="s">
        <v>4654</v>
      </c>
      <c r="C487" s="4" t="s">
        <v>4660</v>
      </c>
      <c r="D487" s="4" t="n">
        <v>3444</v>
      </c>
      <c r="E487" s="4" t="n">
        <v>196</v>
      </c>
      <c r="F487" s="19" t="n">
        <f aca="false">IFERROR(E487/D487,0)</f>
        <v>0.0569105691056911</v>
      </c>
      <c r="G487" s="4" t="n">
        <v>23</v>
      </c>
      <c r="H487" s="8" t="n">
        <v>168.1</v>
      </c>
    </row>
    <row r="488" customFormat="false" ht="16.4" hidden="false" customHeight="false" outlineLevel="0" collapsed="false">
      <c r="A488" s="6" t="n">
        <v>46091</v>
      </c>
      <c r="B488" s="4" t="s">
        <v>4659</v>
      </c>
      <c r="C488" s="4" t="s">
        <v>4657</v>
      </c>
      <c r="D488" s="4" t="n">
        <v>849</v>
      </c>
      <c r="E488" s="4" t="n">
        <v>34</v>
      </c>
      <c r="F488" s="19" t="n">
        <f aca="false">IFERROR(E488/D488,0)</f>
        <v>0.0400471142520613</v>
      </c>
      <c r="G488" s="4" t="n">
        <v>67</v>
      </c>
      <c r="H488" s="8" t="n">
        <v>88.1</v>
      </c>
    </row>
    <row r="489" customFormat="false" ht="16.4" hidden="false" customHeight="false" outlineLevel="0" collapsed="false">
      <c r="A489" s="6" t="n">
        <v>45688</v>
      </c>
      <c r="B489" s="4" t="s">
        <v>4654</v>
      </c>
      <c r="C489" s="4" t="s">
        <v>4657</v>
      </c>
      <c r="D489" s="4" t="n">
        <v>3191</v>
      </c>
      <c r="E489" s="4" t="n">
        <v>40</v>
      </c>
      <c r="F489" s="19" t="n">
        <f aca="false">IFERROR(E489/D489,0)</f>
        <v>0.0125352554058289</v>
      </c>
      <c r="G489" s="4" t="n">
        <v>178</v>
      </c>
      <c r="H489" s="8" t="n">
        <v>205.6</v>
      </c>
    </row>
    <row r="490" customFormat="false" ht="16.4" hidden="false" customHeight="false" outlineLevel="0" collapsed="false">
      <c r="A490" s="6" t="n">
        <v>45901</v>
      </c>
      <c r="B490" s="4" t="s">
        <v>4659</v>
      </c>
      <c r="C490" s="4" t="s">
        <v>4660</v>
      </c>
      <c r="D490" s="4" t="n">
        <v>2720</v>
      </c>
      <c r="E490" s="4" t="n">
        <v>22</v>
      </c>
      <c r="F490" s="19" t="n">
        <f aca="false">IFERROR(E490/D490,0)</f>
        <v>0.00808823529411765</v>
      </c>
      <c r="G490" s="4" t="n">
        <v>175</v>
      </c>
      <c r="H490" s="8" t="n">
        <v>317.1</v>
      </c>
    </row>
    <row r="491" customFormat="false" ht="16.4" hidden="false" customHeight="false" outlineLevel="0" collapsed="false">
      <c r="A491" s="6" t="n">
        <v>45947</v>
      </c>
      <c r="B491" s="4" t="s">
        <v>4659</v>
      </c>
      <c r="C491" s="4" t="s">
        <v>4657</v>
      </c>
      <c r="D491" s="4" t="n">
        <v>957</v>
      </c>
      <c r="E491" s="4" t="n">
        <v>7</v>
      </c>
      <c r="F491" s="19" t="n">
        <f aca="false">IFERROR(E491/D491,0)</f>
        <v>0.00731452455590387</v>
      </c>
      <c r="G491" s="4" t="n">
        <v>156</v>
      </c>
      <c r="H491" s="8" t="n">
        <v>314</v>
      </c>
    </row>
    <row r="492" customFormat="false" ht="16.4" hidden="false" customHeight="false" outlineLevel="0" collapsed="false">
      <c r="A492" s="6" t="n">
        <v>46047</v>
      </c>
      <c r="B492" s="4" t="s">
        <v>4654</v>
      </c>
      <c r="C492" s="4" t="s">
        <v>4655</v>
      </c>
      <c r="D492" s="4" t="n">
        <v>4483</v>
      </c>
      <c r="E492" s="4" t="n">
        <v>13</v>
      </c>
      <c r="F492" s="19" t="n">
        <f aca="false">IFERROR(E492/D492,0)</f>
        <v>0.00289984385456168</v>
      </c>
      <c r="G492" s="4" t="n">
        <v>157</v>
      </c>
      <c r="H492" s="8" t="n">
        <v>135.2</v>
      </c>
    </row>
    <row r="493" customFormat="false" ht="16.4" hidden="false" customHeight="false" outlineLevel="0" collapsed="false">
      <c r="A493" s="6" t="n">
        <v>45852</v>
      </c>
      <c r="B493" s="4" t="s">
        <v>4658</v>
      </c>
      <c r="C493" s="4" t="s">
        <v>4660</v>
      </c>
      <c r="D493" s="4" t="n">
        <v>5212</v>
      </c>
      <c r="E493" s="4" t="n">
        <v>224</v>
      </c>
      <c r="F493" s="19" t="n">
        <f aca="false">IFERROR(E493/D493,0)</f>
        <v>0.0429777436684574</v>
      </c>
      <c r="G493" s="4" t="n">
        <v>66</v>
      </c>
      <c r="H493" s="8" t="n">
        <v>318.9</v>
      </c>
    </row>
    <row r="494" customFormat="false" ht="16.4" hidden="false" customHeight="false" outlineLevel="0" collapsed="false">
      <c r="A494" s="6" t="n">
        <v>45936</v>
      </c>
      <c r="B494" s="4" t="s">
        <v>4654</v>
      </c>
      <c r="C494" s="4" t="s">
        <v>4657</v>
      </c>
      <c r="D494" s="4" t="n">
        <v>5145</v>
      </c>
      <c r="E494" s="4" t="n">
        <v>83</v>
      </c>
      <c r="F494" s="19" t="n">
        <f aca="false">IFERROR(E494/D494,0)</f>
        <v>0.0161321671525753</v>
      </c>
      <c r="G494" s="4" t="n">
        <v>233</v>
      </c>
      <c r="H494" s="8" t="n">
        <v>183.5</v>
      </c>
    </row>
    <row r="495" customFormat="false" ht="16.4" hidden="false" customHeight="false" outlineLevel="0" collapsed="false">
      <c r="A495" s="6" t="n">
        <v>45909</v>
      </c>
      <c r="B495" s="4" t="s">
        <v>4658</v>
      </c>
      <c r="C495" s="4" t="s">
        <v>4657</v>
      </c>
      <c r="D495" s="4" t="n">
        <v>3076</v>
      </c>
      <c r="E495" s="4" t="n">
        <v>168</v>
      </c>
      <c r="F495" s="19" t="n">
        <f aca="false">IFERROR(E495/D495,0)</f>
        <v>0.0546163849154746</v>
      </c>
      <c r="G495" s="4" t="n">
        <v>37</v>
      </c>
      <c r="H495" s="8" t="n">
        <v>259.2</v>
      </c>
    </row>
    <row r="496" customFormat="false" ht="16.4" hidden="false" customHeight="false" outlineLevel="0" collapsed="false">
      <c r="A496" s="6" t="n">
        <v>45772</v>
      </c>
      <c r="B496" s="4" t="s">
        <v>4656</v>
      </c>
      <c r="C496" s="4" t="s">
        <v>4660</v>
      </c>
      <c r="D496" s="4" t="n">
        <v>1417</v>
      </c>
      <c r="E496" s="4" t="n">
        <v>59</v>
      </c>
      <c r="F496" s="19" t="n">
        <f aca="false">IFERROR(E496/D496,0)</f>
        <v>0.0416372618207481</v>
      </c>
      <c r="G496" s="4" t="n">
        <v>128</v>
      </c>
      <c r="H496" s="8" t="n">
        <v>280.8</v>
      </c>
    </row>
    <row r="497" customFormat="false" ht="16.4" hidden="false" customHeight="false" outlineLevel="0" collapsed="false">
      <c r="A497" s="6" t="n">
        <v>46043</v>
      </c>
      <c r="B497" s="4" t="s">
        <v>4659</v>
      </c>
      <c r="C497" s="4" t="s">
        <v>4657</v>
      </c>
      <c r="D497" s="4" t="n">
        <v>845</v>
      </c>
      <c r="E497" s="4" t="n">
        <v>24</v>
      </c>
      <c r="F497" s="19" t="n">
        <f aca="false">IFERROR(E497/D497,0)</f>
        <v>0.0284023668639053</v>
      </c>
      <c r="G497" s="4" t="n">
        <v>56</v>
      </c>
      <c r="H497" s="8" t="n">
        <v>229.8</v>
      </c>
    </row>
    <row r="498" customFormat="false" ht="16.4" hidden="false" customHeight="false" outlineLevel="0" collapsed="false">
      <c r="A498" s="6" t="n">
        <v>46198</v>
      </c>
      <c r="B498" s="4" t="s">
        <v>4658</v>
      </c>
      <c r="C498" s="4" t="s">
        <v>4655</v>
      </c>
      <c r="D498" s="4" t="n">
        <v>3615</v>
      </c>
      <c r="E498" s="4" t="n">
        <v>165</v>
      </c>
      <c r="F498" s="19" t="n">
        <f aca="false">IFERROR(E498/D498,0)</f>
        <v>0.045643153526971</v>
      </c>
      <c r="G498" s="4" t="n">
        <v>97</v>
      </c>
      <c r="H498" s="8" t="n">
        <v>222.1</v>
      </c>
    </row>
    <row r="499" customFormat="false" ht="16.4" hidden="false" customHeight="false" outlineLevel="0" collapsed="false">
      <c r="A499" s="6" t="n">
        <v>45803</v>
      </c>
      <c r="B499" s="4" t="s">
        <v>4658</v>
      </c>
      <c r="C499" s="4" t="s">
        <v>4660</v>
      </c>
      <c r="D499" s="4" t="n">
        <v>2869</v>
      </c>
      <c r="E499" s="4" t="n">
        <v>148</v>
      </c>
      <c r="F499" s="19" t="n">
        <f aca="false">IFERROR(E499/D499,0)</f>
        <v>0.0515859184384803</v>
      </c>
      <c r="G499" s="4" t="n">
        <v>0</v>
      </c>
      <c r="H499" s="8" t="n">
        <v>95.9</v>
      </c>
    </row>
    <row r="500" customFormat="false" ht="16.4" hidden="false" customHeight="false" outlineLevel="0" collapsed="false">
      <c r="A500" s="6" t="n">
        <v>45775</v>
      </c>
      <c r="B500" s="4" t="s">
        <v>4656</v>
      </c>
      <c r="C500" s="4" t="s">
        <v>4655</v>
      </c>
      <c r="D500" s="4" t="n">
        <v>4476</v>
      </c>
      <c r="E500" s="4" t="n">
        <v>23</v>
      </c>
      <c r="F500" s="19" t="n">
        <f aca="false">IFERROR(E500/D500,0)</f>
        <v>0.00513851653261841</v>
      </c>
      <c r="G500" s="4" t="n">
        <v>239</v>
      </c>
      <c r="H500" s="8" t="n">
        <v>207.7</v>
      </c>
    </row>
    <row r="501" customFormat="false" ht="16.4" hidden="false" customHeight="false" outlineLevel="0" collapsed="false">
      <c r="A501" s="6" t="n">
        <v>45963</v>
      </c>
      <c r="B501" s="4" t="s">
        <v>4658</v>
      </c>
      <c r="C501" s="4" t="s">
        <v>4660</v>
      </c>
      <c r="D501" s="4" t="n">
        <v>2078</v>
      </c>
      <c r="E501" s="4" t="n">
        <v>52</v>
      </c>
      <c r="F501" s="19" t="n">
        <f aca="false">IFERROR(E501/D501,0)</f>
        <v>0.0250240615976901</v>
      </c>
      <c r="G501" s="4" t="n">
        <v>225</v>
      </c>
      <c r="H501" s="8" t="n">
        <v>53.4</v>
      </c>
    </row>
  </sheetData>
  <conditionalFormatting sqref="F2:F501">
    <cfRule type="colorScale" priority="2">
      <colorScale>
        <cfvo type="min" val="0"/>
        <cfvo type="percentile" val="50"/>
        <cfvo type="max" val="0"/>
        <color rgb="FFD9EAD3"/>
        <color rgb="FFFFF2CC"/>
        <color rgb="FFF4CCCC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8" min="1" style="1" width="18.16"/>
  </cols>
  <sheetData>
    <row r="1" customFormat="false" ht="34" hidden="false" customHeight="true" outlineLevel="0" collapsed="false">
      <c r="A1" s="20" t="s">
        <v>4661</v>
      </c>
      <c r="B1" s="20"/>
      <c r="C1" s="20"/>
      <c r="D1" s="20"/>
      <c r="E1" s="20"/>
      <c r="F1" s="20"/>
      <c r="G1" s="20"/>
      <c r="H1" s="20"/>
    </row>
    <row r="3" customFormat="false" ht="15" hidden="false" customHeight="false" outlineLevel="0" collapsed="false">
      <c r="A3" s="21" t="s">
        <v>4662</v>
      </c>
      <c r="B3" s="21" t="s">
        <v>4663</v>
      </c>
      <c r="D3" s="21" t="s">
        <v>0</v>
      </c>
      <c r="E3" s="21" t="s">
        <v>1469</v>
      </c>
    </row>
    <row r="4" customFormat="false" ht="15" hidden="false" customHeight="false" outlineLevel="0" collapsed="false">
      <c r="A4" s="22" t="s">
        <v>4664</v>
      </c>
      <c r="B4" s="23" t="n">
        <f aca="false">SUM(Sales!K2:K1001)</f>
        <v>8142324.16999999</v>
      </c>
      <c r="D4" s="1" t="s">
        <v>6</v>
      </c>
      <c r="E4" s="10" t="n">
        <f aca="false">SUMIF(Sales!E:E,D4,Sales!K:K)</f>
        <v>1640577.6595</v>
      </c>
    </row>
    <row r="5" customFormat="false" ht="15" hidden="false" customHeight="false" outlineLevel="0" collapsed="false">
      <c r="A5" s="22" t="s">
        <v>4665</v>
      </c>
      <c r="B5" s="23" t="n">
        <f aca="false">SUM(Sales!L2:L1001)</f>
        <v>3233537.59</v>
      </c>
      <c r="D5" s="1" t="s">
        <v>12</v>
      </c>
      <c r="E5" s="10" t="n">
        <f aca="false">SUMIF(Sales!E:E,D5,Sales!K:K)</f>
        <v>1471191.2562</v>
      </c>
    </row>
    <row r="6" customFormat="false" ht="15" hidden="false" customHeight="false" outlineLevel="0" collapsed="false">
      <c r="A6" s="22" t="s">
        <v>4666</v>
      </c>
      <c r="B6" s="24" t="n">
        <f aca="false">IFERROR(B5/B4,0)</f>
        <v>0.397127100627339</v>
      </c>
      <c r="D6" s="1" t="s">
        <v>18</v>
      </c>
      <c r="E6" s="10" t="n">
        <f aca="false">SUMIF(Sales!E:E,D6,Sales!K:K)</f>
        <v>1972546.5584</v>
      </c>
    </row>
    <row r="7" customFormat="false" ht="15" hidden="false" customHeight="false" outlineLevel="0" collapsed="false">
      <c r="A7" s="22" t="s">
        <v>4667</v>
      </c>
      <c r="B7" s="25" t="n">
        <f aca="false">COUNTIF(Projects!F2:F201,"&lt;&gt;Complete")</f>
        <v>151</v>
      </c>
      <c r="D7" s="1" t="s">
        <v>24</v>
      </c>
      <c r="E7" s="10" t="n">
        <f aca="false">SUMIF(Sales!E:E,D7,Sales!K:K)</f>
        <v>1563424.1756</v>
      </c>
    </row>
    <row r="8" customFormat="false" ht="15" hidden="false" customHeight="false" outlineLevel="0" collapsed="false">
      <c r="A8" s="22" t="s">
        <v>4668</v>
      </c>
      <c r="B8" s="25" t="n">
        <f aca="false">COUNTIF('Support Tickets'!F2:F701,"Open")+COUNTIF('Support Tickets'!F2:F701,"Pending")</f>
        <v>353</v>
      </c>
      <c r="D8" s="1" t="s">
        <v>30</v>
      </c>
      <c r="E8" s="10" t="n">
        <f aca="false">SUMIF(Sales!E:E,D8,Sales!K:K)</f>
        <v>1494584.5203</v>
      </c>
    </row>
    <row r="9" customFormat="false" ht="15" hidden="false" customHeight="false" outlineLevel="0" collapsed="false">
      <c r="A9" s="22" t="s">
        <v>4669</v>
      </c>
      <c r="B9" s="25" t="n">
        <f aca="false">COUNTIF(Inventory!H2:H501,"Reorder")</f>
        <v>93</v>
      </c>
    </row>
    <row r="10" customFormat="false" ht="15" hidden="false" customHeight="false" outlineLevel="0" collapsed="false">
      <c r="A10" s="22" t="s">
        <v>4670</v>
      </c>
      <c r="B10" s="25" t="n">
        <f aca="false">AVERAGE('Support Tickets'!J2:J701)</f>
        <v>3.02571428571429</v>
      </c>
    </row>
    <row r="12" customFormat="false" ht="15" hidden="false" customHeight="false" outlineLevel="0" collapsed="false">
      <c r="A12" s="21" t="s">
        <v>4</v>
      </c>
      <c r="B12" s="21" t="s">
        <v>4671</v>
      </c>
      <c r="C12" s="21" t="s">
        <v>4672</v>
      </c>
    </row>
    <row r="13" customFormat="false" ht="15" hidden="false" customHeight="false" outlineLevel="0" collapsed="false">
      <c r="A13" s="1" t="s">
        <v>10</v>
      </c>
      <c r="B13" s="1" t="n">
        <f aca="false">COUNTIF(Projects!E:E,A13)</f>
        <v>45</v>
      </c>
      <c r="C13" s="1" t="n">
        <f aca="false">COUNTIF('Support Tickets'!E:E,A13)</f>
        <v>189</v>
      </c>
    </row>
    <row r="14" customFormat="false" ht="15" hidden="false" customHeight="false" outlineLevel="0" collapsed="false">
      <c r="A14" s="1" t="s">
        <v>16</v>
      </c>
      <c r="B14" s="1" t="n">
        <f aca="false">COUNTIF(Projects!E:E,A14)</f>
        <v>57</v>
      </c>
      <c r="C14" s="1" t="n">
        <f aca="false">COUNTIF('Support Tickets'!E:E,A14)</f>
        <v>173</v>
      </c>
    </row>
    <row r="15" customFormat="false" ht="15" hidden="false" customHeight="false" outlineLevel="0" collapsed="false">
      <c r="A15" s="1" t="s">
        <v>22</v>
      </c>
      <c r="B15" s="1" t="n">
        <f aca="false">COUNTIF(Projects!E:E,A15)</f>
        <v>35</v>
      </c>
      <c r="C15" s="1" t="n">
        <f aca="false">COUNTIF('Support Tickets'!E:E,A15)</f>
        <v>155</v>
      </c>
    </row>
    <row r="16" customFormat="false" ht="15" hidden="false" customHeight="false" outlineLevel="0" collapsed="false">
      <c r="A16" s="1" t="s">
        <v>28</v>
      </c>
      <c r="B16" s="1" t="n">
        <f aca="false">COUNTIF(Projects!E:E,A16)</f>
        <v>63</v>
      </c>
      <c r="C16" s="1" t="n">
        <f aca="false">COUNTIF('Support Tickets'!E:E,A16)</f>
        <v>183</v>
      </c>
    </row>
    <row r="17" customFormat="false" ht="15" hidden="false" customHeight="false" outlineLevel="0" collapsed="false">
      <c r="A17" s="1" t="s">
        <v>4673</v>
      </c>
      <c r="B17" s="1" t="n">
        <f aca="false">SUM(B13:B16)</f>
        <v>200</v>
      </c>
      <c r="C17" s="1" t="n">
        <f aca="false">SUM(C13:C16)</f>
        <v>700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3" min="1" style="1" width="27.24"/>
    <col collapsed="false" customWidth="true" hidden="false" outlineLevel="0" max="4" min="4" style="1" width="47.68"/>
  </cols>
  <sheetData>
    <row r="1" customFormat="false" ht="19.7" hidden="false" customHeight="false" outlineLevel="0" collapsed="false">
      <c r="A1" s="26" t="s">
        <v>4674</v>
      </c>
      <c r="B1" s="26"/>
      <c r="C1" s="26"/>
      <c r="D1" s="26"/>
    </row>
    <row r="3" customFormat="false" ht="15" hidden="false" customHeight="false" outlineLevel="0" collapsed="false">
      <c r="A3" s="21" t="s">
        <v>4675</v>
      </c>
      <c r="B3" s="21" t="s">
        <v>4676</v>
      </c>
      <c r="C3" s="21" t="s">
        <v>4677</v>
      </c>
      <c r="D3" s="21" t="s">
        <v>4678</v>
      </c>
    </row>
    <row r="4" customFormat="false" ht="15" hidden="false" customHeight="false" outlineLevel="0" collapsed="false">
      <c r="A4" s="1" t="s">
        <v>4679</v>
      </c>
      <c r="B4" s="1" t="s">
        <v>4680</v>
      </c>
      <c r="C4" s="1" t="s">
        <v>4681</v>
      </c>
      <c r="D4" s="1" t="s">
        <v>4682</v>
      </c>
    </row>
    <row r="5" customFormat="false" ht="15" hidden="false" customHeight="false" outlineLevel="0" collapsed="false">
      <c r="A5" s="1" t="s">
        <v>11</v>
      </c>
      <c r="B5" s="1" t="s">
        <v>4683</v>
      </c>
      <c r="C5" s="1" t="s">
        <v>4684</v>
      </c>
      <c r="D5" s="1" t="s">
        <v>4685</v>
      </c>
    </row>
    <row r="6" customFormat="false" ht="15" hidden="false" customHeight="false" outlineLevel="0" collapsed="false">
      <c r="A6" s="1" t="s">
        <v>4686</v>
      </c>
      <c r="B6" s="1" t="s">
        <v>4687</v>
      </c>
      <c r="C6" s="1" t="s">
        <v>4688</v>
      </c>
      <c r="D6" s="1" t="s">
        <v>4689</v>
      </c>
    </row>
    <row r="7" customFormat="false" ht="15" hidden="false" customHeight="false" outlineLevel="0" collapsed="false">
      <c r="A7" s="1" t="s">
        <v>4690</v>
      </c>
      <c r="B7" s="1" t="s">
        <v>4691</v>
      </c>
      <c r="C7" s="1" t="s">
        <v>4692</v>
      </c>
      <c r="D7" s="1" t="s">
        <v>4693</v>
      </c>
    </row>
    <row r="8" customFormat="false" ht="15" hidden="false" customHeight="false" outlineLevel="0" collapsed="false">
      <c r="A8" s="1" t="s">
        <v>4694</v>
      </c>
      <c r="B8" s="1" t="s">
        <v>4695</v>
      </c>
      <c r="C8" s="1" t="s">
        <v>4688</v>
      </c>
      <c r="D8" s="1" t="s">
        <v>4696</v>
      </c>
    </row>
    <row r="9" customFormat="false" ht="15" hidden="false" customHeight="false" outlineLevel="0" collapsed="false">
      <c r="A9" s="1" t="s">
        <v>4697</v>
      </c>
      <c r="B9" s="1" t="s">
        <v>4698</v>
      </c>
      <c r="C9" s="1" t="s">
        <v>4699</v>
      </c>
      <c r="D9" s="1" t="s">
        <v>4700</v>
      </c>
    </row>
    <row r="10" customFormat="false" ht="15" hidden="false" customHeight="false" outlineLevel="0" collapsed="false">
      <c r="A10" s="1" t="s">
        <v>4671</v>
      </c>
      <c r="B10" s="1" t="s">
        <v>4701</v>
      </c>
      <c r="C10" s="1" t="s">
        <v>4692</v>
      </c>
      <c r="D10" s="1" t="s">
        <v>4702</v>
      </c>
    </row>
    <row r="11" customFormat="false" ht="15" hidden="false" customHeight="false" outlineLevel="0" collapsed="false">
      <c r="A11" s="1" t="s">
        <v>4703</v>
      </c>
      <c r="B11" s="1" t="s">
        <v>4704</v>
      </c>
      <c r="C11" s="1" t="s">
        <v>4705</v>
      </c>
      <c r="D11" s="1" t="s">
        <v>4706</v>
      </c>
    </row>
    <row r="12" customFormat="false" ht="15" hidden="false" customHeight="false" outlineLevel="0" collapsed="false">
      <c r="A12" s="1" t="s">
        <v>17</v>
      </c>
      <c r="B12" s="1" t="s">
        <v>4707</v>
      </c>
      <c r="C12" s="1" t="s">
        <v>4708</v>
      </c>
      <c r="D12" s="1" t="s">
        <v>4709</v>
      </c>
    </row>
    <row r="13" customFormat="false" ht="15" hidden="false" customHeight="false" outlineLevel="0" collapsed="false">
      <c r="A13" s="1" t="s">
        <v>4710</v>
      </c>
      <c r="B13" s="1" t="s">
        <v>4711</v>
      </c>
      <c r="C13" s="1" t="s">
        <v>4712</v>
      </c>
      <c r="D13" s="1" t="s">
        <v>4713</v>
      </c>
    </row>
    <row r="14" customFormat="false" ht="15" hidden="false" customHeight="false" outlineLevel="0" collapsed="false">
      <c r="A14" s="1" t="s">
        <v>29</v>
      </c>
      <c r="B14" s="1" t="s">
        <v>4714</v>
      </c>
      <c r="C14" s="1" t="s">
        <v>4688</v>
      </c>
      <c r="D14" s="1" t="s">
        <v>4715</v>
      </c>
    </row>
    <row r="15" customFormat="false" ht="15" hidden="false" customHeight="false" outlineLevel="0" collapsed="false">
      <c r="A15" s="1" t="s">
        <v>4716</v>
      </c>
      <c r="B15" s="1" t="s">
        <v>4717</v>
      </c>
      <c r="C15" s="1" t="s">
        <v>4681</v>
      </c>
      <c r="D15" s="1" t="s">
        <v>4718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2026-07-03T09:00:30Z</cp:lastPrinted>
  <dcterms:modified xsi:type="dcterms:W3CDTF">2026-07-03T09:51:35Z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